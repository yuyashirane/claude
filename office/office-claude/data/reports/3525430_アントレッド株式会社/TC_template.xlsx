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ya_\claude\office\office-claude\data\reports\3525430\"/>
    </mc:Choice>
  </mc:AlternateContent>
  <xr:revisionPtr revIDLastSave="0" documentId="13_ncr:1_{3903AE33-BC87-4C9F-A916-1EB1484E6A5F}" xr6:coauthVersionLast="47" xr6:coauthVersionMax="47" xr10:uidLastSave="{00000000-0000-0000-0000-000000000000}"/>
  <bookViews>
    <workbookView xWindow="5100" yWindow="855" windowWidth="21600" windowHeight="12645" tabRatio="756" activeTab="7" xr2:uid="{00000000-000D-0000-FFFF-FFFF00000000}"/>
  </bookViews>
  <sheets>
    <sheet name="サマリー" sheetId="1" r:id="rId1"/>
    <sheet name="A4 家賃・地代" sheetId="4" r:id="rId2"/>
    <sheet name="A5 人件費" sheetId="2" r:id="rId3"/>
    <sheet name="A8 売上" sheetId="5" r:id="rId4"/>
    <sheet name="A10 その他経費" sheetId="6" r:id="rId5"/>
    <sheet name="A11 営業外・特別損益" sheetId="3" r:id="rId6"/>
    <sheet name="A12 税金" sheetId="7" r:id="rId7"/>
    <sheet name="参考" sheetId="8" r:id="rId8"/>
  </sheets>
  <definedNames>
    <definedName name="_xlnm._FilterDatabase" localSheetId="4" hidden="1">'A10 その他経費'!$A$3:$W$3</definedName>
    <definedName name="_xlnm._FilterDatabase" localSheetId="5" hidden="1">'A11 営業外・特別損益'!$A$3:$W$3</definedName>
    <definedName name="_xlnm._FilterDatabase" localSheetId="6" hidden="1">'A12 税金'!$A$3:$W$3</definedName>
    <definedName name="_xlnm._FilterDatabase" localSheetId="1" hidden="1">'A4 家賃・地代'!$A$3:$W$3</definedName>
    <definedName name="_xlnm._FilterDatabase" localSheetId="2" hidden="1">'A5 人件費'!$A$3:$W$3</definedName>
    <definedName name="_xlnm._FilterDatabase" localSheetId="3" hidden="1">'A8 売上'!$A$3:$W$3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2" i="8"/>
</calcChain>
</file>

<file path=xl/sharedStrings.xml><?xml version="1.0" encoding="utf-8"?>
<sst xmlns="http://schemas.openxmlformats.org/spreadsheetml/2006/main" count="729" uniqueCount="280">
  <si>
    <t>対象会社</t>
  </si>
  <si>
    <t>対象月</t>
  </si>
  <si>
    <t>2025/12</t>
  </si>
  <si>
    <t>チェック実行日</t>
  </si>
  <si>
    <t>2026/04/17</t>
  </si>
  <si>
    <t>【判定凡例】</t>
  </si>
  <si>
    <t>重大</t>
  </si>
  <si>
    <t>消費税区分の誤りの可能性が高い</t>
  </si>
  <si>
    <t>要確認</t>
  </si>
  <si>
    <t>チェック項目</t>
  </si>
  <si>
    <t>合計</t>
  </si>
  <si>
    <t>エリア</t>
  </si>
  <si>
    <t>エリア名</t>
  </si>
  <si>
    <t>重大 件数</t>
  </si>
  <si>
    <t>合計件数</t>
  </si>
  <si>
    <t>影響金額合計</t>
  </si>
  <si>
    <t>確認進捗</t>
  </si>
  <si>
    <t>A5</t>
  </si>
  <si>
    <t>人件費</t>
  </si>
  <si>
    <t>-</t>
  </si>
  <si>
    <t>A11</t>
  </si>
  <si>
    <t>営業外・特別損益</t>
  </si>
  <si>
    <t>優先度</t>
  </si>
  <si>
    <t>観点</t>
  </si>
  <si>
    <t>チェック結果</t>
  </si>
  <si>
    <t>取引日</t>
  </si>
  <si>
    <t>勘定科目</t>
  </si>
  <si>
    <t>取引先</t>
  </si>
  <si>
    <t>摘要</t>
  </si>
  <si>
    <t>借方金額</t>
  </si>
  <si>
    <t>貸方金額</t>
  </si>
  <si>
    <t>現在の税区分</t>
  </si>
  <si>
    <t>推奨税区分</t>
  </si>
  <si>
    <t>🔗総勘定元帳</t>
  </si>
  <si>
    <t>🔗仕訳帳</t>
  </si>
  <si>
    <t>確信度</t>
  </si>
  <si>
    <t>確認状況</t>
  </si>
  <si>
    <t>担当者メモ</t>
  </si>
  <si>
    <t>walletTxnId</t>
  </si>
  <si>
    <t>2025/12/01</t>
  </si>
  <si>
    <t>対象外</t>
  </si>
  <si>
    <t>非課仕入</t>
  </si>
  <si>
    <t>mild_warning</t>
  </si>
  <si>
    <t>TC-05c</t>
  </si>
  <si>
    <t>支払利息</t>
  </si>
  <si>
    <t>8534089187</t>
  </si>
  <si>
    <t xml:space="preserve">TC-01 </t>
    <phoneticPr fontId="6"/>
  </si>
  <si>
    <t>売上の税区分</t>
  </si>
  <si>
    <t xml:space="preserve">TC-02 </t>
    <phoneticPr fontId="6"/>
  </si>
  <si>
    <t>土地/住宅の非課税</t>
  </si>
  <si>
    <t xml:space="preserve">TC-03 </t>
    <phoneticPr fontId="6"/>
  </si>
  <si>
    <t>給与/人件費</t>
  </si>
  <si>
    <t xml:space="preserve">TC-04 </t>
    <phoneticPr fontId="6"/>
  </si>
  <si>
    <t xml:space="preserve">TC-05 </t>
    <phoneticPr fontId="6"/>
  </si>
  <si>
    <t>非課税仕入</t>
  </si>
  <si>
    <t xml:space="preserve">TC-06 </t>
    <phoneticPr fontId="6"/>
  </si>
  <si>
    <t xml:space="preserve">TC-07 </t>
    <phoneticPr fontId="6"/>
  </si>
  <si>
    <t>福利厚生</t>
  </si>
  <si>
    <t>税金/租税公課</t>
  </si>
  <si>
    <t>税金/租税公課</t>
    <rPh sb="3" eb="7">
      <t>ソゼイコウカ</t>
    </rPh>
    <phoneticPr fontId="6"/>
  </si>
  <si>
    <t>要注意</t>
  </si>
  <si>
    <t>要注意</t>
    <rPh sb="0" eb="3">
      <t>ヨウチュウイ</t>
    </rPh>
    <phoneticPr fontId="6"/>
  </si>
  <si>
    <t>要確認</t>
    <rPh sb="0" eb="3">
      <t>ヨウカクニン</t>
    </rPh>
    <phoneticPr fontId="6"/>
  </si>
  <si>
    <t>要注意 件数</t>
    <rPh sb="1" eb="3">
      <t>チュウイ</t>
    </rPh>
    <phoneticPr fontId="6"/>
  </si>
  <si>
    <t>要確認 件数</t>
    <rPh sb="0" eb="3">
      <t>ヨウカクニン</t>
    </rPh>
    <phoneticPr fontId="6"/>
  </si>
  <si>
    <t>指摘サマリー（チェック項目別）</t>
    <phoneticPr fontId="6"/>
  </si>
  <si>
    <t>非課税売上</t>
  </si>
  <si>
    <t>非課税/対象外の収益</t>
  </si>
  <si>
    <t>非課税/対象外の収益</t>
    <rPh sb="4" eb="7">
      <t>タイショウガイ</t>
    </rPh>
    <rPh sb="8" eb="10">
      <t>シュウエキ</t>
    </rPh>
    <phoneticPr fontId="6"/>
  </si>
  <si>
    <t>非課税/対象外の費用</t>
  </si>
  <si>
    <t>非課税/対象外の費用</t>
    <rPh sb="4" eb="7">
      <t>タイショウガイ</t>
    </rPh>
    <rPh sb="8" eb="10">
      <t>ヒヨウ</t>
    </rPh>
    <phoneticPr fontId="6"/>
  </si>
  <si>
    <t>項目</t>
    <phoneticPr fontId="6"/>
  </si>
  <si>
    <t>項目数</t>
    <rPh sb="0" eb="3">
      <t>コウモクスウ</t>
    </rPh>
    <phoneticPr fontId="6"/>
  </si>
  <si>
    <t>影響度少ない / 整合性の観点</t>
    <rPh sb="0" eb="3">
      <t>エイキョウド</t>
    </rPh>
    <rPh sb="3" eb="4">
      <t>スク</t>
    </rPh>
    <phoneticPr fontId="6"/>
  </si>
  <si>
    <t>取引内容等により判断が必要</t>
    <rPh sb="0" eb="2">
      <t>トリヒキ</t>
    </rPh>
    <phoneticPr fontId="6"/>
  </si>
  <si>
    <t>A5 人件費</t>
    <rPh sb="3" eb="6">
      <t>ジンケンヒ</t>
    </rPh>
    <phoneticPr fontId="6"/>
  </si>
  <si>
    <t>A11 営業外・特別損益</t>
  </si>
  <si>
    <t>項目</t>
    <rPh sb="0" eb="2">
      <t>コウモク</t>
    </rPh>
    <phoneticPr fontId="6"/>
  </si>
  <si>
    <t>同上</t>
    <rPh sb="0" eb="2">
      <t>ドウジョウ</t>
    </rPh>
    <phoneticPr fontId="6"/>
  </si>
  <si>
    <t>項目名</t>
  </si>
  <si>
    <t>項目名</t>
    <rPh sb="0" eb="3">
      <t>コウモクメイ</t>
    </rPh>
    <phoneticPr fontId="6"/>
  </si>
  <si>
    <t>支払利息は「対象外」でも消費税計算上の大きな影響が出ない場合がありますが、より正確には「非課仕入」が適切です。</t>
    <phoneticPr fontId="6"/>
  </si>
  <si>
    <t>品目</t>
    <rPh sb="0" eb="2">
      <t>ヒンモク</t>
    </rPh>
    <phoneticPr fontId="6"/>
  </si>
  <si>
    <t>テンプレート用サンプル株式会社 消費税区分チェックレポート</t>
  </si>
  <si>
    <t>テンプレート用サンプル株式会社</t>
  </si>
  <si>
    <t>A4</t>
  </si>
  <si>
    <t>家賃・地代</t>
  </si>
  <si>
    <t>A8</t>
  </si>
  <si>
    <t>売上</t>
  </si>
  <si>
    <t>A10</t>
  </si>
  <si>
    <t>その他経費</t>
  </si>
  <si>
    <t>A12</t>
  </si>
  <si>
    <t>税金</t>
  </si>
  <si>
    <t>TC-02</t>
  </si>
  <si>
    <t>TC-03</t>
  </si>
  <si>
    <t>TC-07</t>
  </si>
  <si>
    <t>TC-01</t>
  </si>
  <si>
    <t>TC-05</t>
  </si>
  <si>
    <t>TC-04</t>
  </si>
  <si>
    <t>TC-06</t>
  </si>
  <si>
    <t>A4 家賃・地代</t>
  </si>
  <si>
    <t>TC-02-01</t>
  </si>
  <si>
    <t>土地の賃借料に課税仕入が設定されています。土地は非課税取引です。</t>
  </si>
  <si>
    <t>課対仕入10%</t>
  </si>
  <si>
    <t>地代家賃</t>
  </si>
  <si>
    <t>direct_error</t>
  </si>
  <si>
    <t>TC-02-02</t>
  </si>
  <si>
    <t>住居用建物の賃借料の可能性があります。用途を確認してください。</t>
  </si>
  <si>
    <t>賃借料</t>
  </si>
  <si>
    <t>gray_review</t>
  </si>
  <si>
    <t>TC-03-01</t>
  </si>
  <si>
    <t>給与手当に課税仕入が設定されています。給与は消費税の課税対象外です。</t>
  </si>
  <si>
    <t>給与手当</t>
  </si>
  <si>
    <t>TC-03-02</t>
  </si>
  <si>
    <t>役員報酬に課税仕入が設定されています。対象外に変更が必要です。</t>
  </si>
  <si>
    <t>役員報酬</t>
  </si>
  <si>
    <t>TC-03-03</t>
  </si>
  <si>
    <t>社員旅行費の一部が給与課税される可能性があります。内容を確認してください。</t>
  </si>
  <si>
    <t>福利厚生費</t>
  </si>
  <si>
    <t>TC-07-01</t>
  </si>
  <si>
    <t>慶弔見舞金に課税仕入が設定されています。対象外への変更を検討してください。</t>
  </si>
  <si>
    <t>TC-07-02</t>
  </si>
  <si>
    <t>社員食堂費用の税区分は課税仕入で正しいと推定されます。金額が大きい場合は確認して</t>
  </si>
  <si>
    <t>社員食堂費用の税区分は課税仕入で正しいと推定されます。金額が大きい場合は確認してください。</t>
  </si>
  <si>
    <t>A8 売上</t>
  </si>
  <si>
    <t>TC-01-01</t>
  </si>
  <si>
    <t>免税事業者への売上に課税区分が設定されています。免税売上に変更してください。</t>
  </si>
  <si>
    <t>課対売上10%</t>
  </si>
  <si>
    <t>免税売上</t>
  </si>
  <si>
    <t>売上高</t>
  </si>
  <si>
    <t>TC-01-02</t>
  </si>
  <si>
    <t>旧税率8%の区分が使われています。取引日を確認し、10%への変更を検討してくださ</t>
  </si>
  <si>
    <t>旧税率8%の区分が使われています。取引日を確認し、10%への変更を検討してください。</t>
  </si>
  <si>
    <t>課対売上8%</t>
  </si>
  <si>
    <t>TC-01-03</t>
  </si>
  <si>
    <t>雑収入に課税区分が設定されています。対象外収入の可能性があります。</t>
  </si>
  <si>
    <t>雑収入</t>
  </si>
  <si>
    <t>A10 その他経費</t>
  </si>
  <si>
    <t>TC-05-01</t>
  </si>
  <si>
    <t>支払利息に課税仕入が設定されています。利子は非課税取引です。</t>
  </si>
  <si>
    <t>TC-05-02</t>
  </si>
  <si>
    <t>生命保険料に課税仕入が設定されています。非課税または対象外の可能性があります。</t>
  </si>
  <si>
    <t>保険料</t>
  </si>
  <si>
    <t>TC-05-03</t>
  </si>
  <si>
    <t>印紙税が含まれている可能性があります。対象外への変更を検討してください。</t>
  </si>
  <si>
    <t>租税公課</t>
  </si>
  <si>
    <t>TC-04-01</t>
  </si>
  <si>
    <t>受取利息に課税売上が設定されています。利子は非課税取引です。</t>
  </si>
  <si>
    <t>受取利息</t>
  </si>
  <si>
    <t>TC-04-02</t>
  </si>
  <si>
    <t>非課税売上の区分が付いていますが、課税売上の可能性があります。内容を確認してくだ</t>
  </si>
  <si>
    <t>非課税売上の区分が付いていますが、課税売上の可能性があります。内容を確認してください。</t>
  </si>
  <si>
    <t>reverse_suspect</t>
  </si>
  <si>
    <t>A12 税金</t>
  </si>
  <si>
    <t>TC-06-01</t>
  </si>
  <si>
    <t>固定資産税に課税仕入が設定されています。税金は消費税の対象外です。</t>
  </si>
  <si>
    <t>TC-06-02</t>
  </si>
  <si>
    <t>法人税等の支払いに課税仕入が設定されています。対象外に変更が必要です。</t>
  </si>
  <si>
    <t>法人税等</t>
  </si>
  <si>
    <t>部門</t>
    <rPh sb="0" eb="2">
      <t>ブモン</t>
    </rPh>
    <phoneticPr fontId="6"/>
  </si>
  <si>
    <t>メモ</t>
    <phoneticPr fontId="6"/>
  </si>
  <si>
    <t>TC ID</t>
  </si>
  <si>
    <t>サブタイプ</t>
  </si>
  <si>
    <t>判定内容 / 特徴KW</t>
  </si>
  <si>
    <t>異常度 (Color)</t>
  </si>
  <si>
    <t>エラー型</t>
  </si>
  <si>
    <t>a</t>
  </si>
  <si>
    <t>課税売上10% + 別区分KWあり</t>
  </si>
  <si>
    <t>🟡</t>
  </si>
  <si>
    <t>b</t>
  </si>
  <si>
    <t>課税売上8%(軽) + 食品系でない</t>
  </si>
  <si>
    <t>🔴</t>
  </si>
  <si>
    <t>c</t>
  </si>
  <si>
    <t>輸出売上 + 海外KWなし</t>
  </si>
  <si>
    <t>d</t>
  </si>
  <si>
    <t>非課売上 + 例外KWなし</t>
  </si>
  <si>
    <t>e</t>
  </si>
  <si>
    <t>対象外 + 例外KWなし</t>
  </si>
  <si>
    <t>土地取引が課税</t>
  </si>
  <si>
    <t>受取家賃(住宅)が課税売上</t>
  </si>
  <si>
    <t>支払家賃(住宅用)が課税仕入</t>
  </si>
  <si>
    <t>駐車場・付随設備の判定要確認</t>
  </si>
  <si>
    <t>受取家賃が非課売上 + 事業用KW</t>
  </si>
  <si>
    <t>f</t>
  </si>
  <si>
    <t>支払家賃が非課仕入 + 事業用KW</t>
  </si>
  <si>
    <t>給与系が課税区分</t>
  </si>
  <si>
    <t>法定福利費が課税区分</t>
  </si>
  <si>
    <t>法定福利費が対象外（許容）</t>
  </si>
  <si>
    <t>🟢</t>
  </si>
  <si>
    <t>受取利息が課税売上</t>
  </si>
  <si>
    <t>配当金等が課税売上</t>
  </si>
  <si>
    <t>受取利息が対象外（許容/aと排他）</t>
  </si>
  <si>
    <t>配当金等が非課売上（許容/bと排他）</t>
  </si>
  <si>
    <t>損害賠償金の課税性確認</t>
  </si>
  <si>
    <t>雑収入でKWマッチ</t>
  </si>
  <si>
    <t>支払利息が課税/非課売上 (A11)</t>
  </si>
  <si>
    <t>保険料が課税/非課売上 (A10)</t>
  </si>
  <si>
    <t>支払利息が対象外 (A11/aと排他)</t>
  </si>
  <si>
    <t>保険料が対象外 (A10/bと排他)</t>
  </si>
  <si>
    <t>保証料疑い（デュアルルート）</t>
  </si>
  <si>
    <t>租税公課が課税仕入（例外KW除外可）</t>
  </si>
  <si>
    <t>法人税等が課税区分 (Conf: 95)</t>
  </si>
  <si>
    <t>租税公課が非課仕入 (aと排他)</t>
  </si>
  <si>
    <t>軽油引取税の判定要確認 (V1-3-30へ)</t>
  </si>
  <si>
    <t>ゴルフ場利用税・入湯税の判定要確認</t>
  </si>
  <si>
    <t>慶弔見舞金が課税仕入 (Conf: 90)</t>
  </si>
  <si>
    <t>商品券等が課税仕入 (Conf: 90)</t>
  </si>
  <si>
    <t>慶弔見舞金が非課仕入</t>
  </si>
  <si>
    <t>商品券等が対象外</t>
  </si>
  <si>
    <t>課税KWが対象外/非課仕入</t>
  </si>
  <si>
    <t>食品KWが10% (V1-3-20へ)</t>
  </si>
  <si>
    <t>仕様書準拠</t>
  </si>
  <si>
    <t>実装パターン / 特徴</t>
  </si>
  <si>
    <t>売上の税区分検証</t>
  </si>
  <si>
    <t>§5.1</t>
  </si>
  <si>
    <t>Pattern B派生（税区分起点＋KW双方向）</t>
  </si>
  <si>
    <t>土地・住宅家賃</t>
  </si>
  <si>
    <t>§5.2</t>
  </si>
  <si>
    <t>最も複雑なロジック（Phase 4山場）</t>
  </si>
  <si>
    <t>給与・法定福利費</t>
  </si>
  <si>
    <t>§5.3</t>
  </si>
  <si>
    <t>給与系・法定福利費の基本的な課税誤り判定</t>
  </si>
  <si>
    <t>受取利息・配当等</t>
  </si>
  <si>
    <t>§5.4</t>
  </si>
  <si>
    <t>Pattern B（科目カテゴリ×税区分マトリクス）の模範</t>
  </si>
  <si>
    <t>支払利息・保険料</t>
  </si>
  <si>
    <t>§5.5</t>
  </si>
  <si>
    <t>Pattern B＋動的エリア＋デュアルルート</t>
  </si>
  <si>
    <t>§5.6</t>
  </si>
  <si>
    <t>Pattern C（原則判定＋例外KW補正型）</t>
  </si>
  <si>
    <t>§5.7</t>
  </si>
  <si>
    <t>Pattern D（KW優先順位ディスパッチ型）</t>
  </si>
  <si>
    <t>用語</t>
  </si>
  <si>
    <t>日本語訳（推奨）</t>
  </si>
  <si>
    <t>ニュアンス・意味</t>
  </si>
  <si>
    <t>ロジック上、明らかに「間違い」と断定できるもの。</t>
  </si>
  <si>
    <t>「本来こうあるべき」という条件と反対の処理がされている疑い。</t>
  </si>
  <si>
    <t>白黒つけられないため、人間による目視確認が必要なもの。</t>
  </si>
  <si>
    <t>間違いではない可能性が高いが、念のため留意すべき事項。</t>
  </si>
  <si>
    <t>課税10%＋別区分KW</t>
  </si>
  <si>
    <t>軽減8%だが食品外</t>
  </si>
  <si>
    <t>輸出売上・海外KWなし</t>
  </si>
  <si>
    <t>非課売上・例外なし</t>
  </si>
  <si>
    <t>対象外・例外なし</t>
  </si>
  <si>
    <t>住宅家賃（受取）が課税</t>
  </si>
  <si>
    <t>住宅家賃（支払）が課税</t>
  </si>
  <si>
    <t>駐車場判定要確認</t>
  </si>
  <si>
    <t>受取家賃（非課）＋事業用KW</t>
  </si>
  <si>
    <t>支払家賃（非課）＋事業用KW</t>
  </si>
  <si>
    <t>給与が課税区分</t>
  </si>
  <si>
    <t>法定福利費が課税</t>
  </si>
  <si>
    <t>法定福利費は対象外OK</t>
  </si>
  <si>
    <t>受取利息が課税</t>
  </si>
  <si>
    <t>配当が課税</t>
  </si>
  <si>
    <t>受取利息は対象外OK</t>
  </si>
  <si>
    <t>配当は非課OK</t>
  </si>
  <si>
    <t>損害賠償は要確認</t>
  </si>
  <si>
    <t>雑収入でKW一致</t>
  </si>
  <si>
    <t>支払利息が課税扱い</t>
  </si>
  <si>
    <t>保険料が課税扱い</t>
  </si>
  <si>
    <t>支払利息は対象外OK</t>
  </si>
  <si>
    <t>保険料は対象外OK</t>
  </si>
  <si>
    <t>保証料の可能性</t>
  </si>
  <si>
    <t>租税公課が課税</t>
  </si>
  <si>
    <t>法人税等が課税区分</t>
  </si>
  <si>
    <t>租税公課は非課OK</t>
  </si>
  <si>
    <t>軽油引取税は要確認</t>
  </si>
  <si>
    <t>ゴルフ・入湯税は要確認</t>
  </si>
  <si>
    <t>慶弔見舞金が課税</t>
  </si>
  <si>
    <t>商品券が課税</t>
  </si>
  <si>
    <t>慶弔見舞金は非課</t>
  </si>
  <si>
    <t>商品券は対象外</t>
  </si>
  <si>
    <t>課税KWなのに非課/対象外</t>
  </si>
  <si>
    <t>食品なのに10%</t>
  </si>
  <si>
    <t>判定内容</t>
    <rPh sb="0" eb="4">
      <t>ハンテイナイヨウ</t>
    </rPh>
    <phoneticPr fontId="6"/>
  </si>
  <si>
    <t>エラー型</t>
    <rPh sb="3" eb="4">
      <t>ガタ</t>
    </rPh>
    <phoneticPr fontId="6"/>
  </si>
  <si>
    <t>明確な誤り</t>
    <rPh sb="0" eb="2">
      <t>メイカク</t>
    </rPh>
    <rPh sb="3" eb="4">
      <t>アヤマ</t>
    </rPh>
    <phoneticPr fontId="6"/>
  </si>
  <si>
    <t>逆の可能性あり</t>
    <rPh sb="0" eb="1">
      <t>ギャク</t>
    </rPh>
    <rPh sb="2" eb="5">
      <t>カノウセイ</t>
    </rPh>
    <phoneticPr fontId="6"/>
  </si>
  <si>
    <t>判断が必要</t>
    <rPh sb="0" eb="2">
      <t>ハンダン</t>
    </rPh>
    <rPh sb="3" eb="5">
      <t>ヒツヨウ</t>
    </rPh>
    <phoneticPr fontId="6"/>
  </si>
  <si>
    <t>問題なし</t>
    <rPh sb="0" eb="2">
      <t>モンダイ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</si>
</sst>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6"/>
      <name val="Meiryo UI"/>
      <family val="3"/>
      <charset val="128"/>
    </font>
    <font>
      <sz val="10"/>
      <name val="Meiryo UI"/>
      <family val="3"/>
      <charset val="128"/>
    </font>
    <font>
      <b/>
      <sz val="13"/>
      <name val="Meiryo UI"/>
      <family val="3"/>
      <charset val="128"/>
    </font>
    <font>
      <b/>
      <sz val="1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color theme="0"/>
      <name val="Meiryo UI"/>
      <family val="3"/>
      <charset val="128"/>
    </font>
    <font>
      <sz val="10"/>
      <color theme="1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2"/>
        <bgColor rgb="FFC6EFCE"/>
      </patternFill>
    </fill>
    <fill>
      <patternFill patternType="solid">
        <fgColor theme="5" tint="0.79998168889431442"/>
        <bgColor rgb="FFC6EFCE"/>
      </patternFill>
    </fill>
    <fill>
      <patternFill patternType="solid">
        <fgColor theme="9" tint="0.79998168889431442"/>
        <b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/>
    <xf numFmtId="0" fontId="2" fillId="0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right" vertical="center"/>
    </xf>
    <xf numFmtId="0" fontId="8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showGridLines="0" workbookViewId="0">
      <pane ySplit="6" topLeftCell="A7" activePane="bottomLeft" state="frozen"/>
      <selection pane="bottomLeft"/>
    </sheetView>
  </sheetViews>
  <sheetFormatPr defaultRowHeight="13.5" x14ac:dyDescent="0.15"/>
  <cols>
    <col min="1" max="1" width="10" customWidth="1"/>
    <col min="2" max="11" width="10.625" customWidth="1"/>
    <col min="12" max="12" width="14" customWidth="1"/>
    <col min="13" max="13" width="33" bestFit="1" customWidth="1"/>
  </cols>
  <sheetData>
    <row r="1" spans="1:13" ht="21" x14ac:dyDescent="0.15">
      <c r="A1" s="7" t="s">
        <v>83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ht="15" x14ac:dyDescent="0.25">
      <c r="L2" s="9" t="s">
        <v>5</v>
      </c>
      <c r="M2" s="8"/>
    </row>
    <row r="3" spans="1:13" ht="15" x14ac:dyDescent="0.25">
      <c r="A3" s="1" t="s">
        <v>0</v>
      </c>
      <c r="B3" s="1" t="s">
        <v>84</v>
      </c>
      <c r="L3" s="25" t="s">
        <v>6</v>
      </c>
      <c r="M3" s="10" t="s">
        <v>7</v>
      </c>
    </row>
    <row r="4" spans="1:13" ht="15" x14ac:dyDescent="0.25">
      <c r="A4" s="1" t="s">
        <v>1</v>
      </c>
      <c r="B4" s="1" t="s">
        <v>2</v>
      </c>
      <c r="L4" s="26" t="s">
        <v>61</v>
      </c>
      <c r="M4" s="10" t="s">
        <v>74</v>
      </c>
    </row>
    <row r="5" spans="1:13" ht="15" x14ac:dyDescent="0.25">
      <c r="A5" s="1" t="s">
        <v>3</v>
      </c>
      <c r="B5" s="1" t="s">
        <v>4</v>
      </c>
      <c r="L5" s="27" t="s">
        <v>62</v>
      </c>
      <c r="M5" s="10" t="s">
        <v>73</v>
      </c>
    </row>
    <row r="7" spans="1:13" ht="18" x14ac:dyDescent="0.3">
      <c r="A7" s="2" t="s">
        <v>65</v>
      </c>
    </row>
    <row r="8" spans="1:13" x14ac:dyDescent="0.15">
      <c r="D8" s="20"/>
      <c r="E8" s="20"/>
      <c r="F8" s="20"/>
    </row>
    <row r="9" spans="1:13" ht="14.25" x14ac:dyDescent="0.15">
      <c r="A9" s="11" t="s">
        <v>71</v>
      </c>
      <c r="B9" s="12" t="s">
        <v>9</v>
      </c>
      <c r="C9" s="13"/>
      <c r="D9" s="3" t="s">
        <v>6</v>
      </c>
      <c r="E9" s="4" t="s">
        <v>61</v>
      </c>
      <c r="F9" s="5" t="s">
        <v>62</v>
      </c>
      <c r="G9" s="11" t="s">
        <v>10</v>
      </c>
    </row>
    <row r="10" spans="1:13" ht="14.25" x14ac:dyDescent="0.15">
      <c r="A10" s="14" t="s">
        <v>46</v>
      </c>
      <c r="B10" s="15" t="s">
        <v>47</v>
      </c>
      <c r="C10" s="16"/>
      <c r="D10" s="14">
        <v>1</v>
      </c>
      <c r="E10" s="14">
        <v>1</v>
      </c>
      <c r="F10" s="14">
        <v>1</v>
      </c>
      <c r="G10" s="14">
        <v>3</v>
      </c>
    </row>
    <row r="11" spans="1:13" ht="14.25" x14ac:dyDescent="0.15">
      <c r="A11" s="14" t="s">
        <v>48</v>
      </c>
      <c r="B11" s="15" t="s">
        <v>49</v>
      </c>
      <c r="C11" s="16"/>
      <c r="D11" s="14">
        <v>1</v>
      </c>
      <c r="E11" s="14">
        <v>1</v>
      </c>
      <c r="F11" s="14">
        <v>0</v>
      </c>
      <c r="G11" s="14">
        <v>2</v>
      </c>
    </row>
    <row r="12" spans="1:13" ht="14.25" x14ac:dyDescent="0.15">
      <c r="A12" s="14" t="s">
        <v>50</v>
      </c>
      <c r="B12" s="15" t="s">
        <v>51</v>
      </c>
      <c r="C12" s="16"/>
      <c r="D12" s="14">
        <v>1</v>
      </c>
      <c r="E12" s="14">
        <v>1</v>
      </c>
      <c r="F12" s="14">
        <v>1</v>
      </c>
      <c r="G12" s="14">
        <v>3</v>
      </c>
    </row>
    <row r="13" spans="1:13" ht="14.25" x14ac:dyDescent="0.15">
      <c r="A13" s="14" t="s">
        <v>52</v>
      </c>
      <c r="B13" s="15" t="s">
        <v>68</v>
      </c>
      <c r="C13" s="16"/>
      <c r="D13" s="14">
        <v>1</v>
      </c>
      <c r="E13" s="14">
        <v>1</v>
      </c>
      <c r="F13" s="14">
        <v>0</v>
      </c>
      <c r="G13" s="14">
        <v>2</v>
      </c>
    </row>
    <row r="14" spans="1:13" ht="14.25" x14ac:dyDescent="0.15">
      <c r="A14" s="14" t="s">
        <v>53</v>
      </c>
      <c r="B14" s="15" t="s">
        <v>70</v>
      </c>
      <c r="C14" s="16"/>
      <c r="D14" s="14">
        <v>1</v>
      </c>
      <c r="E14" s="14">
        <v>1</v>
      </c>
      <c r="F14" s="14">
        <v>1</v>
      </c>
      <c r="G14" s="14">
        <v>3</v>
      </c>
    </row>
    <row r="15" spans="1:13" ht="14.25" x14ac:dyDescent="0.15">
      <c r="A15" s="14" t="s">
        <v>55</v>
      </c>
      <c r="B15" s="15" t="s">
        <v>59</v>
      </c>
      <c r="C15" s="16"/>
      <c r="D15" s="14">
        <v>1</v>
      </c>
      <c r="E15" s="14">
        <v>1</v>
      </c>
      <c r="F15" s="14">
        <v>0</v>
      </c>
      <c r="G15" s="14">
        <v>2</v>
      </c>
    </row>
    <row r="16" spans="1:13" ht="14.25" x14ac:dyDescent="0.15">
      <c r="A16" s="14" t="s">
        <v>56</v>
      </c>
      <c r="B16" s="15" t="s">
        <v>57</v>
      </c>
      <c r="C16" s="16"/>
      <c r="D16" s="14">
        <v>0</v>
      </c>
      <c r="E16" s="14">
        <v>1</v>
      </c>
      <c r="F16" s="14">
        <v>1</v>
      </c>
      <c r="G16" s="14">
        <v>2</v>
      </c>
    </row>
    <row r="17" spans="1:13" ht="14.25" x14ac:dyDescent="0.15">
      <c r="A17" s="17" t="s">
        <v>10</v>
      </c>
      <c r="B17" s="18"/>
      <c r="C17" s="19"/>
      <c r="D17" s="17">
        <v>6</v>
      </c>
      <c r="E17" s="17">
        <v>7</v>
      </c>
      <c r="F17" s="17">
        <v>4</v>
      </c>
      <c r="G17" s="17">
        <v>17</v>
      </c>
    </row>
    <row r="20" spans="1:13" ht="14.25" x14ac:dyDescent="0.15">
      <c r="A20" s="6" t="s">
        <v>11</v>
      </c>
      <c r="B20" s="23" t="s">
        <v>12</v>
      </c>
      <c r="C20" s="24"/>
      <c r="D20" s="11" t="s">
        <v>71</v>
      </c>
      <c r="E20" s="12" t="s">
        <v>9</v>
      </c>
      <c r="F20" s="13"/>
      <c r="G20" s="6" t="s">
        <v>72</v>
      </c>
      <c r="H20" s="3" t="s">
        <v>13</v>
      </c>
      <c r="I20" s="4" t="s">
        <v>63</v>
      </c>
      <c r="J20" s="5" t="s">
        <v>64</v>
      </c>
      <c r="K20" s="6" t="s">
        <v>14</v>
      </c>
      <c r="L20" s="6" t="s">
        <v>15</v>
      </c>
      <c r="M20" s="6" t="s">
        <v>16</v>
      </c>
    </row>
    <row r="21" spans="1:13" ht="14.25" x14ac:dyDescent="0.15">
      <c r="A21" s="14" t="s">
        <v>85</v>
      </c>
      <c r="B21" s="15" t="s">
        <v>86</v>
      </c>
      <c r="C21" s="16"/>
      <c r="D21" s="14" t="s">
        <v>93</v>
      </c>
      <c r="E21" s="15" t="s">
        <v>49</v>
      </c>
      <c r="F21" s="16"/>
      <c r="G21" s="21">
        <v>2</v>
      </c>
      <c r="H21" s="21">
        <v>1</v>
      </c>
      <c r="I21" s="21">
        <v>1</v>
      </c>
      <c r="J21" s="21">
        <v>0</v>
      </c>
      <c r="K21" s="21">
        <v>2</v>
      </c>
      <c r="L21" s="14" t="s">
        <v>19</v>
      </c>
      <c r="M21" s="22"/>
    </row>
    <row r="22" spans="1:13" ht="14.25" customHeight="1" x14ac:dyDescent="0.15">
      <c r="A22" s="14" t="s">
        <v>17</v>
      </c>
      <c r="B22" s="15" t="s">
        <v>18</v>
      </c>
      <c r="C22" s="16"/>
      <c r="D22" s="14" t="s">
        <v>94</v>
      </c>
      <c r="E22" s="15" t="s">
        <v>51</v>
      </c>
      <c r="F22" s="16"/>
      <c r="G22" s="21">
        <v>3</v>
      </c>
      <c r="H22" s="21">
        <v>1</v>
      </c>
      <c r="I22" s="21">
        <v>1</v>
      </c>
      <c r="J22" s="21">
        <v>1</v>
      </c>
      <c r="K22" s="21">
        <v>3</v>
      </c>
      <c r="L22" s="14" t="s">
        <v>19</v>
      </c>
      <c r="M22" s="22"/>
    </row>
    <row r="23" spans="1:13" ht="14.25" customHeight="1" x14ac:dyDescent="0.15">
      <c r="A23" s="14" t="s">
        <v>17</v>
      </c>
      <c r="B23" s="15" t="s">
        <v>18</v>
      </c>
      <c r="C23" s="16"/>
      <c r="D23" s="14" t="s">
        <v>95</v>
      </c>
      <c r="E23" s="15" t="s">
        <v>57</v>
      </c>
      <c r="F23" s="16"/>
      <c r="G23" s="21">
        <v>2</v>
      </c>
      <c r="H23" s="21">
        <v>0</v>
      </c>
      <c r="I23" s="21">
        <v>1</v>
      </c>
      <c r="J23" s="21">
        <v>1</v>
      </c>
      <c r="K23" s="21">
        <v>2</v>
      </c>
      <c r="L23" s="14" t="s">
        <v>19</v>
      </c>
      <c r="M23" s="22"/>
    </row>
    <row r="24" spans="1:13" ht="14.25" customHeight="1" x14ac:dyDescent="0.15">
      <c r="A24" s="14" t="s">
        <v>87</v>
      </c>
      <c r="B24" s="15" t="s">
        <v>88</v>
      </c>
      <c r="C24" s="16"/>
      <c r="D24" s="14" t="s">
        <v>96</v>
      </c>
      <c r="E24" s="15" t="s">
        <v>47</v>
      </c>
      <c r="F24" s="16"/>
      <c r="G24" s="21">
        <v>3</v>
      </c>
      <c r="H24" s="21">
        <v>1</v>
      </c>
      <c r="I24" s="21">
        <v>1</v>
      </c>
      <c r="J24" s="21">
        <v>1</v>
      </c>
      <c r="K24" s="21">
        <v>3</v>
      </c>
      <c r="L24" s="14" t="s">
        <v>19</v>
      </c>
      <c r="M24" s="22"/>
    </row>
    <row r="25" spans="1:13" ht="14.25" customHeight="1" x14ac:dyDescent="0.15">
      <c r="A25" s="14" t="s">
        <v>89</v>
      </c>
      <c r="B25" s="15" t="s">
        <v>90</v>
      </c>
      <c r="C25" s="16"/>
      <c r="D25" s="14" t="s">
        <v>97</v>
      </c>
      <c r="E25" s="15" t="s">
        <v>69</v>
      </c>
      <c r="F25" s="16"/>
      <c r="G25" s="21">
        <v>3</v>
      </c>
      <c r="H25" s="21">
        <v>1</v>
      </c>
      <c r="I25" s="21">
        <v>1</v>
      </c>
      <c r="J25" s="21">
        <v>1</v>
      </c>
      <c r="K25" s="21">
        <v>3</v>
      </c>
      <c r="L25" s="14" t="s">
        <v>19</v>
      </c>
      <c r="M25" s="22"/>
    </row>
    <row r="26" spans="1:13" ht="14.25" customHeight="1" x14ac:dyDescent="0.15">
      <c r="A26" s="14" t="s">
        <v>20</v>
      </c>
      <c r="B26" s="15" t="s">
        <v>21</v>
      </c>
      <c r="C26" s="16"/>
      <c r="D26" s="14" t="s">
        <v>98</v>
      </c>
      <c r="E26" s="15" t="s">
        <v>67</v>
      </c>
      <c r="F26" s="16"/>
      <c r="G26" s="21">
        <v>2</v>
      </c>
      <c r="H26" s="21">
        <v>1</v>
      </c>
      <c r="I26" s="21">
        <v>1</v>
      </c>
      <c r="J26" s="21">
        <v>0</v>
      </c>
      <c r="K26" s="21">
        <v>2</v>
      </c>
      <c r="L26" s="14" t="s">
        <v>19</v>
      </c>
      <c r="M26" s="22"/>
    </row>
    <row r="27" spans="1:13" ht="14.25" customHeight="1" x14ac:dyDescent="0.15">
      <c r="A27" s="14" t="s">
        <v>91</v>
      </c>
      <c r="B27" s="15" t="s">
        <v>92</v>
      </c>
      <c r="C27" s="16"/>
      <c r="D27" s="14" t="s">
        <v>99</v>
      </c>
      <c r="E27" s="15" t="s">
        <v>58</v>
      </c>
      <c r="F27" s="16"/>
      <c r="G27" s="21">
        <v>2</v>
      </c>
      <c r="H27" s="21">
        <v>1</v>
      </c>
      <c r="I27" s="21">
        <v>1</v>
      </c>
      <c r="J27" s="21">
        <v>0</v>
      </c>
      <c r="K27" s="21">
        <v>2</v>
      </c>
      <c r="L27" s="14" t="s">
        <v>19</v>
      </c>
      <c r="M27" s="22"/>
    </row>
  </sheetData>
  <mergeCells count="25">
    <mergeCell ref="B26:C26"/>
    <mergeCell ref="E26:F26"/>
    <mergeCell ref="B27:C27"/>
    <mergeCell ref="E27:F27"/>
    <mergeCell ref="B23:C23"/>
    <mergeCell ref="E23:F23"/>
    <mergeCell ref="B24:C24"/>
    <mergeCell ref="E24:F24"/>
    <mergeCell ref="B25:C25"/>
    <mergeCell ref="E25:F25"/>
    <mergeCell ref="B21:C21"/>
    <mergeCell ref="B22:C22"/>
    <mergeCell ref="B20:C20"/>
    <mergeCell ref="E20:F20"/>
    <mergeCell ref="E21:F21"/>
    <mergeCell ref="E22:F22"/>
    <mergeCell ref="B13:C13"/>
    <mergeCell ref="B14:C14"/>
    <mergeCell ref="B15:C15"/>
    <mergeCell ref="B16:C16"/>
    <mergeCell ref="B17:C17"/>
    <mergeCell ref="B9:C9"/>
    <mergeCell ref="B10:C10"/>
    <mergeCell ref="B11:C11"/>
    <mergeCell ref="B12:C12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3CFF-13A5-42E7-90DB-E690F7A695F7}">
  <dimension ref="A1:W6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28" customWidth="1"/>
    <col min="2" max="2" width="10" style="28" customWidth="1"/>
    <col min="3" max="3" width="16.875" style="28" customWidth="1"/>
    <col min="4" max="4" width="25" style="28" customWidth="1"/>
    <col min="5" max="5" width="40.625" style="28" customWidth="1"/>
    <col min="6" max="7" width="10.625" style="29" customWidth="1"/>
    <col min="8" max="8" width="12" style="29" customWidth="1"/>
    <col min="9" max="9" width="15" style="29" customWidth="1"/>
    <col min="10" max="11" width="10.625" style="29" customWidth="1"/>
    <col min="12" max="13" width="10.625" style="29" hidden="1" customWidth="1" outlineLevel="1"/>
    <col min="14" max="14" width="20.625" style="28" customWidth="1" collapsed="1"/>
    <col min="15" max="16" width="12" style="28" customWidth="1"/>
    <col min="17" max="18" width="10" style="28" customWidth="1"/>
    <col min="19" max="19" width="8" style="29" customWidth="1"/>
    <col min="20" max="20" width="15" style="29" hidden="1" customWidth="1" outlineLevel="1"/>
    <col min="21" max="21" width="15" style="28" customWidth="1" collapsed="1"/>
    <col min="22" max="22" width="30" style="28" customWidth="1"/>
    <col min="23" max="23" width="20" style="28" customWidth="1"/>
    <col min="24" max="16384" width="9" style="28"/>
  </cols>
  <sheetData>
    <row r="1" spans="1:23" ht="21" x14ac:dyDescent="0.15">
      <c r="A1" s="7" t="s">
        <v>100</v>
      </c>
    </row>
    <row r="2" spans="1:23" ht="14.25" x14ac:dyDescent="0.15">
      <c r="G2" s="30"/>
    </row>
    <row r="3" spans="1:23" ht="14.25" x14ac:dyDescent="0.15">
      <c r="A3" s="6" t="s">
        <v>22</v>
      </c>
      <c r="B3" s="6" t="s">
        <v>77</v>
      </c>
      <c r="C3" s="6" t="s">
        <v>80</v>
      </c>
      <c r="D3" s="6" t="s">
        <v>23</v>
      </c>
      <c r="E3" s="6" t="s">
        <v>24</v>
      </c>
      <c r="F3" s="31" t="s">
        <v>31</v>
      </c>
      <c r="G3" s="31" t="s">
        <v>32</v>
      </c>
      <c r="H3" s="6" t="s">
        <v>25</v>
      </c>
      <c r="I3" s="6" t="s">
        <v>26</v>
      </c>
      <c r="J3" s="6" t="s">
        <v>27</v>
      </c>
      <c r="K3" s="6" t="s">
        <v>82</v>
      </c>
      <c r="L3" s="6" t="s">
        <v>159</v>
      </c>
      <c r="M3" s="6" t="s">
        <v>160</v>
      </c>
      <c r="N3" s="6" t="s">
        <v>28</v>
      </c>
      <c r="O3" s="6" t="s">
        <v>29</v>
      </c>
      <c r="P3" s="6" t="s">
        <v>30</v>
      </c>
      <c r="Q3" s="6" t="s">
        <v>33</v>
      </c>
      <c r="R3" s="6" t="s">
        <v>34</v>
      </c>
      <c r="S3" s="6" t="s">
        <v>35</v>
      </c>
      <c r="T3" s="6" t="s">
        <v>275</v>
      </c>
      <c r="U3" s="6" t="s">
        <v>36</v>
      </c>
      <c r="V3" s="6" t="s">
        <v>37</v>
      </c>
      <c r="W3" s="6" t="s">
        <v>38</v>
      </c>
    </row>
    <row r="4" spans="1:23" ht="42.75" x14ac:dyDescent="0.15">
      <c r="A4" s="35" t="s">
        <v>6</v>
      </c>
      <c r="B4" s="35" t="s">
        <v>101</v>
      </c>
      <c r="C4" s="35" t="s">
        <v>49</v>
      </c>
      <c r="D4" s="36" t="s">
        <v>102</v>
      </c>
      <c r="E4" s="36" t="s">
        <v>102</v>
      </c>
      <c r="F4" s="35" t="s">
        <v>103</v>
      </c>
      <c r="G4" s="35" t="s">
        <v>54</v>
      </c>
      <c r="H4" s="35" t="s">
        <v>39</v>
      </c>
      <c r="I4" s="35" t="s">
        <v>104</v>
      </c>
      <c r="J4" s="35" t="s">
        <v>19</v>
      </c>
      <c r="K4" s="35"/>
      <c r="L4" s="35"/>
      <c r="M4" s="35"/>
      <c r="N4" s="36"/>
      <c r="O4" s="37" t="s">
        <v>19</v>
      </c>
      <c r="P4" s="37" t="s">
        <v>19</v>
      </c>
      <c r="Q4" s="36"/>
      <c r="R4" s="36"/>
      <c r="S4" s="35">
        <v>80</v>
      </c>
      <c r="T4" s="35" t="s">
        <v>105</v>
      </c>
      <c r="U4" s="36"/>
      <c r="V4" s="36"/>
      <c r="W4" s="36" t="s">
        <v>19</v>
      </c>
    </row>
    <row r="5" spans="1:23" ht="28.5" x14ac:dyDescent="0.15">
      <c r="A5" s="38" t="s">
        <v>60</v>
      </c>
      <c r="B5" s="38" t="s">
        <v>106</v>
      </c>
      <c r="C5" s="38" t="s">
        <v>49</v>
      </c>
      <c r="D5" s="39" t="s">
        <v>107</v>
      </c>
      <c r="E5" s="39" t="s">
        <v>107</v>
      </c>
      <c r="F5" s="38" t="s">
        <v>103</v>
      </c>
      <c r="G5" s="38" t="s">
        <v>54</v>
      </c>
      <c r="H5" s="38" t="s">
        <v>39</v>
      </c>
      <c r="I5" s="38" t="s">
        <v>108</v>
      </c>
      <c r="J5" s="38" t="s">
        <v>19</v>
      </c>
      <c r="K5" s="38"/>
      <c r="L5" s="38"/>
      <c r="M5" s="38"/>
      <c r="N5" s="39"/>
      <c r="O5" s="40" t="s">
        <v>19</v>
      </c>
      <c r="P5" s="40" t="s">
        <v>19</v>
      </c>
      <c r="Q5" s="39"/>
      <c r="R5" s="39"/>
      <c r="S5" s="38">
        <v>80</v>
      </c>
      <c r="T5" s="38" t="s">
        <v>109</v>
      </c>
      <c r="U5" s="39"/>
      <c r="V5" s="39"/>
      <c r="W5" s="39" t="s">
        <v>19</v>
      </c>
    </row>
    <row r="6" spans="1:23" ht="14.25" x14ac:dyDescent="0.15">
      <c r="A6" s="32" t="s">
        <v>62</v>
      </c>
      <c r="B6" s="32"/>
      <c r="C6" s="32"/>
      <c r="D6" s="33"/>
      <c r="E6" s="33"/>
      <c r="F6" s="32"/>
      <c r="G6" s="32"/>
      <c r="H6" s="32"/>
      <c r="I6" s="32"/>
      <c r="J6" s="32"/>
      <c r="K6" s="32"/>
      <c r="L6" s="32"/>
      <c r="M6" s="32"/>
      <c r="N6" s="33"/>
      <c r="O6" s="34"/>
      <c r="P6" s="34"/>
      <c r="Q6" s="33"/>
      <c r="R6" s="33"/>
      <c r="S6" s="32"/>
      <c r="T6" s="32"/>
      <c r="U6" s="33"/>
      <c r="V6" s="33"/>
      <c r="W6" s="33"/>
    </row>
  </sheetData>
  <autoFilter ref="A3:W3" xr:uid="{00000000-0009-0000-0000-000001000000}"/>
  <phoneticPr fontId="6"/>
  <dataValidations count="1">
    <dataValidation type="list" allowBlank="1" sqref="U4:U6" xr:uid="{E99982F4-0428-4D75-96BF-FE9F8BAC52F0}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28" customWidth="1"/>
    <col min="2" max="2" width="10" style="28" customWidth="1"/>
    <col min="3" max="3" width="16.875" style="28" customWidth="1"/>
    <col min="4" max="4" width="25" style="28" customWidth="1"/>
    <col min="5" max="5" width="40.625" style="28" customWidth="1"/>
    <col min="6" max="7" width="10.625" style="29" customWidth="1"/>
    <col min="8" max="8" width="12" style="29" customWidth="1"/>
    <col min="9" max="9" width="15" style="29" customWidth="1"/>
    <col min="10" max="11" width="10.625" style="29" customWidth="1"/>
    <col min="12" max="13" width="10.625" style="29" hidden="1" customWidth="1" outlineLevel="1"/>
    <col min="14" max="14" width="20.625" style="28" customWidth="1" collapsed="1"/>
    <col min="15" max="16" width="12" style="28" customWidth="1"/>
    <col min="17" max="18" width="10" style="28" customWidth="1"/>
    <col min="19" max="19" width="8" style="29" customWidth="1"/>
    <col min="20" max="20" width="15" style="29" hidden="1" customWidth="1" outlineLevel="1"/>
    <col min="21" max="21" width="15" style="28" customWidth="1" collapsed="1"/>
    <col min="22" max="22" width="30" style="28" customWidth="1"/>
    <col min="23" max="23" width="20" style="28" customWidth="1"/>
    <col min="24" max="16384" width="9" style="28"/>
  </cols>
  <sheetData>
    <row r="1" spans="1:23" ht="21" x14ac:dyDescent="0.15">
      <c r="A1" s="7" t="s">
        <v>75</v>
      </c>
    </row>
    <row r="2" spans="1:23" ht="14.25" x14ac:dyDescent="0.15">
      <c r="G2" s="30"/>
    </row>
    <row r="3" spans="1:23" ht="14.25" x14ac:dyDescent="0.15">
      <c r="A3" s="6" t="s">
        <v>22</v>
      </c>
      <c r="B3" s="6" t="s">
        <v>77</v>
      </c>
      <c r="C3" s="6" t="s">
        <v>80</v>
      </c>
      <c r="D3" s="6" t="s">
        <v>23</v>
      </c>
      <c r="E3" s="6" t="s">
        <v>24</v>
      </c>
      <c r="F3" s="31" t="s">
        <v>31</v>
      </c>
      <c r="G3" s="31" t="s">
        <v>32</v>
      </c>
      <c r="H3" s="6" t="s">
        <v>25</v>
      </c>
      <c r="I3" s="6" t="s">
        <v>26</v>
      </c>
      <c r="J3" s="6" t="s">
        <v>27</v>
      </c>
      <c r="K3" s="6" t="s">
        <v>82</v>
      </c>
      <c r="L3" s="6" t="s">
        <v>159</v>
      </c>
      <c r="M3" s="6" t="s">
        <v>160</v>
      </c>
      <c r="N3" s="6" t="s">
        <v>28</v>
      </c>
      <c r="O3" s="6" t="s">
        <v>29</v>
      </c>
      <c r="P3" s="6" t="s">
        <v>30</v>
      </c>
      <c r="Q3" s="6" t="s">
        <v>33</v>
      </c>
      <c r="R3" s="6" t="s">
        <v>34</v>
      </c>
      <c r="S3" s="6" t="s">
        <v>35</v>
      </c>
      <c r="T3" s="6" t="s">
        <v>275</v>
      </c>
      <c r="U3" s="6" t="s">
        <v>36</v>
      </c>
      <c r="V3" s="6" t="s">
        <v>37</v>
      </c>
      <c r="W3" s="6" t="s">
        <v>38</v>
      </c>
    </row>
    <row r="4" spans="1:23" ht="42.75" x14ac:dyDescent="0.15">
      <c r="A4" s="35" t="s">
        <v>6</v>
      </c>
      <c r="B4" s="35" t="s">
        <v>110</v>
      </c>
      <c r="C4" s="35" t="s">
        <v>51</v>
      </c>
      <c r="D4" s="36" t="s">
        <v>111</v>
      </c>
      <c r="E4" s="36" t="s">
        <v>111</v>
      </c>
      <c r="F4" s="35" t="s">
        <v>103</v>
      </c>
      <c r="G4" s="35" t="s">
        <v>40</v>
      </c>
      <c r="H4" s="35" t="s">
        <v>39</v>
      </c>
      <c r="I4" s="35" t="s">
        <v>112</v>
      </c>
      <c r="J4" s="35" t="s">
        <v>19</v>
      </c>
      <c r="K4" s="35"/>
      <c r="L4" s="35"/>
      <c r="M4" s="35"/>
      <c r="N4" s="36"/>
      <c r="O4" s="37" t="s">
        <v>19</v>
      </c>
      <c r="P4" s="37" t="s">
        <v>19</v>
      </c>
      <c r="Q4" s="36"/>
      <c r="R4" s="36"/>
      <c r="S4" s="35">
        <v>80</v>
      </c>
      <c r="T4" s="35" t="s">
        <v>105</v>
      </c>
      <c r="U4" s="36"/>
      <c r="V4" s="36"/>
      <c r="W4" s="36" t="s">
        <v>19</v>
      </c>
    </row>
    <row r="5" spans="1:23" ht="28.5" x14ac:dyDescent="0.15">
      <c r="A5" s="38" t="s">
        <v>60</v>
      </c>
      <c r="B5" s="38" t="s">
        <v>113</v>
      </c>
      <c r="C5" s="38" t="s">
        <v>51</v>
      </c>
      <c r="D5" s="39" t="s">
        <v>114</v>
      </c>
      <c r="E5" s="39" t="s">
        <v>114</v>
      </c>
      <c r="F5" s="38" t="s">
        <v>103</v>
      </c>
      <c r="G5" s="38" t="s">
        <v>40</v>
      </c>
      <c r="H5" s="38" t="s">
        <v>39</v>
      </c>
      <c r="I5" s="38" t="s">
        <v>115</v>
      </c>
      <c r="J5" s="38" t="s">
        <v>19</v>
      </c>
      <c r="K5" s="38"/>
      <c r="L5" s="38"/>
      <c r="M5" s="38"/>
      <c r="N5" s="39"/>
      <c r="O5" s="40" t="s">
        <v>19</v>
      </c>
      <c r="P5" s="40" t="s">
        <v>19</v>
      </c>
      <c r="Q5" s="39"/>
      <c r="R5" s="39"/>
      <c r="S5" s="38">
        <v>90</v>
      </c>
      <c r="T5" s="38" t="s">
        <v>109</v>
      </c>
      <c r="U5" s="39"/>
      <c r="V5" s="39"/>
      <c r="W5" s="39" t="s">
        <v>19</v>
      </c>
    </row>
    <row r="6" spans="1:23" ht="42.75" x14ac:dyDescent="0.15">
      <c r="A6" s="38" t="s">
        <v>60</v>
      </c>
      <c r="B6" s="38" t="s">
        <v>119</v>
      </c>
      <c r="C6" s="38" t="s">
        <v>57</v>
      </c>
      <c r="D6" s="39" t="s">
        <v>120</v>
      </c>
      <c r="E6" s="39" t="s">
        <v>120</v>
      </c>
      <c r="F6" s="38" t="s">
        <v>103</v>
      </c>
      <c r="G6" s="38" t="s">
        <v>40</v>
      </c>
      <c r="H6" s="38" t="s">
        <v>39</v>
      </c>
      <c r="I6" s="38" t="s">
        <v>118</v>
      </c>
      <c r="J6" s="38" t="s">
        <v>19</v>
      </c>
      <c r="K6" s="38"/>
      <c r="L6" s="38"/>
      <c r="M6" s="38"/>
      <c r="N6" s="39"/>
      <c r="O6" s="40" t="s">
        <v>19</v>
      </c>
      <c r="P6" s="40" t="s">
        <v>19</v>
      </c>
      <c r="Q6" s="39"/>
      <c r="R6" s="39"/>
      <c r="S6" s="38">
        <v>80</v>
      </c>
      <c r="T6" s="38" t="s">
        <v>109</v>
      </c>
      <c r="U6" s="39"/>
      <c r="V6" s="39"/>
      <c r="W6" s="39" t="s">
        <v>19</v>
      </c>
    </row>
    <row r="7" spans="1:23" ht="42.75" x14ac:dyDescent="0.15">
      <c r="A7" s="32" t="s">
        <v>8</v>
      </c>
      <c r="B7" s="32" t="s">
        <v>116</v>
      </c>
      <c r="C7" s="32" t="s">
        <v>51</v>
      </c>
      <c r="D7" s="33" t="s">
        <v>117</v>
      </c>
      <c r="E7" s="33" t="s">
        <v>117</v>
      </c>
      <c r="F7" s="32" t="s">
        <v>103</v>
      </c>
      <c r="G7" s="32" t="s">
        <v>40</v>
      </c>
      <c r="H7" s="32" t="s">
        <v>39</v>
      </c>
      <c r="I7" s="32" t="s">
        <v>118</v>
      </c>
      <c r="J7" s="32" t="s">
        <v>19</v>
      </c>
      <c r="K7" s="32"/>
      <c r="L7" s="32"/>
      <c r="M7" s="32"/>
      <c r="N7" s="33"/>
      <c r="O7" s="34" t="s">
        <v>19</v>
      </c>
      <c r="P7" s="34" t="s">
        <v>19</v>
      </c>
      <c r="Q7" s="33"/>
      <c r="R7" s="33"/>
      <c r="S7" s="32">
        <v>60</v>
      </c>
      <c r="T7" s="32" t="s">
        <v>42</v>
      </c>
      <c r="U7" s="33"/>
      <c r="V7" s="33"/>
      <c r="W7" s="33" t="s">
        <v>19</v>
      </c>
    </row>
    <row r="8" spans="1:23" ht="42.75" x14ac:dyDescent="0.15">
      <c r="A8" s="32" t="s">
        <v>8</v>
      </c>
      <c r="B8" s="32" t="s">
        <v>121</v>
      </c>
      <c r="C8" s="32" t="s">
        <v>57</v>
      </c>
      <c r="D8" s="33" t="s">
        <v>122</v>
      </c>
      <c r="E8" s="33" t="s">
        <v>123</v>
      </c>
      <c r="F8" s="32" t="s">
        <v>103</v>
      </c>
      <c r="G8" s="32" t="s">
        <v>103</v>
      </c>
      <c r="H8" s="32" t="s">
        <v>39</v>
      </c>
      <c r="I8" s="32" t="s">
        <v>118</v>
      </c>
      <c r="J8" s="32" t="s">
        <v>19</v>
      </c>
      <c r="K8" s="32"/>
      <c r="L8" s="32"/>
      <c r="M8" s="32"/>
      <c r="N8" s="33"/>
      <c r="O8" s="34" t="s">
        <v>19</v>
      </c>
      <c r="P8" s="34" t="s">
        <v>19</v>
      </c>
      <c r="Q8" s="33"/>
      <c r="R8" s="33"/>
      <c r="S8" s="32">
        <v>70</v>
      </c>
      <c r="T8" s="32" t="s">
        <v>42</v>
      </c>
      <c r="U8" s="33"/>
      <c r="V8" s="33"/>
      <c r="W8" s="33" t="s">
        <v>19</v>
      </c>
    </row>
  </sheetData>
  <autoFilter ref="A3:W3" xr:uid="{00000000-0009-0000-0000-000001000000}"/>
  <phoneticPr fontId="6"/>
  <dataValidations count="1">
    <dataValidation type="list" allowBlank="1" sqref="U8 U4:U7" xr:uid="{00000000-0002-0000-0100-000000000000}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4592-C209-4013-9E79-BEC7FFD317F2}">
  <dimension ref="A1:W6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28" customWidth="1"/>
    <col min="2" max="2" width="10" style="28" customWidth="1"/>
    <col min="3" max="3" width="16.875" style="28" customWidth="1"/>
    <col min="4" max="4" width="25" style="28" customWidth="1"/>
    <col min="5" max="5" width="40.625" style="28" customWidth="1"/>
    <col min="6" max="7" width="10.625" style="29" customWidth="1"/>
    <col min="8" max="8" width="12" style="29" customWidth="1"/>
    <col min="9" max="9" width="15" style="29" customWidth="1"/>
    <col min="10" max="11" width="10.625" style="29" customWidth="1"/>
    <col min="12" max="13" width="10.625" style="29" hidden="1" customWidth="1" outlineLevel="1"/>
    <col min="14" max="14" width="20.625" style="28" customWidth="1" collapsed="1"/>
    <col min="15" max="16" width="12" style="28" customWidth="1"/>
    <col min="17" max="18" width="10" style="28" customWidth="1"/>
    <col min="19" max="19" width="8" style="29" customWidth="1"/>
    <col min="20" max="20" width="15" style="29" hidden="1" customWidth="1" outlineLevel="1"/>
    <col min="21" max="21" width="15" style="28" customWidth="1" collapsed="1"/>
    <col min="22" max="22" width="30" style="28" customWidth="1"/>
    <col min="23" max="23" width="20" style="28" customWidth="1"/>
    <col min="24" max="16384" width="9" style="28"/>
  </cols>
  <sheetData>
    <row r="1" spans="1:23" ht="21" x14ac:dyDescent="0.15">
      <c r="A1" s="7" t="s">
        <v>124</v>
      </c>
    </row>
    <row r="2" spans="1:23" ht="14.25" x14ac:dyDescent="0.15">
      <c r="G2" s="30"/>
    </row>
    <row r="3" spans="1:23" ht="14.25" x14ac:dyDescent="0.15">
      <c r="A3" s="6" t="s">
        <v>22</v>
      </c>
      <c r="B3" s="6" t="s">
        <v>77</v>
      </c>
      <c r="C3" s="6" t="s">
        <v>80</v>
      </c>
      <c r="D3" s="6" t="s">
        <v>23</v>
      </c>
      <c r="E3" s="6" t="s">
        <v>24</v>
      </c>
      <c r="F3" s="31" t="s">
        <v>31</v>
      </c>
      <c r="G3" s="31" t="s">
        <v>32</v>
      </c>
      <c r="H3" s="6" t="s">
        <v>25</v>
      </c>
      <c r="I3" s="6" t="s">
        <v>26</v>
      </c>
      <c r="J3" s="6" t="s">
        <v>27</v>
      </c>
      <c r="K3" s="6" t="s">
        <v>82</v>
      </c>
      <c r="L3" s="6" t="s">
        <v>159</v>
      </c>
      <c r="M3" s="6" t="s">
        <v>160</v>
      </c>
      <c r="N3" s="6" t="s">
        <v>28</v>
      </c>
      <c r="O3" s="6" t="s">
        <v>29</v>
      </c>
      <c r="P3" s="6" t="s">
        <v>30</v>
      </c>
      <c r="Q3" s="6" t="s">
        <v>33</v>
      </c>
      <c r="R3" s="6" t="s">
        <v>34</v>
      </c>
      <c r="S3" s="6" t="s">
        <v>35</v>
      </c>
      <c r="T3" s="6" t="s">
        <v>275</v>
      </c>
      <c r="U3" s="6" t="s">
        <v>36</v>
      </c>
      <c r="V3" s="6" t="s">
        <v>37</v>
      </c>
      <c r="W3" s="6" t="s">
        <v>38</v>
      </c>
    </row>
    <row r="4" spans="1:23" ht="42.75" x14ac:dyDescent="0.15">
      <c r="A4" s="35" t="s">
        <v>6</v>
      </c>
      <c r="B4" s="35" t="s">
        <v>125</v>
      </c>
      <c r="C4" s="35" t="s">
        <v>47</v>
      </c>
      <c r="D4" s="36" t="s">
        <v>126</v>
      </c>
      <c r="E4" s="36" t="s">
        <v>126</v>
      </c>
      <c r="F4" s="35" t="s">
        <v>127</v>
      </c>
      <c r="G4" s="35" t="s">
        <v>128</v>
      </c>
      <c r="H4" s="35" t="s">
        <v>39</v>
      </c>
      <c r="I4" s="35" t="s">
        <v>129</v>
      </c>
      <c r="J4" s="35" t="s">
        <v>19</v>
      </c>
      <c r="K4" s="35"/>
      <c r="L4" s="35"/>
      <c r="M4" s="35"/>
      <c r="N4" s="36"/>
      <c r="O4" s="37" t="s">
        <v>19</v>
      </c>
      <c r="P4" s="37" t="s">
        <v>19</v>
      </c>
      <c r="Q4" s="36"/>
      <c r="R4" s="36"/>
      <c r="S4" s="35">
        <v>80</v>
      </c>
      <c r="T4" s="35" t="s">
        <v>105</v>
      </c>
      <c r="U4" s="36"/>
      <c r="V4" s="36"/>
      <c r="W4" s="36" t="s">
        <v>19</v>
      </c>
    </row>
    <row r="5" spans="1:23" ht="42.75" x14ac:dyDescent="0.15">
      <c r="A5" s="38" t="s">
        <v>60</v>
      </c>
      <c r="B5" s="38" t="s">
        <v>130</v>
      </c>
      <c r="C5" s="38" t="s">
        <v>47</v>
      </c>
      <c r="D5" s="39" t="s">
        <v>131</v>
      </c>
      <c r="E5" s="39" t="s">
        <v>132</v>
      </c>
      <c r="F5" s="38" t="s">
        <v>133</v>
      </c>
      <c r="G5" s="38" t="s">
        <v>127</v>
      </c>
      <c r="H5" s="38" t="s">
        <v>39</v>
      </c>
      <c r="I5" s="38" t="s">
        <v>129</v>
      </c>
      <c r="J5" s="38" t="s">
        <v>19</v>
      </c>
      <c r="K5" s="38"/>
      <c r="L5" s="38"/>
      <c r="M5" s="38"/>
      <c r="N5" s="39"/>
      <c r="O5" s="40" t="s">
        <v>19</v>
      </c>
      <c r="P5" s="40" t="s">
        <v>19</v>
      </c>
      <c r="Q5" s="39"/>
      <c r="R5" s="39"/>
      <c r="S5" s="38">
        <v>80</v>
      </c>
      <c r="T5" s="38" t="s">
        <v>109</v>
      </c>
      <c r="U5" s="39"/>
      <c r="V5" s="39"/>
      <c r="W5" s="39" t="s">
        <v>19</v>
      </c>
    </row>
    <row r="6" spans="1:23" ht="28.5" x14ac:dyDescent="0.15">
      <c r="A6" s="32" t="s">
        <v>8</v>
      </c>
      <c r="B6" s="32" t="s">
        <v>134</v>
      </c>
      <c r="C6" s="32" t="s">
        <v>47</v>
      </c>
      <c r="D6" s="33" t="s">
        <v>135</v>
      </c>
      <c r="E6" s="33" t="s">
        <v>135</v>
      </c>
      <c r="F6" s="32" t="s">
        <v>127</v>
      </c>
      <c r="G6" s="32" t="s">
        <v>40</v>
      </c>
      <c r="H6" s="32" t="s">
        <v>39</v>
      </c>
      <c r="I6" s="32" t="s">
        <v>136</v>
      </c>
      <c r="J6" s="32" t="s">
        <v>19</v>
      </c>
      <c r="K6" s="32"/>
      <c r="L6" s="32"/>
      <c r="M6" s="32"/>
      <c r="N6" s="33"/>
      <c r="O6" s="34" t="s">
        <v>19</v>
      </c>
      <c r="P6" s="34" t="s">
        <v>19</v>
      </c>
      <c r="Q6" s="33"/>
      <c r="R6" s="33"/>
      <c r="S6" s="32">
        <v>80</v>
      </c>
      <c r="T6" s="32" t="s">
        <v>42</v>
      </c>
      <c r="U6" s="33"/>
      <c r="V6" s="33"/>
      <c r="W6" s="33" t="s">
        <v>19</v>
      </c>
    </row>
  </sheetData>
  <autoFilter ref="A3:W3" xr:uid="{00000000-0009-0000-0000-000001000000}"/>
  <phoneticPr fontId="6"/>
  <dataValidations count="1">
    <dataValidation type="list" allowBlank="1" sqref="U4:U6" xr:uid="{D0A449EB-3231-4E6B-A0FF-18877FA11990}">
      <formula1>"〇,×,保留"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AAE8-EADB-44B1-8F3E-64CD5B40E686}">
  <dimension ref="A1:W6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28" customWidth="1"/>
    <col min="2" max="2" width="10" style="28" customWidth="1"/>
    <col min="3" max="3" width="16.875" style="28" customWidth="1"/>
    <col min="4" max="4" width="25" style="28" customWidth="1"/>
    <col min="5" max="5" width="40.625" style="28" customWidth="1"/>
    <col min="6" max="7" width="10.625" style="29" customWidth="1"/>
    <col min="8" max="8" width="12" style="29" customWidth="1"/>
    <col min="9" max="9" width="15" style="29" customWidth="1"/>
    <col min="10" max="11" width="10.625" style="29" customWidth="1"/>
    <col min="12" max="13" width="10.625" style="29" hidden="1" customWidth="1" outlineLevel="1"/>
    <col min="14" max="14" width="20.625" style="28" customWidth="1" collapsed="1"/>
    <col min="15" max="16" width="12" style="28" customWidth="1"/>
    <col min="17" max="18" width="10" style="28" customWidth="1"/>
    <col min="19" max="19" width="8" style="29" customWidth="1"/>
    <col min="20" max="20" width="15" style="29" hidden="1" customWidth="1" outlineLevel="1"/>
    <col min="21" max="21" width="15" style="28" customWidth="1" collapsed="1"/>
    <col min="22" max="22" width="30" style="28" customWidth="1"/>
    <col min="23" max="23" width="20" style="28" customWidth="1"/>
    <col min="24" max="16384" width="9" style="28"/>
  </cols>
  <sheetData>
    <row r="1" spans="1:23" ht="21" x14ac:dyDescent="0.15">
      <c r="A1" s="7" t="s">
        <v>137</v>
      </c>
    </row>
    <row r="2" spans="1:23" ht="14.25" x14ac:dyDescent="0.15">
      <c r="G2" s="30"/>
    </row>
    <row r="3" spans="1:23" ht="14.25" x14ac:dyDescent="0.15">
      <c r="A3" s="6" t="s">
        <v>22</v>
      </c>
      <c r="B3" s="6" t="s">
        <v>77</v>
      </c>
      <c r="C3" s="6" t="s">
        <v>80</v>
      </c>
      <c r="D3" s="6" t="s">
        <v>23</v>
      </c>
      <c r="E3" s="6" t="s">
        <v>24</v>
      </c>
      <c r="F3" s="31" t="s">
        <v>31</v>
      </c>
      <c r="G3" s="31" t="s">
        <v>32</v>
      </c>
      <c r="H3" s="6" t="s">
        <v>25</v>
      </c>
      <c r="I3" s="6" t="s">
        <v>26</v>
      </c>
      <c r="J3" s="6" t="s">
        <v>27</v>
      </c>
      <c r="K3" s="6" t="s">
        <v>82</v>
      </c>
      <c r="L3" s="6" t="s">
        <v>159</v>
      </c>
      <c r="M3" s="6" t="s">
        <v>160</v>
      </c>
      <c r="N3" s="6" t="s">
        <v>28</v>
      </c>
      <c r="O3" s="6" t="s">
        <v>29</v>
      </c>
      <c r="P3" s="6" t="s">
        <v>30</v>
      </c>
      <c r="Q3" s="6" t="s">
        <v>33</v>
      </c>
      <c r="R3" s="6" t="s">
        <v>34</v>
      </c>
      <c r="S3" s="6" t="s">
        <v>35</v>
      </c>
      <c r="T3" s="6" t="s">
        <v>275</v>
      </c>
      <c r="U3" s="6" t="s">
        <v>36</v>
      </c>
      <c r="V3" s="6" t="s">
        <v>37</v>
      </c>
      <c r="W3" s="6" t="s">
        <v>38</v>
      </c>
    </row>
    <row r="4" spans="1:23" ht="28.5" x14ac:dyDescent="0.15">
      <c r="A4" s="35" t="s">
        <v>6</v>
      </c>
      <c r="B4" s="35" t="s">
        <v>138</v>
      </c>
      <c r="C4" s="35" t="s">
        <v>69</v>
      </c>
      <c r="D4" s="36" t="s">
        <v>139</v>
      </c>
      <c r="E4" s="36" t="s">
        <v>139</v>
      </c>
      <c r="F4" s="35" t="s">
        <v>103</v>
      </c>
      <c r="G4" s="35" t="s">
        <v>54</v>
      </c>
      <c r="H4" s="35" t="s">
        <v>39</v>
      </c>
      <c r="I4" s="35" t="s">
        <v>44</v>
      </c>
      <c r="J4" s="35" t="s">
        <v>19</v>
      </c>
      <c r="K4" s="35"/>
      <c r="L4" s="35"/>
      <c r="M4" s="35"/>
      <c r="N4" s="36"/>
      <c r="O4" s="37" t="s">
        <v>19</v>
      </c>
      <c r="P4" s="37" t="s">
        <v>19</v>
      </c>
      <c r="Q4" s="36"/>
      <c r="R4" s="36"/>
      <c r="S4" s="35">
        <v>80</v>
      </c>
      <c r="T4" s="35" t="s">
        <v>105</v>
      </c>
      <c r="U4" s="36"/>
      <c r="V4" s="36"/>
      <c r="W4" s="36" t="s">
        <v>19</v>
      </c>
    </row>
    <row r="5" spans="1:23" ht="42.75" x14ac:dyDescent="0.15">
      <c r="A5" s="38" t="s">
        <v>60</v>
      </c>
      <c r="B5" s="38" t="s">
        <v>140</v>
      </c>
      <c r="C5" s="38" t="s">
        <v>69</v>
      </c>
      <c r="D5" s="39" t="s">
        <v>141</v>
      </c>
      <c r="E5" s="39" t="s">
        <v>141</v>
      </c>
      <c r="F5" s="38" t="s">
        <v>103</v>
      </c>
      <c r="G5" s="38" t="s">
        <v>40</v>
      </c>
      <c r="H5" s="38" t="s">
        <v>39</v>
      </c>
      <c r="I5" s="38" t="s">
        <v>142</v>
      </c>
      <c r="J5" s="38" t="s">
        <v>19</v>
      </c>
      <c r="K5" s="38"/>
      <c r="L5" s="38"/>
      <c r="M5" s="38"/>
      <c r="N5" s="39"/>
      <c r="O5" s="40" t="s">
        <v>19</v>
      </c>
      <c r="P5" s="40" t="s">
        <v>19</v>
      </c>
      <c r="Q5" s="39"/>
      <c r="R5" s="39"/>
      <c r="S5" s="38">
        <v>80</v>
      </c>
      <c r="T5" s="38" t="s">
        <v>109</v>
      </c>
      <c r="U5" s="39"/>
      <c r="V5" s="39"/>
      <c r="W5" s="39" t="s">
        <v>19</v>
      </c>
    </row>
    <row r="6" spans="1:23" ht="42.75" x14ac:dyDescent="0.15">
      <c r="A6" s="32" t="s">
        <v>8</v>
      </c>
      <c r="B6" s="32" t="s">
        <v>143</v>
      </c>
      <c r="C6" s="32" t="s">
        <v>69</v>
      </c>
      <c r="D6" s="33" t="s">
        <v>144</v>
      </c>
      <c r="E6" s="33" t="s">
        <v>144</v>
      </c>
      <c r="F6" s="32" t="s">
        <v>103</v>
      </c>
      <c r="G6" s="32" t="s">
        <v>40</v>
      </c>
      <c r="H6" s="32" t="s">
        <v>39</v>
      </c>
      <c r="I6" s="32" t="s">
        <v>145</v>
      </c>
      <c r="J6" s="32" t="s">
        <v>19</v>
      </c>
      <c r="K6" s="32"/>
      <c r="L6" s="32"/>
      <c r="M6" s="32"/>
      <c r="N6" s="33"/>
      <c r="O6" s="34" t="s">
        <v>19</v>
      </c>
      <c r="P6" s="34" t="s">
        <v>19</v>
      </c>
      <c r="Q6" s="33"/>
      <c r="R6" s="33"/>
      <c r="S6" s="32">
        <v>65</v>
      </c>
      <c r="T6" s="32" t="s">
        <v>42</v>
      </c>
      <c r="U6" s="33"/>
      <c r="V6" s="33"/>
      <c r="W6" s="33" t="s">
        <v>19</v>
      </c>
    </row>
  </sheetData>
  <autoFilter ref="A3:W3" xr:uid="{00000000-0009-0000-0000-000001000000}"/>
  <phoneticPr fontId="6"/>
  <dataValidations count="1">
    <dataValidation type="list" allowBlank="1" sqref="U4:U6" xr:uid="{F21D6787-71CB-4764-A809-7FEC4F002430}">
      <formula1>"〇,×,保留"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28" customWidth="1"/>
    <col min="2" max="2" width="10" style="28" customWidth="1"/>
    <col min="3" max="3" width="16.875" style="28" customWidth="1"/>
    <col min="4" max="4" width="25" style="28" customWidth="1"/>
    <col min="5" max="5" width="40.625" style="28" customWidth="1"/>
    <col min="6" max="7" width="10.625" style="29" customWidth="1"/>
    <col min="8" max="8" width="12" style="29" customWidth="1"/>
    <col min="9" max="9" width="15" style="29" customWidth="1"/>
    <col min="10" max="11" width="10.625" style="29" customWidth="1"/>
    <col min="12" max="13" width="10.625" style="29" hidden="1" customWidth="1" outlineLevel="1"/>
    <col min="14" max="14" width="20.625" style="28" customWidth="1" collapsed="1"/>
    <col min="15" max="16" width="12" style="28" customWidth="1"/>
    <col min="17" max="18" width="10" style="28" customWidth="1"/>
    <col min="19" max="19" width="8" style="29" customWidth="1"/>
    <col min="20" max="20" width="15" style="29" hidden="1" customWidth="1" outlineLevel="1"/>
    <col min="21" max="21" width="15" style="28" customWidth="1" collapsed="1"/>
    <col min="22" max="22" width="30" style="28" customWidth="1"/>
    <col min="23" max="23" width="20" style="28" customWidth="1"/>
    <col min="24" max="16384" width="9" style="28"/>
  </cols>
  <sheetData>
    <row r="1" spans="1:23" ht="21" x14ac:dyDescent="0.15">
      <c r="A1" s="7" t="s">
        <v>76</v>
      </c>
    </row>
    <row r="2" spans="1:23" ht="14.25" x14ac:dyDescent="0.15">
      <c r="G2" s="30"/>
    </row>
    <row r="3" spans="1:23" ht="14.25" x14ac:dyDescent="0.15">
      <c r="A3" s="6" t="s">
        <v>22</v>
      </c>
      <c r="B3" s="6" t="s">
        <v>77</v>
      </c>
      <c r="C3" s="6" t="s">
        <v>80</v>
      </c>
      <c r="D3" s="6" t="s">
        <v>23</v>
      </c>
      <c r="E3" s="6" t="s">
        <v>24</v>
      </c>
      <c r="F3" s="31" t="s">
        <v>31</v>
      </c>
      <c r="G3" s="31" t="s">
        <v>32</v>
      </c>
      <c r="H3" s="6" t="s">
        <v>25</v>
      </c>
      <c r="I3" s="6" t="s">
        <v>26</v>
      </c>
      <c r="J3" s="6" t="s">
        <v>27</v>
      </c>
      <c r="K3" s="6" t="s">
        <v>82</v>
      </c>
      <c r="L3" s="6" t="s">
        <v>159</v>
      </c>
      <c r="M3" s="6" t="s">
        <v>160</v>
      </c>
      <c r="N3" s="6" t="s">
        <v>28</v>
      </c>
      <c r="O3" s="6" t="s">
        <v>29</v>
      </c>
      <c r="P3" s="6" t="s">
        <v>30</v>
      </c>
      <c r="Q3" s="6" t="s">
        <v>33</v>
      </c>
      <c r="R3" s="6" t="s">
        <v>34</v>
      </c>
      <c r="S3" s="6" t="s">
        <v>35</v>
      </c>
      <c r="T3" s="6" t="s">
        <v>275</v>
      </c>
      <c r="U3" s="6" t="s">
        <v>36</v>
      </c>
      <c r="V3" s="6" t="s">
        <v>37</v>
      </c>
      <c r="W3" s="6" t="s">
        <v>38</v>
      </c>
    </row>
    <row r="4" spans="1:23" ht="28.5" x14ac:dyDescent="0.15">
      <c r="A4" s="35" t="s">
        <v>6</v>
      </c>
      <c r="B4" s="35" t="s">
        <v>146</v>
      </c>
      <c r="C4" s="35" t="s">
        <v>67</v>
      </c>
      <c r="D4" s="36" t="s">
        <v>147</v>
      </c>
      <c r="E4" s="36" t="s">
        <v>147</v>
      </c>
      <c r="F4" s="35" t="s">
        <v>127</v>
      </c>
      <c r="G4" s="35" t="s">
        <v>66</v>
      </c>
      <c r="H4" s="35" t="s">
        <v>39</v>
      </c>
      <c r="I4" s="35" t="s">
        <v>148</v>
      </c>
      <c r="J4" s="35" t="s">
        <v>19</v>
      </c>
      <c r="K4" s="35"/>
      <c r="L4" s="35"/>
      <c r="M4" s="35"/>
      <c r="N4" s="36"/>
      <c r="O4" s="37" t="s">
        <v>19</v>
      </c>
      <c r="P4" s="37" t="s">
        <v>19</v>
      </c>
      <c r="Q4" s="36"/>
      <c r="R4" s="36"/>
      <c r="S4" s="35">
        <v>80</v>
      </c>
      <c r="T4" s="35" t="s">
        <v>105</v>
      </c>
      <c r="U4" s="36"/>
      <c r="V4" s="36"/>
      <c r="W4" s="36" t="s">
        <v>19</v>
      </c>
    </row>
    <row r="5" spans="1:23" ht="42.75" x14ac:dyDescent="0.15">
      <c r="A5" s="38" t="s">
        <v>60</v>
      </c>
      <c r="B5" s="38" t="s">
        <v>149</v>
      </c>
      <c r="C5" s="38" t="s">
        <v>67</v>
      </c>
      <c r="D5" s="39" t="s">
        <v>150</v>
      </c>
      <c r="E5" s="39" t="s">
        <v>151</v>
      </c>
      <c r="F5" s="38" t="s">
        <v>66</v>
      </c>
      <c r="G5" s="38" t="s">
        <v>127</v>
      </c>
      <c r="H5" s="38" t="s">
        <v>39</v>
      </c>
      <c r="I5" s="38" t="s">
        <v>136</v>
      </c>
      <c r="J5" s="38" t="s">
        <v>19</v>
      </c>
      <c r="K5" s="38"/>
      <c r="L5" s="38"/>
      <c r="M5" s="38"/>
      <c r="N5" s="39"/>
      <c r="O5" s="40" t="s">
        <v>19</v>
      </c>
      <c r="P5" s="40" t="s">
        <v>19</v>
      </c>
      <c r="Q5" s="39"/>
      <c r="R5" s="39"/>
      <c r="S5" s="38">
        <v>55</v>
      </c>
      <c r="T5" s="38" t="s">
        <v>152</v>
      </c>
      <c r="U5" s="39"/>
      <c r="V5" s="39"/>
      <c r="W5" s="39" t="s">
        <v>19</v>
      </c>
    </row>
    <row r="6" spans="1:23" ht="28.5" x14ac:dyDescent="0.15">
      <c r="A6" s="32" t="s">
        <v>62</v>
      </c>
      <c r="B6" s="32" t="s">
        <v>43</v>
      </c>
      <c r="C6" s="32"/>
      <c r="D6" s="33" t="s">
        <v>78</v>
      </c>
      <c r="E6" s="33" t="s">
        <v>81</v>
      </c>
      <c r="F6" s="32" t="s">
        <v>40</v>
      </c>
      <c r="G6" s="32" t="s">
        <v>41</v>
      </c>
      <c r="H6" s="32" t="s">
        <v>39</v>
      </c>
      <c r="I6" s="32" t="s">
        <v>44</v>
      </c>
      <c r="J6" s="32" t="s">
        <v>19</v>
      </c>
      <c r="K6" s="32" t="s">
        <v>19</v>
      </c>
      <c r="L6" s="32"/>
      <c r="M6" s="32"/>
      <c r="N6" s="33"/>
      <c r="O6" s="34" t="s">
        <v>19</v>
      </c>
      <c r="P6" s="34" t="s">
        <v>19</v>
      </c>
      <c r="Q6" s="33"/>
      <c r="R6" s="33"/>
      <c r="S6" s="32">
        <v>60</v>
      </c>
      <c r="T6" s="32" t="s">
        <v>42</v>
      </c>
      <c r="U6" s="33"/>
      <c r="V6" s="33"/>
      <c r="W6" s="33" t="s">
        <v>45</v>
      </c>
    </row>
  </sheetData>
  <autoFilter ref="A3:W3" xr:uid="{00000000-0009-0000-0000-000002000000}"/>
  <phoneticPr fontId="6"/>
  <dataValidations count="1">
    <dataValidation type="list" allowBlank="1" sqref="U4:U6" xr:uid="{00000000-0002-0000-0200-000000000000}">
      <formula1>"〇,×,保留"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5F8F-21F7-4C20-B386-3519B237D9EF}">
  <dimension ref="A1:W6"/>
  <sheetViews>
    <sheetView showGridLines="0" workbookViewId="0">
      <pane ySplit="3" topLeftCell="A4" activePane="bottomLeft" state="frozen"/>
      <selection activeCell="T1" sqref="T1:T1048576"/>
      <selection pane="bottomLeft"/>
    </sheetView>
  </sheetViews>
  <sheetFormatPr defaultRowHeight="13.5" outlineLevelCol="1" x14ac:dyDescent="0.15"/>
  <cols>
    <col min="1" max="1" width="8" style="28" customWidth="1"/>
    <col min="2" max="2" width="10" style="28" customWidth="1"/>
    <col min="3" max="3" width="16.875" style="28" customWidth="1"/>
    <col min="4" max="4" width="25" style="28" customWidth="1"/>
    <col min="5" max="5" width="40.625" style="28" customWidth="1"/>
    <col min="6" max="7" width="10.625" style="29" customWidth="1"/>
    <col min="8" max="8" width="12" style="29" customWidth="1"/>
    <col min="9" max="9" width="15" style="29" customWidth="1"/>
    <col min="10" max="11" width="10.625" style="29" customWidth="1"/>
    <col min="12" max="13" width="10.625" style="29" hidden="1" customWidth="1" outlineLevel="1"/>
    <col min="14" max="14" width="20.625" style="28" customWidth="1" collapsed="1"/>
    <col min="15" max="16" width="12" style="28" customWidth="1"/>
    <col min="17" max="18" width="10" style="28" customWidth="1"/>
    <col min="19" max="19" width="8" style="29" customWidth="1"/>
    <col min="20" max="20" width="15" style="29" hidden="1" customWidth="1" outlineLevel="1"/>
    <col min="21" max="21" width="15" style="28" customWidth="1" collapsed="1"/>
    <col min="22" max="22" width="30" style="28" customWidth="1"/>
    <col min="23" max="23" width="20" style="28" customWidth="1"/>
    <col min="24" max="16384" width="9" style="28"/>
  </cols>
  <sheetData>
    <row r="1" spans="1:23" ht="21" x14ac:dyDescent="0.15">
      <c r="A1" s="7" t="s">
        <v>153</v>
      </c>
    </row>
    <row r="2" spans="1:23" ht="14.25" x14ac:dyDescent="0.15">
      <c r="G2" s="30"/>
    </row>
    <row r="3" spans="1:23" ht="14.25" x14ac:dyDescent="0.15">
      <c r="A3" s="6" t="s">
        <v>22</v>
      </c>
      <c r="B3" s="6" t="s">
        <v>77</v>
      </c>
      <c r="C3" s="6" t="s">
        <v>80</v>
      </c>
      <c r="D3" s="6" t="s">
        <v>23</v>
      </c>
      <c r="E3" s="6" t="s">
        <v>24</v>
      </c>
      <c r="F3" s="31" t="s">
        <v>31</v>
      </c>
      <c r="G3" s="31" t="s">
        <v>32</v>
      </c>
      <c r="H3" s="6" t="s">
        <v>25</v>
      </c>
      <c r="I3" s="6" t="s">
        <v>26</v>
      </c>
      <c r="J3" s="6" t="s">
        <v>27</v>
      </c>
      <c r="K3" s="6" t="s">
        <v>82</v>
      </c>
      <c r="L3" s="6" t="s">
        <v>159</v>
      </c>
      <c r="M3" s="6" t="s">
        <v>160</v>
      </c>
      <c r="N3" s="6" t="s">
        <v>28</v>
      </c>
      <c r="O3" s="6" t="s">
        <v>29</v>
      </c>
      <c r="P3" s="6" t="s">
        <v>30</v>
      </c>
      <c r="Q3" s="6" t="s">
        <v>33</v>
      </c>
      <c r="R3" s="6" t="s">
        <v>34</v>
      </c>
      <c r="S3" s="6" t="s">
        <v>35</v>
      </c>
      <c r="T3" s="6" t="s">
        <v>275</v>
      </c>
      <c r="U3" s="6" t="s">
        <v>36</v>
      </c>
      <c r="V3" s="6" t="s">
        <v>37</v>
      </c>
      <c r="W3" s="6" t="s">
        <v>38</v>
      </c>
    </row>
    <row r="4" spans="1:23" ht="42.75" x14ac:dyDescent="0.15">
      <c r="A4" s="35" t="s">
        <v>6</v>
      </c>
      <c r="B4" s="35" t="s">
        <v>154</v>
      </c>
      <c r="C4" s="35" t="s">
        <v>58</v>
      </c>
      <c r="D4" s="36" t="s">
        <v>155</v>
      </c>
      <c r="E4" s="36" t="s">
        <v>155</v>
      </c>
      <c r="F4" s="35" t="s">
        <v>103</v>
      </c>
      <c r="G4" s="35" t="s">
        <v>40</v>
      </c>
      <c r="H4" s="35" t="s">
        <v>39</v>
      </c>
      <c r="I4" s="35" t="s">
        <v>145</v>
      </c>
      <c r="J4" s="35" t="s">
        <v>19</v>
      </c>
      <c r="K4" s="35"/>
      <c r="L4" s="35"/>
      <c r="M4" s="35"/>
      <c r="N4" s="36"/>
      <c r="O4" s="37" t="s">
        <v>19</v>
      </c>
      <c r="P4" s="37" t="s">
        <v>19</v>
      </c>
      <c r="Q4" s="36"/>
      <c r="R4" s="36"/>
      <c r="S4" s="35">
        <v>80</v>
      </c>
      <c r="T4" s="35" t="s">
        <v>105</v>
      </c>
      <c r="U4" s="36"/>
      <c r="V4" s="36"/>
      <c r="W4" s="36" t="s">
        <v>19</v>
      </c>
    </row>
    <row r="5" spans="1:23" ht="42.75" x14ac:dyDescent="0.15">
      <c r="A5" s="38" t="s">
        <v>60</v>
      </c>
      <c r="B5" s="38" t="s">
        <v>156</v>
      </c>
      <c r="C5" s="38" t="s">
        <v>58</v>
      </c>
      <c r="D5" s="39" t="s">
        <v>157</v>
      </c>
      <c r="E5" s="39" t="s">
        <v>157</v>
      </c>
      <c r="F5" s="38" t="s">
        <v>103</v>
      </c>
      <c r="G5" s="38" t="s">
        <v>40</v>
      </c>
      <c r="H5" s="38" t="s">
        <v>39</v>
      </c>
      <c r="I5" s="38" t="s">
        <v>158</v>
      </c>
      <c r="J5" s="38" t="s">
        <v>19</v>
      </c>
      <c r="K5" s="38"/>
      <c r="L5" s="38"/>
      <c r="M5" s="38"/>
      <c r="N5" s="39"/>
      <c r="O5" s="40" t="s">
        <v>19</v>
      </c>
      <c r="P5" s="40" t="s">
        <v>19</v>
      </c>
      <c r="Q5" s="39"/>
      <c r="R5" s="39"/>
      <c r="S5" s="38">
        <v>80</v>
      </c>
      <c r="T5" s="38" t="s">
        <v>109</v>
      </c>
      <c r="U5" s="39"/>
      <c r="V5" s="39"/>
      <c r="W5" s="39" t="s">
        <v>19</v>
      </c>
    </row>
    <row r="6" spans="1:23" ht="14.25" x14ac:dyDescent="0.15">
      <c r="A6" s="32" t="s">
        <v>62</v>
      </c>
      <c r="B6" s="32"/>
      <c r="C6" s="32"/>
      <c r="D6" s="33"/>
      <c r="E6" s="33"/>
      <c r="F6" s="32"/>
      <c r="G6" s="32"/>
      <c r="H6" s="32"/>
      <c r="I6" s="32"/>
      <c r="J6" s="32"/>
      <c r="K6" s="32"/>
      <c r="L6" s="32"/>
      <c r="M6" s="32"/>
      <c r="N6" s="33"/>
      <c r="O6" s="34"/>
      <c r="P6" s="34"/>
      <c r="Q6" s="33"/>
      <c r="R6" s="33"/>
      <c r="S6" s="32"/>
      <c r="T6" s="32"/>
      <c r="U6" s="33"/>
      <c r="V6" s="33"/>
      <c r="W6" s="33"/>
    </row>
  </sheetData>
  <autoFilter ref="A3:W3" xr:uid="{00000000-0009-0000-0000-000002000000}"/>
  <phoneticPr fontId="6"/>
  <dataValidations count="1">
    <dataValidation type="list" allowBlank="1" sqref="U4:U6" xr:uid="{C9371E75-3128-4B47-BC13-ED1F2DE60A64}">
      <formula1>"〇,×,保留"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558A-AB98-44DE-A832-B1F7336432C2}">
  <dimension ref="A1:M37"/>
  <sheetViews>
    <sheetView tabSelected="1" workbookViewId="0"/>
  </sheetViews>
  <sheetFormatPr defaultRowHeight="14.25" x14ac:dyDescent="0.25"/>
  <cols>
    <col min="1" max="1" width="9" style="41"/>
    <col min="2" max="2" width="17.25" style="41" bestFit="1" customWidth="1"/>
    <col min="3" max="3" width="9" style="41"/>
    <col min="4" max="4" width="35.5" style="41" bestFit="1" customWidth="1"/>
    <col min="5" max="5" width="35.5" style="41" customWidth="1"/>
    <col min="6" max="6" width="13.625" style="41" bestFit="1" customWidth="1"/>
    <col min="7" max="7" width="14.875" style="41" bestFit="1" customWidth="1"/>
    <col min="8" max="8" width="13" style="41" bestFit="1" customWidth="1"/>
    <col min="9" max="9" width="9" style="41"/>
    <col min="10" max="10" width="14.875" style="41" bestFit="1" customWidth="1"/>
    <col min="11" max="11" width="17.25" style="41" bestFit="1" customWidth="1"/>
    <col min="12" max="12" width="11" style="41" bestFit="1" customWidth="1"/>
    <col min="13" max="13" width="45.375" style="41" bestFit="1" customWidth="1"/>
    <col min="14" max="16384" width="9" style="41"/>
  </cols>
  <sheetData>
    <row r="1" spans="1:13" x14ac:dyDescent="0.25">
      <c r="A1" s="41" t="s">
        <v>161</v>
      </c>
      <c r="B1" s="41" t="s">
        <v>79</v>
      </c>
      <c r="C1" s="41" t="s">
        <v>162</v>
      </c>
      <c r="D1" s="41" t="s">
        <v>163</v>
      </c>
      <c r="E1" s="41" t="s">
        <v>274</v>
      </c>
      <c r="F1" s="41" t="s">
        <v>164</v>
      </c>
      <c r="G1" s="41" t="s">
        <v>165</v>
      </c>
      <c r="H1" s="41" t="s">
        <v>275</v>
      </c>
      <c r="J1" s="41" t="s">
        <v>161</v>
      </c>
      <c r="K1" s="41" t="s">
        <v>79</v>
      </c>
      <c r="L1" s="41" t="s">
        <v>211</v>
      </c>
      <c r="M1" s="41" t="s">
        <v>212</v>
      </c>
    </row>
    <row r="2" spans="1:13" x14ac:dyDescent="0.25">
      <c r="A2" s="41" t="s">
        <v>96</v>
      </c>
      <c r="B2" s="41" t="s">
        <v>213</v>
      </c>
      <c r="C2" s="41" t="s">
        <v>166</v>
      </c>
      <c r="D2" s="41" t="s">
        <v>167</v>
      </c>
      <c r="E2" s="41" t="s">
        <v>239</v>
      </c>
      <c r="F2" s="41" t="s">
        <v>168</v>
      </c>
      <c r="G2" s="41" t="s">
        <v>152</v>
      </c>
      <c r="H2" s="41" t="str">
        <f>VLOOKUP(G2,$J$11:$K$15,2,0)</f>
        <v>逆の可能性あり</v>
      </c>
      <c r="J2" s="41" t="s">
        <v>96</v>
      </c>
      <c r="K2" s="41" t="s">
        <v>213</v>
      </c>
      <c r="L2" s="41" t="s">
        <v>214</v>
      </c>
      <c r="M2" s="41" t="s">
        <v>215</v>
      </c>
    </row>
    <row r="3" spans="1:13" x14ac:dyDescent="0.25">
      <c r="C3" s="41" t="s">
        <v>169</v>
      </c>
      <c r="D3" s="41" t="s">
        <v>170</v>
      </c>
      <c r="E3" s="41" t="s">
        <v>240</v>
      </c>
      <c r="F3" s="41" t="s">
        <v>171</v>
      </c>
      <c r="G3" s="41" t="s">
        <v>105</v>
      </c>
      <c r="H3" s="41" t="str">
        <f t="shared" ref="H3:H37" si="0">VLOOKUP(G3,$J$11:$K$15,2,0)</f>
        <v>明確な誤り</v>
      </c>
      <c r="J3" s="41" t="s">
        <v>93</v>
      </c>
      <c r="K3" s="41" t="s">
        <v>216</v>
      </c>
      <c r="L3" s="41" t="s">
        <v>217</v>
      </c>
      <c r="M3" s="41" t="s">
        <v>218</v>
      </c>
    </row>
    <row r="4" spans="1:13" x14ac:dyDescent="0.25">
      <c r="C4" s="41" t="s">
        <v>172</v>
      </c>
      <c r="D4" s="41" t="s">
        <v>173</v>
      </c>
      <c r="E4" s="41" t="s">
        <v>241</v>
      </c>
      <c r="F4" s="41" t="s">
        <v>171</v>
      </c>
      <c r="G4" s="41" t="s">
        <v>105</v>
      </c>
      <c r="H4" s="41" t="str">
        <f t="shared" si="0"/>
        <v>明確な誤り</v>
      </c>
      <c r="J4" s="41" t="s">
        <v>94</v>
      </c>
      <c r="K4" s="41" t="s">
        <v>219</v>
      </c>
      <c r="L4" s="41" t="s">
        <v>220</v>
      </c>
      <c r="M4" s="41" t="s">
        <v>221</v>
      </c>
    </row>
    <row r="5" spans="1:13" x14ac:dyDescent="0.25">
      <c r="C5" s="41" t="s">
        <v>174</v>
      </c>
      <c r="D5" s="41" t="s">
        <v>175</v>
      </c>
      <c r="E5" s="41" t="s">
        <v>242</v>
      </c>
      <c r="F5" s="41" t="s">
        <v>171</v>
      </c>
      <c r="G5" s="41" t="s">
        <v>105</v>
      </c>
      <c r="H5" s="41" t="str">
        <f t="shared" si="0"/>
        <v>明確な誤り</v>
      </c>
      <c r="J5" s="41" t="s">
        <v>98</v>
      </c>
      <c r="K5" s="41" t="s">
        <v>222</v>
      </c>
      <c r="L5" s="41" t="s">
        <v>223</v>
      </c>
      <c r="M5" s="41" t="s">
        <v>224</v>
      </c>
    </row>
    <row r="6" spans="1:13" x14ac:dyDescent="0.25">
      <c r="C6" s="41" t="s">
        <v>176</v>
      </c>
      <c r="D6" s="41" t="s">
        <v>177</v>
      </c>
      <c r="E6" s="41" t="s">
        <v>243</v>
      </c>
      <c r="F6" s="41" t="s">
        <v>171</v>
      </c>
      <c r="G6" s="41" t="s">
        <v>105</v>
      </c>
      <c r="H6" s="41" t="str">
        <f t="shared" si="0"/>
        <v>明確な誤り</v>
      </c>
      <c r="J6" s="41" t="s">
        <v>97</v>
      </c>
      <c r="K6" s="41" t="s">
        <v>225</v>
      </c>
      <c r="L6" s="41" t="s">
        <v>226</v>
      </c>
      <c r="M6" s="41" t="s">
        <v>227</v>
      </c>
    </row>
    <row r="7" spans="1:13" x14ac:dyDescent="0.25">
      <c r="A7" s="41" t="s">
        <v>93</v>
      </c>
      <c r="B7" s="41" t="s">
        <v>216</v>
      </c>
      <c r="C7" s="41" t="s">
        <v>166</v>
      </c>
      <c r="D7" s="41" t="s">
        <v>178</v>
      </c>
      <c r="E7" s="41" t="s">
        <v>178</v>
      </c>
      <c r="F7" s="41" t="s">
        <v>171</v>
      </c>
      <c r="G7" s="41" t="s">
        <v>105</v>
      </c>
      <c r="H7" s="41" t="str">
        <f t="shared" si="0"/>
        <v>明確な誤り</v>
      </c>
      <c r="J7" s="41" t="s">
        <v>99</v>
      </c>
      <c r="K7" s="41" t="s">
        <v>145</v>
      </c>
      <c r="L7" s="41" t="s">
        <v>228</v>
      </c>
      <c r="M7" s="41" t="s">
        <v>229</v>
      </c>
    </row>
    <row r="8" spans="1:13" x14ac:dyDescent="0.25">
      <c r="C8" s="41" t="s">
        <v>169</v>
      </c>
      <c r="D8" s="41" t="s">
        <v>179</v>
      </c>
      <c r="E8" s="41" t="s">
        <v>244</v>
      </c>
      <c r="F8" s="41" t="s">
        <v>171</v>
      </c>
      <c r="G8" s="41" t="s">
        <v>105</v>
      </c>
      <c r="H8" s="41" t="str">
        <f t="shared" si="0"/>
        <v>明確な誤り</v>
      </c>
      <c r="J8" s="41" t="s">
        <v>95</v>
      </c>
      <c r="K8" s="41" t="s">
        <v>118</v>
      </c>
      <c r="L8" s="41" t="s">
        <v>230</v>
      </c>
      <c r="M8" s="41" t="s">
        <v>231</v>
      </c>
    </row>
    <row r="9" spans="1:13" x14ac:dyDescent="0.25">
      <c r="C9" s="41" t="s">
        <v>172</v>
      </c>
      <c r="D9" s="41" t="s">
        <v>180</v>
      </c>
      <c r="E9" s="41" t="s">
        <v>245</v>
      </c>
      <c r="F9" s="41" t="s">
        <v>171</v>
      </c>
      <c r="G9" s="41" t="s">
        <v>105</v>
      </c>
      <c r="H9" s="41" t="str">
        <f t="shared" si="0"/>
        <v>明確な誤り</v>
      </c>
    </row>
    <row r="10" spans="1:13" x14ac:dyDescent="0.25">
      <c r="C10" s="41" t="s">
        <v>174</v>
      </c>
      <c r="D10" s="41" t="s">
        <v>181</v>
      </c>
      <c r="E10" s="41" t="s">
        <v>246</v>
      </c>
      <c r="F10" s="41" t="s">
        <v>168</v>
      </c>
      <c r="G10" s="41" t="s">
        <v>109</v>
      </c>
      <c r="H10" s="41" t="str">
        <f t="shared" si="0"/>
        <v>判断が必要</v>
      </c>
    </row>
    <row r="11" spans="1:13" x14ac:dyDescent="0.25">
      <c r="C11" s="41" t="s">
        <v>176</v>
      </c>
      <c r="D11" s="41" t="s">
        <v>182</v>
      </c>
      <c r="E11" s="41" t="s">
        <v>247</v>
      </c>
      <c r="F11" s="41" t="s">
        <v>168</v>
      </c>
      <c r="G11" s="41" t="s">
        <v>152</v>
      </c>
      <c r="H11" s="41" t="str">
        <f t="shared" si="0"/>
        <v>逆の可能性あり</v>
      </c>
      <c r="J11" s="41" t="s">
        <v>232</v>
      </c>
      <c r="K11" s="41" t="s">
        <v>233</v>
      </c>
      <c r="L11" s="41" t="s">
        <v>234</v>
      </c>
    </row>
    <row r="12" spans="1:13" x14ac:dyDescent="0.25">
      <c r="C12" s="41" t="s">
        <v>183</v>
      </c>
      <c r="D12" s="41" t="s">
        <v>184</v>
      </c>
      <c r="E12" s="41" t="s">
        <v>248</v>
      </c>
      <c r="F12" s="41" t="s">
        <v>168</v>
      </c>
      <c r="G12" s="41" t="s">
        <v>152</v>
      </c>
      <c r="H12" s="41" t="str">
        <f t="shared" si="0"/>
        <v>逆の可能性あり</v>
      </c>
      <c r="J12" s="41" t="s">
        <v>105</v>
      </c>
      <c r="K12" s="41" t="s">
        <v>276</v>
      </c>
      <c r="L12" s="41" t="s">
        <v>235</v>
      </c>
    </row>
    <row r="13" spans="1:13" x14ac:dyDescent="0.25">
      <c r="A13" s="41" t="s">
        <v>94</v>
      </c>
      <c r="B13" s="41" t="s">
        <v>219</v>
      </c>
      <c r="C13" s="41" t="s">
        <v>166</v>
      </c>
      <c r="D13" s="41" t="s">
        <v>185</v>
      </c>
      <c r="E13" s="41" t="s">
        <v>249</v>
      </c>
      <c r="F13" s="41" t="s">
        <v>171</v>
      </c>
      <c r="G13" s="41" t="s">
        <v>105</v>
      </c>
      <c r="H13" s="41" t="str">
        <f t="shared" si="0"/>
        <v>明確な誤り</v>
      </c>
      <c r="J13" s="41" t="s">
        <v>152</v>
      </c>
      <c r="K13" s="41" t="s">
        <v>277</v>
      </c>
      <c r="L13" s="41" t="s">
        <v>236</v>
      </c>
    </row>
    <row r="14" spans="1:13" x14ac:dyDescent="0.25">
      <c r="C14" s="41" t="s">
        <v>169</v>
      </c>
      <c r="D14" s="41" t="s">
        <v>186</v>
      </c>
      <c r="E14" s="41" t="s">
        <v>250</v>
      </c>
      <c r="F14" s="41" t="s">
        <v>171</v>
      </c>
      <c r="G14" s="41" t="s">
        <v>105</v>
      </c>
      <c r="H14" s="41" t="str">
        <f t="shared" si="0"/>
        <v>明確な誤り</v>
      </c>
      <c r="J14" s="41" t="s">
        <v>109</v>
      </c>
      <c r="K14" s="41" t="s">
        <v>278</v>
      </c>
      <c r="L14" s="41" t="s">
        <v>237</v>
      </c>
    </row>
    <row r="15" spans="1:13" x14ac:dyDescent="0.25">
      <c r="C15" s="41" t="s">
        <v>172</v>
      </c>
      <c r="D15" s="41" t="s">
        <v>187</v>
      </c>
      <c r="E15" s="41" t="s">
        <v>251</v>
      </c>
      <c r="F15" s="41" t="s">
        <v>188</v>
      </c>
      <c r="G15" s="41" t="s">
        <v>42</v>
      </c>
      <c r="H15" s="41" t="str">
        <f t="shared" si="0"/>
        <v>問題なし</v>
      </c>
      <c r="J15" s="41" t="s">
        <v>42</v>
      </c>
      <c r="K15" s="41" t="s">
        <v>279</v>
      </c>
      <c r="L15" s="41" t="s">
        <v>238</v>
      </c>
    </row>
    <row r="16" spans="1:13" x14ac:dyDescent="0.25">
      <c r="A16" s="41" t="s">
        <v>98</v>
      </c>
      <c r="B16" s="41" t="s">
        <v>222</v>
      </c>
      <c r="C16" s="41" t="s">
        <v>166</v>
      </c>
      <c r="D16" s="41" t="s">
        <v>189</v>
      </c>
      <c r="E16" s="41" t="s">
        <v>252</v>
      </c>
      <c r="F16" s="41" t="s">
        <v>171</v>
      </c>
      <c r="G16" s="41" t="s">
        <v>105</v>
      </c>
      <c r="H16" s="41" t="str">
        <f t="shared" si="0"/>
        <v>明確な誤り</v>
      </c>
    </row>
    <row r="17" spans="1:8" x14ac:dyDescent="0.25">
      <c r="C17" s="41" t="s">
        <v>169</v>
      </c>
      <c r="D17" s="41" t="s">
        <v>190</v>
      </c>
      <c r="E17" s="41" t="s">
        <v>253</v>
      </c>
      <c r="F17" s="41" t="s">
        <v>171</v>
      </c>
      <c r="G17" s="41" t="s">
        <v>105</v>
      </c>
      <c r="H17" s="41" t="str">
        <f t="shared" si="0"/>
        <v>明確な誤り</v>
      </c>
    </row>
    <row r="18" spans="1:8" x14ac:dyDescent="0.25">
      <c r="C18" s="41" t="s">
        <v>172</v>
      </c>
      <c r="D18" s="41" t="s">
        <v>191</v>
      </c>
      <c r="E18" s="41" t="s">
        <v>254</v>
      </c>
      <c r="F18" s="41" t="s">
        <v>188</v>
      </c>
      <c r="G18" s="41" t="s">
        <v>42</v>
      </c>
      <c r="H18" s="41" t="str">
        <f t="shared" si="0"/>
        <v>問題なし</v>
      </c>
    </row>
    <row r="19" spans="1:8" x14ac:dyDescent="0.25">
      <c r="C19" s="41" t="s">
        <v>174</v>
      </c>
      <c r="D19" s="41" t="s">
        <v>192</v>
      </c>
      <c r="E19" s="41" t="s">
        <v>255</v>
      </c>
      <c r="F19" s="41" t="s">
        <v>188</v>
      </c>
      <c r="G19" s="41" t="s">
        <v>42</v>
      </c>
      <c r="H19" s="41" t="str">
        <f t="shared" si="0"/>
        <v>問題なし</v>
      </c>
    </row>
    <row r="20" spans="1:8" x14ac:dyDescent="0.25">
      <c r="C20" s="41" t="s">
        <v>176</v>
      </c>
      <c r="D20" s="41" t="s">
        <v>193</v>
      </c>
      <c r="E20" s="41" t="s">
        <v>256</v>
      </c>
      <c r="F20" s="41" t="s">
        <v>168</v>
      </c>
      <c r="G20" s="41" t="s">
        <v>109</v>
      </c>
      <c r="H20" s="41" t="str">
        <f t="shared" si="0"/>
        <v>判断が必要</v>
      </c>
    </row>
    <row r="21" spans="1:8" x14ac:dyDescent="0.25">
      <c r="C21" s="41" t="s">
        <v>183</v>
      </c>
      <c r="D21" s="41" t="s">
        <v>194</v>
      </c>
      <c r="E21" s="41" t="s">
        <v>257</v>
      </c>
      <c r="F21" s="41" t="s">
        <v>168</v>
      </c>
      <c r="G21" s="41" t="s">
        <v>152</v>
      </c>
      <c r="H21" s="41" t="str">
        <f t="shared" si="0"/>
        <v>逆の可能性あり</v>
      </c>
    </row>
    <row r="22" spans="1:8" x14ac:dyDescent="0.25">
      <c r="A22" s="41" t="s">
        <v>97</v>
      </c>
      <c r="B22" s="41" t="s">
        <v>225</v>
      </c>
      <c r="C22" s="41" t="s">
        <v>166</v>
      </c>
      <c r="D22" s="41" t="s">
        <v>195</v>
      </c>
      <c r="E22" s="41" t="s">
        <v>258</v>
      </c>
      <c r="F22" s="41" t="s">
        <v>168</v>
      </c>
      <c r="G22" s="41" t="s">
        <v>105</v>
      </c>
      <c r="H22" s="41" t="str">
        <f t="shared" si="0"/>
        <v>明確な誤り</v>
      </c>
    </row>
    <row r="23" spans="1:8" x14ac:dyDescent="0.25">
      <c r="C23" s="41" t="s">
        <v>169</v>
      </c>
      <c r="D23" s="41" t="s">
        <v>196</v>
      </c>
      <c r="E23" s="41" t="s">
        <v>259</v>
      </c>
      <c r="F23" s="41" t="s">
        <v>168</v>
      </c>
      <c r="G23" s="41" t="s">
        <v>105</v>
      </c>
      <c r="H23" s="41" t="str">
        <f t="shared" si="0"/>
        <v>明確な誤り</v>
      </c>
    </row>
    <row r="24" spans="1:8" x14ac:dyDescent="0.25">
      <c r="C24" s="41" t="s">
        <v>172</v>
      </c>
      <c r="D24" s="41" t="s">
        <v>197</v>
      </c>
      <c r="E24" s="41" t="s">
        <v>260</v>
      </c>
      <c r="F24" s="41" t="s">
        <v>188</v>
      </c>
      <c r="G24" s="41" t="s">
        <v>42</v>
      </c>
      <c r="H24" s="41" t="str">
        <f t="shared" si="0"/>
        <v>問題なし</v>
      </c>
    </row>
    <row r="25" spans="1:8" x14ac:dyDescent="0.25">
      <c r="C25" s="41" t="s">
        <v>174</v>
      </c>
      <c r="D25" s="41" t="s">
        <v>198</v>
      </c>
      <c r="E25" s="41" t="s">
        <v>261</v>
      </c>
      <c r="F25" s="41" t="s">
        <v>188</v>
      </c>
      <c r="G25" s="41" t="s">
        <v>42</v>
      </c>
      <c r="H25" s="41" t="str">
        <f t="shared" si="0"/>
        <v>問題なし</v>
      </c>
    </row>
    <row r="26" spans="1:8" x14ac:dyDescent="0.25">
      <c r="C26" s="41" t="s">
        <v>176</v>
      </c>
      <c r="D26" s="41" t="s">
        <v>199</v>
      </c>
      <c r="E26" s="41" t="s">
        <v>262</v>
      </c>
      <c r="F26" s="41" t="s">
        <v>168</v>
      </c>
      <c r="G26" s="41" t="s">
        <v>109</v>
      </c>
      <c r="H26" s="41" t="str">
        <f t="shared" si="0"/>
        <v>判断が必要</v>
      </c>
    </row>
    <row r="27" spans="1:8" x14ac:dyDescent="0.25">
      <c r="A27" s="41" t="s">
        <v>99</v>
      </c>
      <c r="B27" s="41" t="s">
        <v>145</v>
      </c>
      <c r="C27" s="41" t="s">
        <v>166</v>
      </c>
      <c r="D27" s="41" t="s">
        <v>200</v>
      </c>
      <c r="E27" s="41" t="s">
        <v>263</v>
      </c>
      <c r="F27" s="41" t="s">
        <v>171</v>
      </c>
      <c r="G27" s="41" t="s">
        <v>105</v>
      </c>
      <c r="H27" s="41" t="str">
        <f t="shared" si="0"/>
        <v>明確な誤り</v>
      </c>
    </row>
    <row r="28" spans="1:8" x14ac:dyDescent="0.25">
      <c r="C28" s="41" t="s">
        <v>169</v>
      </c>
      <c r="D28" s="41" t="s">
        <v>201</v>
      </c>
      <c r="E28" s="41" t="s">
        <v>264</v>
      </c>
      <c r="F28" s="41" t="s">
        <v>171</v>
      </c>
      <c r="G28" s="41" t="s">
        <v>105</v>
      </c>
      <c r="H28" s="41" t="str">
        <f t="shared" si="0"/>
        <v>明確な誤り</v>
      </c>
    </row>
    <row r="29" spans="1:8" x14ac:dyDescent="0.25">
      <c r="C29" s="41" t="s">
        <v>172</v>
      </c>
      <c r="D29" s="41" t="s">
        <v>202</v>
      </c>
      <c r="E29" s="41" t="s">
        <v>265</v>
      </c>
      <c r="F29" s="41" t="s">
        <v>188</v>
      </c>
      <c r="G29" s="41" t="s">
        <v>42</v>
      </c>
      <c r="H29" s="41" t="str">
        <f t="shared" si="0"/>
        <v>問題なし</v>
      </c>
    </row>
    <row r="30" spans="1:8" x14ac:dyDescent="0.25">
      <c r="C30" s="41" t="s">
        <v>174</v>
      </c>
      <c r="D30" s="41" t="s">
        <v>203</v>
      </c>
      <c r="E30" s="41" t="s">
        <v>266</v>
      </c>
      <c r="F30" s="41" t="s">
        <v>168</v>
      </c>
      <c r="G30" s="41" t="s">
        <v>109</v>
      </c>
      <c r="H30" s="41" t="str">
        <f t="shared" si="0"/>
        <v>判断が必要</v>
      </c>
    </row>
    <row r="31" spans="1:8" x14ac:dyDescent="0.25">
      <c r="C31" s="41" t="s">
        <v>176</v>
      </c>
      <c r="D31" s="41" t="s">
        <v>204</v>
      </c>
      <c r="E31" s="41" t="s">
        <v>267</v>
      </c>
      <c r="F31" s="41" t="s">
        <v>168</v>
      </c>
      <c r="G31" s="41" t="s">
        <v>109</v>
      </c>
      <c r="H31" s="41" t="str">
        <f t="shared" si="0"/>
        <v>判断が必要</v>
      </c>
    </row>
    <row r="32" spans="1:8" x14ac:dyDescent="0.25">
      <c r="A32" s="41" t="s">
        <v>95</v>
      </c>
      <c r="B32" s="41" t="s">
        <v>118</v>
      </c>
      <c r="C32" s="41" t="s">
        <v>166</v>
      </c>
      <c r="D32" s="41" t="s">
        <v>205</v>
      </c>
      <c r="E32" s="41" t="s">
        <v>268</v>
      </c>
      <c r="F32" s="41" t="s">
        <v>171</v>
      </c>
      <c r="G32" s="41" t="s">
        <v>105</v>
      </c>
      <c r="H32" s="41" t="str">
        <f t="shared" si="0"/>
        <v>明確な誤り</v>
      </c>
    </row>
    <row r="33" spans="3:8" x14ac:dyDescent="0.25">
      <c r="C33" s="41" t="s">
        <v>169</v>
      </c>
      <c r="D33" s="41" t="s">
        <v>206</v>
      </c>
      <c r="E33" s="41" t="s">
        <v>269</v>
      </c>
      <c r="F33" s="41" t="s">
        <v>171</v>
      </c>
      <c r="G33" s="41" t="s">
        <v>105</v>
      </c>
      <c r="H33" s="41" t="str">
        <f t="shared" si="0"/>
        <v>明確な誤り</v>
      </c>
    </row>
    <row r="34" spans="3:8" x14ac:dyDescent="0.25">
      <c r="C34" s="41" t="s">
        <v>172</v>
      </c>
      <c r="D34" s="41" t="s">
        <v>207</v>
      </c>
      <c r="E34" s="41" t="s">
        <v>270</v>
      </c>
      <c r="F34" s="41" t="s">
        <v>168</v>
      </c>
      <c r="G34" s="41" t="s">
        <v>105</v>
      </c>
      <c r="H34" s="41" t="str">
        <f t="shared" si="0"/>
        <v>明確な誤り</v>
      </c>
    </row>
    <row r="35" spans="3:8" x14ac:dyDescent="0.25">
      <c r="C35" s="41" t="s">
        <v>174</v>
      </c>
      <c r="D35" s="41" t="s">
        <v>208</v>
      </c>
      <c r="E35" s="41" t="s">
        <v>271</v>
      </c>
      <c r="F35" s="41" t="s">
        <v>168</v>
      </c>
      <c r="G35" s="41" t="s">
        <v>105</v>
      </c>
      <c r="H35" s="41" t="str">
        <f t="shared" si="0"/>
        <v>明確な誤り</v>
      </c>
    </row>
    <row r="36" spans="3:8" x14ac:dyDescent="0.25">
      <c r="C36" s="41" t="s">
        <v>176</v>
      </c>
      <c r="D36" s="41" t="s">
        <v>209</v>
      </c>
      <c r="E36" s="41" t="s">
        <v>272</v>
      </c>
      <c r="F36" s="41" t="s">
        <v>168</v>
      </c>
      <c r="G36" s="41" t="s">
        <v>152</v>
      </c>
      <c r="H36" s="41" t="str">
        <f t="shared" si="0"/>
        <v>逆の可能性あり</v>
      </c>
    </row>
    <row r="37" spans="3:8" x14ac:dyDescent="0.25">
      <c r="C37" s="41" t="s">
        <v>183</v>
      </c>
      <c r="D37" s="41" t="s">
        <v>210</v>
      </c>
      <c r="E37" s="41" t="s">
        <v>273</v>
      </c>
      <c r="F37" s="41" t="s">
        <v>168</v>
      </c>
      <c r="G37" s="41" t="s">
        <v>105</v>
      </c>
      <c r="H37" s="41" t="str">
        <f t="shared" si="0"/>
        <v>明確な誤り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サマリー</vt:lpstr>
      <vt:lpstr>A4 家賃・地代</vt:lpstr>
      <vt:lpstr>A5 人件費</vt:lpstr>
      <vt:lpstr>A8 売上</vt:lpstr>
      <vt:lpstr>A10 その他経費</vt:lpstr>
      <vt:lpstr>A11 営業外・特別損益</vt:lpstr>
      <vt:lpstr>A12 税金</vt:lpstr>
      <vt:lpstr>参考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Yuya Shirane</cp:lastModifiedBy>
  <dcterms:created xsi:type="dcterms:W3CDTF">2026-04-17T02:38:29Z</dcterms:created>
  <dcterms:modified xsi:type="dcterms:W3CDTF">2026-04-17T14:07:58Z</dcterms:modified>
</cp:coreProperties>
</file>