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855" windowWidth="21600" windowHeight="12645" tabRatio="756" firstSheet="0" activeTab="7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8 売上" sheetId="4" state="visible" r:id="rId4"/>
    <sheet xmlns:r="http://schemas.openxmlformats.org/officeDocument/2006/relationships" name="A10 その他経費" sheetId="5" state="visible" r:id="rId5"/>
    <sheet xmlns:r="http://schemas.openxmlformats.org/officeDocument/2006/relationships" name="A11 営業外・特別損益" sheetId="6" state="visible" r:id="rId6"/>
    <sheet xmlns:r="http://schemas.openxmlformats.org/officeDocument/2006/relationships" name="A12 税金" sheetId="7" state="visible" r:id="rId7"/>
    <sheet xmlns:r="http://schemas.openxmlformats.org/officeDocument/2006/relationships" name="参考" sheetId="8" state="visible" r:id="rId8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'A8 売上'!$A$3:$W$3</definedName>
    <definedName name="_xlnm._FilterDatabase" localSheetId="4" hidden="1">'A10 その他経費'!$A$3:$W$3</definedName>
    <definedName name="_xlnm._FilterDatabase" localSheetId="5" hidden="1">'A11 営業外・特別損益'!$A$3:$W$3</definedName>
    <definedName name="_xlnm._FilterDatabase" localSheetId="6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3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style="8" min="1" max="1"/>
    <col width="10.625" customWidth="1" style="8" min="2" max="11"/>
    <col width="14" customWidth="1" style="8" min="12" max="12"/>
    <col width="33" bestFit="1" customWidth="1" style="8" min="13" max="13"/>
  </cols>
  <sheetData>
    <row r="1" ht="21" customHeight="1" s="8">
      <c r="A1" s="7" t="inlineStr">
        <is>
          <t>テンプレート用サンプル株式会社 消費税区分チェックレポート</t>
        </is>
      </c>
    </row>
    <row r="2" ht="15" customHeight="1" s="8">
      <c r="L2" s="9" t="inlineStr">
        <is>
          <t>【判定凡例】</t>
        </is>
      </c>
    </row>
    <row r="3" ht="15" customHeight="1" s="8">
      <c r="A3" s="1" t="inlineStr">
        <is>
          <t>対象会社</t>
        </is>
      </c>
      <c r="B3" s="1" t="inlineStr">
        <is>
          <t>テンプレート用サンプル株式会社</t>
        </is>
      </c>
      <c r="L3" s="25" t="inlineStr">
        <is>
          <t>重大</t>
        </is>
      </c>
      <c r="M3" s="10" t="inlineStr">
        <is>
          <t>消費税区分の誤りの可能性が高い</t>
        </is>
      </c>
    </row>
    <row r="4" ht="15" customHeight="1" s="8">
      <c r="A4" s="1" t="inlineStr">
        <is>
          <t>対象月</t>
        </is>
      </c>
      <c r="B4" s="1" t="inlineStr">
        <is>
          <t>2025/12</t>
        </is>
      </c>
      <c r="L4" s="26" t="inlineStr">
        <is>
          <t>要注意</t>
        </is>
      </c>
      <c r="M4" s="10" t="inlineStr">
        <is>
          <t>取引内容等により判断が必要</t>
        </is>
      </c>
    </row>
    <row r="5" ht="15" customHeight="1" s="8">
      <c r="A5" s="1" t="inlineStr">
        <is>
          <t>チェック実行日</t>
        </is>
      </c>
      <c r="B5" s="1" t="inlineStr">
        <is>
          <t>2026/04/17</t>
        </is>
      </c>
      <c r="L5" s="27" t="inlineStr">
        <is>
          <t>要確認</t>
        </is>
      </c>
      <c r="M5" s="10" t="inlineStr">
        <is>
          <t>影響度少ない / 整合性の観点</t>
        </is>
      </c>
    </row>
    <row r="7" ht="18" customHeight="1" s="8">
      <c r="A7" s="2" t="inlineStr">
        <is>
          <t>指摘サマリー（チェック項目別）</t>
        </is>
      </c>
    </row>
    <row r="8">
      <c r="D8" s="20" t="n"/>
      <c r="E8" s="20" t="n"/>
      <c r="F8" s="20" t="n"/>
    </row>
    <row r="9" ht="14.25" customHeight="1" s="8">
      <c r="A9" s="11" t="inlineStr">
        <is>
          <t>項目</t>
        </is>
      </c>
      <c r="B9" s="11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1" t="inlineStr">
        <is>
          <t>合計</t>
        </is>
      </c>
    </row>
    <row r="10" ht="14.25" customHeight="1" s="8">
      <c r="A10" s="14" t="inlineStr">
        <is>
          <t>TC-01</t>
        </is>
      </c>
      <c r="B10" s="14" t="inlineStr">
        <is>
          <t>売上の税区分</t>
        </is>
      </c>
      <c r="C10" s="42" t="n"/>
      <c r="D10" s="14" t="n">
        <v>1</v>
      </c>
      <c r="E10" s="14" t="n">
        <v>1</v>
      </c>
      <c r="F10" s="14" t="n">
        <v>1</v>
      </c>
      <c r="G10" s="14" t="n">
        <v>3</v>
      </c>
    </row>
    <row r="11" ht="14.25" customHeight="1" s="8">
      <c r="A11" s="14" t="inlineStr">
        <is>
          <t>TC-02</t>
        </is>
      </c>
      <c r="B11" s="14" t="inlineStr">
        <is>
          <t>土地/住宅の非課税</t>
        </is>
      </c>
      <c r="C11" s="42" t="n"/>
      <c r="D11" s="14" t="n">
        <v>1</v>
      </c>
      <c r="E11" s="14" t="n">
        <v>1</v>
      </c>
      <c r="F11" s="14" t="n">
        <v>0</v>
      </c>
      <c r="G11" s="14" t="n">
        <v>2</v>
      </c>
    </row>
    <row r="12" ht="14.25" customHeight="1" s="8">
      <c r="A12" s="14" t="inlineStr">
        <is>
          <t>TC-03</t>
        </is>
      </c>
      <c r="B12" s="14" t="inlineStr">
        <is>
          <t>給与/人件費</t>
        </is>
      </c>
      <c r="C12" s="42" t="n"/>
      <c r="D12" s="14" t="n">
        <v>1</v>
      </c>
      <c r="E12" s="14" t="n">
        <v>1</v>
      </c>
      <c r="F12" s="14" t="n">
        <v>1</v>
      </c>
      <c r="G12" s="14" t="n">
        <v>3</v>
      </c>
    </row>
    <row r="13" ht="14.25" customHeight="1" s="8">
      <c r="A13" s="14" t="inlineStr">
        <is>
          <t>TC-04</t>
        </is>
      </c>
      <c r="B13" s="14" t="inlineStr">
        <is>
          <t>非課税/対象外の収益</t>
        </is>
      </c>
      <c r="C13" s="42" t="n"/>
      <c r="D13" s="14" t="n">
        <v>1</v>
      </c>
      <c r="E13" s="14" t="n">
        <v>1</v>
      </c>
      <c r="F13" s="14" t="n">
        <v>0</v>
      </c>
      <c r="G13" s="14" t="n">
        <v>2</v>
      </c>
    </row>
    <row r="14" ht="14.25" customHeight="1" s="8">
      <c r="A14" s="14" t="inlineStr">
        <is>
          <t>TC-05</t>
        </is>
      </c>
      <c r="B14" s="14" t="inlineStr">
        <is>
          <t>非課税/対象外の費用</t>
        </is>
      </c>
      <c r="C14" s="42" t="n"/>
      <c r="D14" s="14" t="n">
        <v>1</v>
      </c>
      <c r="E14" s="14" t="n">
        <v>1</v>
      </c>
      <c r="F14" s="14" t="n">
        <v>1</v>
      </c>
      <c r="G14" s="14" t="n">
        <v>3</v>
      </c>
    </row>
    <row r="15" ht="14.25" customHeight="1" s="8">
      <c r="A15" s="14" t="inlineStr">
        <is>
          <t>TC-06</t>
        </is>
      </c>
      <c r="B15" s="14" t="inlineStr">
        <is>
          <t>税金/租税公課</t>
        </is>
      </c>
      <c r="C15" s="42" t="n"/>
      <c r="D15" s="14" t="n">
        <v>1</v>
      </c>
      <c r="E15" s="14" t="n">
        <v>1</v>
      </c>
      <c r="F15" s="14" t="n">
        <v>0</v>
      </c>
      <c r="G15" s="14" t="n">
        <v>2</v>
      </c>
    </row>
    <row r="16" ht="14.25" customHeight="1" s="8">
      <c r="A16" s="14" t="inlineStr">
        <is>
          <t>TC-07</t>
        </is>
      </c>
      <c r="B16" s="14" t="inlineStr">
        <is>
          <t>福利厚生</t>
        </is>
      </c>
      <c r="C16" s="42" t="n"/>
      <c r="D16" s="14" t="n">
        <v>0</v>
      </c>
      <c r="E16" s="14" t="n">
        <v>1</v>
      </c>
      <c r="F16" s="14" t="n">
        <v>1</v>
      </c>
      <c r="G16" s="14" t="n">
        <v>2</v>
      </c>
    </row>
    <row r="17" ht="14.25" customHeight="1" s="8">
      <c r="A17" s="17" t="inlineStr">
        <is>
          <t>合計</t>
        </is>
      </c>
      <c r="B17" s="17" t="n"/>
      <c r="C17" s="42" t="n"/>
      <c r="D17" s="17" t="n">
        <v>6</v>
      </c>
      <c r="E17" s="17" t="n">
        <v>7</v>
      </c>
      <c r="F17" s="17" t="n">
        <v>4</v>
      </c>
      <c r="G17" s="17" t="n">
        <v>17</v>
      </c>
    </row>
    <row r="20" ht="14.25" customHeight="1" s="8">
      <c r="A20" s="6" t="inlineStr">
        <is>
          <t>エリア</t>
        </is>
      </c>
      <c r="B20" s="6" t="inlineStr">
        <is>
          <t>エリア名</t>
        </is>
      </c>
      <c r="C20" s="42" t="n"/>
      <c r="D20" s="11" t="inlineStr">
        <is>
          <t>項目</t>
        </is>
      </c>
      <c r="E20" s="11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 s="8">
      <c r="A21" s="14" t="inlineStr">
        <is>
          <t>A4</t>
        </is>
      </c>
      <c r="B21" s="14" t="inlineStr">
        <is>
          <t>家賃・地代</t>
        </is>
      </c>
      <c r="C21" s="42" t="n"/>
      <c r="D21" s="14" t="inlineStr">
        <is>
          <t>TC-02</t>
        </is>
      </c>
      <c r="E21" s="14" t="inlineStr">
        <is>
          <t>土地/住宅の非課税</t>
        </is>
      </c>
      <c r="F21" s="42" t="n"/>
      <c r="G21" s="21" t="n">
        <v>2</v>
      </c>
      <c r="H21" s="21" t="n">
        <v>1</v>
      </c>
      <c r="I21" s="21" t="n">
        <v>1</v>
      </c>
      <c r="J21" s="21" t="n">
        <v>0</v>
      </c>
      <c r="K21" s="21" t="n">
        <v>2</v>
      </c>
      <c r="L21" s="14" t="inlineStr">
        <is>
          <t>-</t>
        </is>
      </c>
      <c r="M21" s="22" t="inlineStr"/>
    </row>
    <row r="22" ht="14.25" customHeight="1" s="8">
      <c r="A22" s="14" t="inlineStr">
        <is>
          <t>A5</t>
        </is>
      </c>
      <c r="B22" s="14" t="inlineStr">
        <is>
          <t>人件費</t>
        </is>
      </c>
      <c r="C22" s="42" t="n"/>
      <c r="D22" s="14" t="inlineStr">
        <is>
          <t>TC-03</t>
        </is>
      </c>
      <c r="E22" s="14" t="inlineStr">
        <is>
          <t>給与/人件費</t>
        </is>
      </c>
      <c r="F22" s="42" t="n"/>
      <c r="G22" s="21" t="n">
        <v>3</v>
      </c>
      <c r="H22" s="21" t="n">
        <v>1</v>
      </c>
      <c r="I22" s="21" t="n">
        <v>1</v>
      </c>
      <c r="J22" s="21" t="n">
        <v>1</v>
      </c>
      <c r="K22" s="21" t="n">
        <v>3</v>
      </c>
      <c r="L22" s="14" t="inlineStr">
        <is>
          <t>-</t>
        </is>
      </c>
      <c r="M22" s="22" t="inlineStr"/>
    </row>
    <row r="23" ht="14.25" customHeight="1" s="8">
      <c r="A23" s="14" t="inlineStr">
        <is>
          <t>A5</t>
        </is>
      </c>
      <c r="B23" s="14" t="inlineStr">
        <is>
          <t>人件費</t>
        </is>
      </c>
      <c r="C23" s="42" t="n"/>
      <c r="D23" s="14" t="inlineStr">
        <is>
          <t>TC-07</t>
        </is>
      </c>
      <c r="E23" s="14" t="inlineStr">
        <is>
          <t>福利厚生</t>
        </is>
      </c>
      <c r="F23" s="42" t="n"/>
      <c r="G23" s="21" t="n">
        <v>2</v>
      </c>
      <c r="H23" s="21" t="n">
        <v>0</v>
      </c>
      <c r="I23" s="21" t="n">
        <v>1</v>
      </c>
      <c r="J23" s="21" t="n">
        <v>1</v>
      </c>
      <c r="K23" s="21" t="n">
        <v>2</v>
      </c>
      <c r="L23" s="14" t="inlineStr">
        <is>
          <t>-</t>
        </is>
      </c>
      <c r="M23" s="22" t="inlineStr"/>
    </row>
    <row r="24" ht="14.25" customHeight="1" s="8">
      <c r="A24" s="14" t="inlineStr">
        <is>
          <t>A8</t>
        </is>
      </c>
      <c r="B24" s="14" t="inlineStr">
        <is>
          <t>売上</t>
        </is>
      </c>
      <c r="C24" s="42" t="n"/>
      <c r="D24" s="14" t="inlineStr">
        <is>
          <t>TC-01</t>
        </is>
      </c>
      <c r="E24" s="14" t="inlineStr">
        <is>
          <t>売上の税区分</t>
        </is>
      </c>
      <c r="F24" s="42" t="n"/>
      <c r="G24" s="21" t="n">
        <v>3</v>
      </c>
      <c r="H24" s="21" t="n">
        <v>1</v>
      </c>
      <c r="I24" s="21" t="n">
        <v>1</v>
      </c>
      <c r="J24" s="21" t="n">
        <v>1</v>
      </c>
      <c r="K24" s="21" t="n">
        <v>3</v>
      </c>
      <c r="L24" s="14" t="inlineStr">
        <is>
          <t>-</t>
        </is>
      </c>
      <c r="M24" s="22" t="inlineStr"/>
    </row>
    <row r="25" ht="14.25" customHeight="1" s="8">
      <c r="A25" s="14" t="inlineStr">
        <is>
          <t>A10</t>
        </is>
      </c>
      <c r="B25" s="14" t="inlineStr">
        <is>
          <t>その他経費</t>
        </is>
      </c>
      <c r="C25" s="42" t="n"/>
      <c r="D25" s="14" t="inlineStr">
        <is>
          <t>TC-05</t>
        </is>
      </c>
      <c r="E25" s="14" t="inlineStr">
        <is>
          <t>非課税/対象外の費用</t>
        </is>
      </c>
      <c r="F25" s="42" t="n"/>
      <c r="G25" s="21" t="n">
        <v>3</v>
      </c>
      <c r="H25" s="21" t="n">
        <v>1</v>
      </c>
      <c r="I25" s="21" t="n">
        <v>1</v>
      </c>
      <c r="J25" s="21" t="n">
        <v>1</v>
      </c>
      <c r="K25" s="21" t="n">
        <v>3</v>
      </c>
      <c r="L25" s="14" t="inlineStr">
        <is>
          <t>-</t>
        </is>
      </c>
      <c r="M25" s="22" t="inlineStr"/>
    </row>
    <row r="26" ht="14.25" customHeight="1" s="8">
      <c r="A26" s="14" t="inlineStr">
        <is>
          <t>A11</t>
        </is>
      </c>
      <c r="B26" s="14" t="inlineStr">
        <is>
          <t>営業外・特別損益</t>
        </is>
      </c>
      <c r="C26" s="42" t="n"/>
      <c r="D26" s="14" t="inlineStr">
        <is>
          <t>TC-04</t>
        </is>
      </c>
      <c r="E26" s="14" t="inlineStr">
        <is>
          <t>非課税/対象外の収益</t>
        </is>
      </c>
      <c r="F26" s="42" t="n"/>
      <c r="G26" s="21" t="n">
        <v>2</v>
      </c>
      <c r="H26" s="21" t="n">
        <v>1</v>
      </c>
      <c r="I26" s="21" t="n">
        <v>1</v>
      </c>
      <c r="J26" s="21" t="n">
        <v>0</v>
      </c>
      <c r="K26" s="21" t="n">
        <v>2</v>
      </c>
      <c r="L26" s="14" t="inlineStr">
        <is>
          <t>-</t>
        </is>
      </c>
      <c r="M26" s="22" t="inlineStr"/>
    </row>
    <row r="27" ht="14.25" customHeight="1" s="8">
      <c r="A27" s="14" t="inlineStr">
        <is>
          <t>A12</t>
        </is>
      </c>
      <c r="B27" s="14" t="inlineStr">
        <is>
          <t>税金</t>
        </is>
      </c>
      <c r="C27" s="42" t="n"/>
      <c r="D27" s="14" t="inlineStr">
        <is>
          <t>TC-06</t>
        </is>
      </c>
      <c r="E27" s="14" t="inlineStr">
        <is>
          <t>税金/租税公課</t>
        </is>
      </c>
      <c r="F27" s="42" t="n"/>
      <c r="G27" s="21" t="n">
        <v>2</v>
      </c>
      <c r="H27" s="21" t="n">
        <v>1</v>
      </c>
      <c r="I27" s="21" t="n">
        <v>1</v>
      </c>
      <c r="J27" s="21" t="n">
        <v>0</v>
      </c>
      <c r="K27" s="21" t="n">
        <v>2</v>
      </c>
      <c r="L27" s="14" t="inlineStr">
        <is>
          <t>-</t>
        </is>
      </c>
      <c r="M27" s="22" t="inlineStr"/>
    </row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A4 家賃・地代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重大</t>
        </is>
      </c>
      <c r="B4" s="43" t="inlineStr">
        <is>
          <t>TC-02-01</t>
        </is>
      </c>
      <c r="C4" s="43" t="inlineStr">
        <is>
          <t>土地/住宅の非課税</t>
        </is>
      </c>
      <c r="D4" s="43" t="inlineStr">
        <is>
          <t>土地の賃借料に課税仕入が設定されています。土地は非課税取引です。</t>
        </is>
      </c>
      <c r="E4" s="43" t="inlineStr">
        <is>
          <t>土地の賃借料に課税仕入が設定されています。土地は非課税取引です。</t>
        </is>
      </c>
      <c r="F4" s="43" t="inlineStr">
        <is>
          <t>課対仕入10%</t>
        </is>
      </c>
      <c r="G4" s="43" t="inlineStr">
        <is>
          <t>非課税仕入</t>
        </is>
      </c>
      <c r="H4" s="43" t="inlineStr">
        <is>
          <t>2025/12/01</t>
        </is>
      </c>
      <c r="I4" s="43" t="inlineStr">
        <is>
          <t>地代家賃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80</v>
      </c>
      <c r="T4" s="43" t="inlineStr">
        <is>
          <t>direct_error</t>
        </is>
      </c>
      <c r="U4" s="43" t="inlineStr"/>
      <c r="V4" s="43" t="inlineStr"/>
      <c r="W4" s="43" t="inlineStr"/>
    </row>
    <row r="5" ht="28.5" customHeight="1" s="8">
      <c r="A5" s="44" t="inlineStr">
        <is>
          <t>要注意</t>
        </is>
      </c>
      <c r="B5" s="44" t="inlineStr">
        <is>
          <t>TC-02-02</t>
        </is>
      </c>
      <c r="C5" s="44" t="inlineStr">
        <is>
          <t>土地/住宅の非課税</t>
        </is>
      </c>
      <c r="D5" s="44" t="inlineStr">
        <is>
          <t>住居用建物の賃借料の可能性があります。用途を確認してください。</t>
        </is>
      </c>
      <c r="E5" s="44" t="inlineStr">
        <is>
          <t>住居用建物の賃借料の可能性があります。用途を確認してください。</t>
        </is>
      </c>
      <c r="F5" s="44" t="inlineStr">
        <is>
          <t>課対仕入10%</t>
        </is>
      </c>
      <c r="G5" s="44" t="inlineStr">
        <is>
          <t>非課税仕入</t>
        </is>
      </c>
      <c r="H5" s="44" t="inlineStr">
        <is>
          <t>2025/12/01</t>
        </is>
      </c>
      <c r="I5" s="44" t="inlineStr">
        <is>
          <t>賃借料</t>
        </is>
      </c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n">
        <v>80</v>
      </c>
      <c r="T5" s="44" t="inlineStr">
        <is>
          <t>gray_review</t>
        </is>
      </c>
      <c r="U5" s="44" t="inlineStr"/>
      <c r="V5" s="44" t="inlineStr"/>
      <c r="W5" s="44" t="inlineStr"/>
    </row>
    <row r="6" ht="14.2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A5 人件費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重大</t>
        </is>
      </c>
      <c r="B4" s="43" t="inlineStr">
        <is>
          <t>TC-03-01</t>
        </is>
      </c>
      <c r="C4" s="43" t="inlineStr">
        <is>
          <t>給与/人件費</t>
        </is>
      </c>
      <c r="D4" s="43" t="inlineStr">
        <is>
          <t>給与手当に課税仕入が設定されています。給与は消費税の課税対象外です。</t>
        </is>
      </c>
      <c r="E4" s="43" t="inlineStr">
        <is>
          <t>給与手当に課税仕入が設定されています。給与は消費税の課税対象外です。</t>
        </is>
      </c>
      <c r="F4" s="43" t="inlineStr">
        <is>
          <t>課対仕入10%</t>
        </is>
      </c>
      <c r="G4" s="43" t="inlineStr">
        <is>
          <t>対象外</t>
        </is>
      </c>
      <c r="H4" s="43" t="inlineStr">
        <is>
          <t>2025/12/01</t>
        </is>
      </c>
      <c r="I4" s="43" t="inlineStr">
        <is>
          <t>給与手当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80</v>
      </c>
      <c r="T4" s="43" t="inlineStr">
        <is>
          <t>direct_error</t>
        </is>
      </c>
      <c r="U4" s="43" t="inlineStr"/>
      <c r="V4" s="43" t="inlineStr"/>
      <c r="W4" s="43" t="inlineStr"/>
    </row>
    <row r="5" ht="28.5" customHeight="1" s="8">
      <c r="A5" s="44" t="inlineStr">
        <is>
          <t>要注意</t>
        </is>
      </c>
      <c r="B5" s="44" t="inlineStr">
        <is>
          <t>TC-03-02</t>
        </is>
      </c>
      <c r="C5" s="44" t="inlineStr">
        <is>
          <t>給与/人件費</t>
        </is>
      </c>
      <c r="D5" s="44" t="inlineStr">
        <is>
          <t>役員報酬に課税仕入が設定されています。対象外に変更が必要です。</t>
        </is>
      </c>
      <c r="E5" s="44" t="inlineStr">
        <is>
          <t>役員報酬に課税仕入が設定されています。対象外に変更が必要です。</t>
        </is>
      </c>
      <c r="F5" s="44" t="inlineStr">
        <is>
          <t>課対仕入10%</t>
        </is>
      </c>
      <c r="G5" s="44" t="inlineStr">
        <is>
          <t>対象外</t>
        </is>
      </c>
      <c r="H5" s="44" t="inlineStr">
        <is>
          <t>2025/12/01</t>
        </is>
      </c>
      <c r="I5" s="44" t="inlineStr">
        <is>
          <t>役員報酬</t>
        </is>
      </c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n">
        <v>90</v>
      </c>
      <c r="T5" s="44" t="inlineStr">
        <is>
          <t>gray_review</t>
        </is>
      </c>
      <c r="U5" s="44" t="inlineStr"/>
      <c r="V5" s="44" t="inlineStr"/>
      <c r="W5" s="44" t="inlineStr"/>
    </row>
    <row r="6" ht="42.75" customHeight="1" s="8">
      <c r="A6" s="45" t="inlineStr">
        <is>
          <t>要確認</t>
        </is>
      </c>
      <c r="B6" s="45" t="inlineStr">
        <is>
          <t>TC-03-03</t>
        </is>
      </c>
      <c r="C6" s="45" t="inlineStr">
        <is>
          <t>給与/人件費</t>
        </is>
      </c>
      <c r="D6" s="45" t="inlineStr">
        <is>
          <t>社員旅行費の一部が給与課税される可能性があります。内容を確認してください。</t>
        </is>
      </c>
      <c r="E6" s="45" t="inlineStr">
        <is>
          <t>社員旅行費の一部が給与課税される可能性があります。内容を確認してください。</t>
        </is>
      </c>
      <c r="F6" s="45" t="inlineStr">
        <is>
          <t>課対仕入10%</t>
        </is>
      </c>
      <c r="G6" s="45" t="inlineStr">
        <is>
          <t>対象外</t>
        </is>
      </c>
      <c r="H6" s="45" t="inlineStr">
        <is>
          <t>2025/12/01</t>
        </is>
      </c>
      <c r="I6" s="45" t="inlineStr">
        <is>
          <t>福利厚生費</t>
        </is>
      </c>
      <c r="J6" s="45" t="inlineStr"/>
      <c r="K6" s="45" t="inlineStr"/>
      <c r="L6" s="45" t="inlineStr"/>
      <c r="M6" s="45" t="inlineStr"/>
      <c r="N6" s="45" t="inlineStr"/>
      <c r="O6" s="45" t="inlineStr"/>
      <c r="P6" s="45" t="inlineStr"/>
      <c r="Q6" s="45" t="inlineStr"/>
      <c r="R6" s="45" t="inlineStr"/>
      <c r="S6" s="45" t="n">
        <v>60</v>
      </c>
      <c r="T6" s="45" t="inlineStr">
        <is>
          <t>mild_warning</t>
        </is>
      </c>
      <c r="U6" s="45" t="inlineStr"/>
      <c r="V6" s="45" t="inlineStr"/>
      <c r="W6" s="45" t="inlineStr"/>
    </row>
    <row r="7" ht="42.75" customHeight="1" s="8">
      <c r="A7" s="44" t="inlineStr">
        <is>
          <t>要注意</t>
        </is>
      </c>
      <c r="B7" s="44" t="inlineStr">
        <is>
          <t>TC-07-01</t>
        </is>
      </c>
      <c r="C7" s="44" t="inlineStr">
        <is>
          <t>福利厚生</t>
        </is>
      </c>
      <c r="D7" s="44" t="inlineStr">
        <is>
          <t>慶弔見舞金に課税仕入が設定されています。対象外への変更を検討してください。</t>
        </is>
      </c>
      <c r="E7" s="44" t="inlineStr">
        <is>
          <t>慶弔見舞金に課税仕入が設定されています。対象外への変更を検討してください。</t>
        </is>
      </c>
      <c r="F7" s="44" t="inlineStr">
        <is>
          <t>課対仕入10%</t>
        </is>
      </c>
      <c r="G7" s="44" t="inlineStr">
        <is>
          <t>対象外</t>
        </is>
      </c>
      <c r="H7" s="44" t="inlineStr">
        <is>
          <t>2025/12/01</t>
        </is>
      </c>
      <c r="I7" s="44" t="inlineStr">
        <is>
          <t>福利厚生費</t>
        </is>
      </c>
      <c r="J7" s="44" t="inlineStr"/>
      <c r="K7" s="44" t="inlineStr"/>
      <c r="L7" s="44" t="inlineStr"/>
      <c r="M7" s="44" t="inlineStr"/>
      <c r="N7" s="44" t="inlineStr"/>
      <c r="O7" s="44" t="inlineStr"/>
      <c r="P7" s="44" t="inlineStr"/>
      <c r="Q7" s="44" t="inlineStr"/>
      <c r="R7" s="44" t="inlineStr"/>
      <c r="S7" s="44" t="n">
        <v>80</v>
      </c>
      <c r="T7" s="44" t="inlineStr">
        <is>
          <t>gray_review</t>
        </is>
      </c>
      <c r="U7" s="44" t="inlineStr"/>
      <c r="V7" s="44" t="inlineStr"/>
      <c r="W7" s="44" t="inlineStr"/>
    </row>
    <row r="8" ht="42.75" customHeight="1" s="8">
      <c r="A8" s="45" t="inlineStr">
        <is>
          <t>要確認</t>
        </is>
      </c>
      <c r="B8" s="45" t="inlineStr">
        <is>
          <t>TC-07-02</t>
        </is>
      </c>
      <c r="C8" s="45" t="inlineStr">
        <is>
          <t>福利厚生</t>
        </is>
      </c>
      <c r="D8" s="45" t="inlineStr">
        <is>
          <t>社員食堂費用の税区分は課税仕入で正しいと推定されます。金額が大きい場合は確認して</t>
        </is>
      </c>
      <c r="E8" s="45" t="inlineStr">
        <is>
          <t>社員食堂費用の税区分は課税仕入で正しいと推定されます。金額が大きい場合は確認してください。</t>
        </is>
      </c>
      <c r="F8" s="45" t="inlineStr">
        <is>
          <t>課対仕入10%</t>
        </is>
      </c>
      <c r="G8" s="45" t="inlineStr">
        <is>
          <t>課対仕入10%</t>
        </is>
      </c>
      <c r="H8" s="45" t="inlineStr">
        <is>
          <t>2025/12/01</t>
        </is>
      </c>
      <c r="I8" s="45" t="inlineStr">
        <is>
          <t>福利厚生費</t>
        </is>
      </c>
      <c r="J8" s="45" t="inlineStr"/>
      <c r="K8" s="45" t="inlineStr"/>
      <c r="L8" s="45" t="inlineStr"/>
      <c r="M8" s="45" t="inlineStr"/>
      <c r="N8" s="45" t="inlineStr"/>
      <c r="O8" s="45" t="inlineStr"/>
      <c r="P8" s="45" t="inlineStr"/>
      <c r="Q8" s="45" t="inlineStr"/>
      <c r="R8" s="45" t="inlineStr"/>
      <c r="S8" s="45" t="n">
        <v>70</v>
      </c>
      <c r="T8" s="45" t="inlineStr">
        <is>
          <t>mild_warning</t>
        </is>
      </c>
      <c r="U8" s="45" t="inlineStr"/>
      <c r="V8" s="45" t="inlineStr"/>
      <c r="W8" s="45" t="inlineStr"/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8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A8 売上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重大</t>
        </is>
      </c>
      <c r="B4" s="43" t="inlineStr">
        <is>
          <t>TC-01-01</t>
        </is>
      </c>
      <c r="C4" s="43" t="inlineStr">
        <is>
          <t>売上の税区分</t>
        </is>
      </c>
      <c r="D4" s="43" t="inlineStr">
        <is>
          <t>免税事業者への売上に課税区分が設定されています。免税売上に変更してください。</t>
        </is>
      </c>
      <c r="E4" s="43" t="inlineStr">
        <is>
          <t>免税事業者への売上に課税区分が設定されています。免税売上に変更してください。</t>
        </is>
      </c>
      <c r="F4" s="43" t="inlineStr">
        <is>
          <t>課対売上10%</t>
        </is>
      </c>
      <c r="G4" s="43" t="inlineStr">
        <is>
          <t>免税売上</t>
        </is>
      </c>
      <c r="H4" s="43" t="inlineStr">
        <is>
          <t>2025/12/01</t>
        </is>
      </c>
      <c r="I4" s="43" t="inlineStr">
        <is>
          <t>売上高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80</v>
      </c>
      <c r="T4" s="43" t="inlineStr">
        <is>
          <t>direct_error</t>
        </is>
      </c>
      <c r="U4" s="43" t="inlineStr"/>
      <c r="V4" s="43" t="inlineStr"/>
      <c r="W4" s="43" t="inlineStr"/>
    </row>
    <row r="5" ht="42.75" customHeight="1" s="8">
      <c r="A5" s="44" t="inlineStr">
        <is>
          <t>要注意</t>
        </is>
      </c>
      <c r="B5" s="44" t="inlineStr">
        <is>
          <t>TC-01-02</t>
        </is>
      </c>
      <c r="C5" s="44" t="inlineStr">
        <is>
          <t>売上の税区分</t>
        </is>
      </c>
      <c r="D5" s="44" t="inlineStr">
        <is>
          <t>旧税率8%の区分が使われています。取引日を確認し、10%への変更を検討してくださ</t>
        </is>
      </c>
      <c r="E5" s="44" t="inlineStr">
        <is>
          <t>旧税率8%の区分が使われています。取引日を確認し、10%への変更を検討してください。</t>
        </is>
      </c>
      <c r="F5" s="44" t="inlineStr">
        <is>
          <t>課対売上8%</t>
        </is>
      </c>
      <c r="G5" s="44" t="inlineStr">
        <is>
          <t>課対売上10%</t>
        </is>
      </c>
      <c r="H5" s="44" t="inlineStr">
        <is>
          <t>2025/12/01</t>
        </is>
      </c>
      <c r="I5" s="44" t="inlineStr">
        <is>
          <t>売上高</t>
        </is>
      </c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n">
        <v>80</v>
      </c>
      <c r="T5" s="44" t="inlineStr">
        <is>
          <t>gray_review</t>
        </is>
      </c>
      <c r="U5" s="44" t="inlineStr"/>
      <c r="V5" s="44" t="inlineStr"/>
      <c r="W5" s="44" t="inlineStr"/>
    </row>
    <row r="6" ht="28.5" customHeight="1" s="8">
      <c r="A6" s="45" t="inlineStr">
        <is>
          <t>要確認</t>
        </is>
      </c>
      <c r="B6" s="45" t="inlineStr">
        <is>
          <t>TC-01-03</t>
        </is>
      </c>
      <c r="C6" s="45" t="inlineStr">
        <is>
          <t>売上の税区分</t>
        </is>
      </c>
      <c r="D6" s="45" t="inlineStr">
        <is>
          <t>雑収入に課税区分が設定されています。対象外収入の可能性があります。</t>
        </is>
      </c>
      <c r="E6" s="45" t="inlineStr">
        <is>
          <t>雑収入に課税区分が設定されています。対象外収入の可能性があります。</t>
        </is>
      </c>
      <c r="F6" s="45" t="inlineStr">
        <is>
          <t>課対売上10%</t>
        </is>
      </c>
      <c r="G6" s="45" t="inlineStr">
        <is>
          <t>対象外</t>
        </is>
      </c>
      <c r="H6" s="45" t="inlineStr">
        <is>
          <t>2025/12/01</t>
        </is>
      </c>
      <c r="I6" s="45" t="inlineStr">
        <is>
          <t>雑収入</t>
        </is>
      </c>
      <c r="J6" s="45" t="inlineStr"/>
      <c r="K6" s="45" t="inlineStr"/>
      <c r="L6" s="45" t="inlineStr"/>
      <c r="M6" s="45" t="inlineStr"/>
      <c r="N6" s="45" t="inlineStr"/>
      <c r="O6" s="45" t="inlineStr"/>
      <c r="P6" s="45" t="inlineStr"/>
      <c r="Q6" s="45" t="inlineStr"/>
      <c r="R6" s="45" t="inlineStr"/>
      <c r="S6" s="45" t="n">
        <v>80</v>
      </c>
      <c r="T6" s="45" t="inlineStr">
        <is>
          <t>mild_warning</t>
        </is>
      </c>
      <c r="U6" s="45" t="inlineStr"/>
      <c r="V6" s="45" t="inlineStr"/>
      <c r="W6" s="45" t="inlineStr"/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A10 その他経費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 s="8">
      <c r="A4" s="43" t="inlineStr">
        <is>
          <t>重大</t>
        </is>
      </c>
      <c r="B4" s="43" t="inlineStr">
        <is>
          <t>TC-05-01</t>
        </is>
      </c>
      <c r="C4" s="43" t="inlineStr">
        <is>
          <t>非課税/対象外の費用</t>
        </is>
      </c>
      <c r="D4" s="43" t="inlineStr">
        <is>
          <t>支払利息に課税仕入が設定されています。利子は非課税取引です。</t>
        </is>
      </c>
      <c r="E4" s="43" t="inlineStr">
        <is>
          <t>支払利息に課税仕入が設定されています。利子は非課税取引です。</t>
        </is>
      </c>
      <c r="F4" s="43" t="inlineStr">
        <is>
          <t>課対仕入10%</t>
        </is>
      </c>
      <c r="G4" s="43" t="inlineStr">
        <is>
          <t>非課税仕入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80</v>
      </c>
      <c r="T4" s="43" t="inlineStr">
        <is>
          <t>direct_error</t>
        </is>
      </c>
      <c r="U4" s="43" t="inlineStr"/>
      <c r="V4" s="43" t="inlineStr"/>
      <c r="W4" s="43" t="inlineStr"/>
    </row>
    <row r="5" ht="42.75" customHeight="1" s="8">
      <c r="A5" s="44" t="inlineStr">
        <is>
          <t>要注意</t>
        </is>
      </c>
      <c r="B5" s="44" t="inlineStr">
        <is>
          <t>TC-05-02</t>
        </is>
      </c>
      <c r="C5" s="44" t="inlineStr">
        <is>
          <t>非課税/対象外の費用</t>
        </is>
      </c>
      <c r="D5" s="44" t="inlineStr">
        <is>
          <t>生命保険料に課税仕入が設定されています。非課税または対象外の可能性があります。</t>
        </is>
      </c>
      <c r="E5" s="44" t="inlineStr">
        <is>
          <t>生命保険料に課税仕入が設定されています。非課税または対象外の可能性があります。</t>
        </is>
      </c>
      <c r="F5" s="44" t="inlineStr">
        <is>
          <t>課対仕入10%</t>
        </is>
      </c>
      <c r="G5" s="44" t="inlineStr">
        <is>
          <t>対象外</t>
        </is>
      </c>
      <c r="H5" s="44" t="inlineStr">
        <is>
          <t>2025/12/01</t>
        </is>
      </c>
      <c r="I5" s="44" t="inlineStr">
        <is>
          <t>保険料</t>
        </is>
      </c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n">
        <v>80</v>
      </c>
      <c r="T5" s="44" t="inlineStr">
        <is>
          <t>gray_review</t>
        </is>
      </c>
      <c r="U5" s="44" t="inlineStr"/>
      <c r="V5" s="44" t="inlineStr"/>
      <c r="W5" s="44" t="inlineStr"/>
    </row>
    <row r="6" ht="42.75" customHeight="1" s="8">
      <c r="A6" s="45" t="inlineStr">
        <is>
          <t>要確認</t>
        </is>
      </c>
      <c r="B6" s="45" t="inlineStr">
        <is>
          <t>TC-05-03</t>
        </is>
      </c>
      <c r="C6" s="45" t="inlineStr">
        <is>
          <t>非課税/対象外の費用</t>
        </is>
      </c>
      <c r="D6" s="45" t="inlineStr">
        <is>
          <t>印紙税が含まれている可能性があります。対象外への変更を検討してください。</t>
        </is>
      </c>
      <c r="E6" s="45" t="inlineStr">
        <is>
          <t>印紙税が含まれている可能性があります。対象外への変更を検討してください。</t>
        </is>
      </c>
      <c r="F6" s="45" t="inlineStr">
        <is>
          <t>課対仕入10%</t>
        </is>
      </c>
      <c r="G6" s="45" t="inlineStr">
        <is>
          <t>対象外</t>
        </is>
      </c>
      <c r="H6" s="45" t="inlineStr">
        <is>
          <t>2025/12/01</t>
        </is>
      </c>
      <c r="I6" s="45" t="inlineStr">
        <is>
          <t>租税公課</t>
        </is>
      </c>
      <c r="J6" s="45" t="inlineStr"/>
      <c r="K6" s="45" t="inlineStr"/>
      <c r="L6" s="45" t="inlineStr"/>
      <c r="M6" s="45" t="inlineStr"/>
      <c r="N6" s="45" t="inlineStr"/>
      <c r="O6" s="45" t="inlineStr"/>
      <c r="P6" s="45" t="inlineStr"/>
      <c r="Q6" s="45" t="inlineStr"/>
      <c r="R6" s="45" t="inlineStr"/>
      <c r="S6" s="45" t="n">
        <v>65</v>
      </c>
      <c r="T6" s="45" t="inlineStr">
        <is>
          <t>mild_warning</t>
        </is>
      </c>
      <c r="U6" s="45" t="inlineStr"/>
      <c r="V6" s="45" t="inlineStr"/>
      <c r="W6" s="45" t="inlineStr"/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A11 営業外・特別損益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 s="8">
      <c r="A4" s="43" t="inlineStr">
        <is>
          <t>重大</t>
        </is>
      </c>
      <c r="B4" s="43" t="inlineStr">
        <is>
          <t>TC-04-01</t>
        </is>
      </c>
      <c r="C4" s="43" t="inlineStr">
        <is>
          <t>非課税/対象外の収益</t>
        </is>
      </c>
      <c r="D4" s="43" t="inlineStr">
        <is>
          <t>受取利息に課税売上が設定されています。利子は非課税取引です。</t>
        </is>
      </c>
      <c r="E4" s="43" t="inlineStr">
        <is>
          <t>受取利息に課税売上が設定されています。利子は非課税取引です。</t>
        </is>
      </c>
      <c r="F4" s="43" t="inlineStr">
        <is>
          <t>課対売上10%</t>
        </is>
      </c>
      <c r="G4" s="43" t="inlineStr">
        <is>
          <t>非課税売上</t>
        </is>
      </c>
      <c r="H4" s="43" t="inlineStr">
        <is>
          <t>2025/12/01</t>
        </is>
      </c>
      <c r="I4" s="43" t="inlineStr">
        <is>
          <t>受取利息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80</v>
      </c>
      <c r="T4" s="43" t="inlineStr">
        <is>
          <t>direct_error</t>
        </is>
      </c>
      <c r="U4" s="43" t="inlineStr"/>
      <c r="V4" s="43" t="inlineStr"/>
      <c r="W4" s="43" t="inlineStr"/>
    </row>
    <row r="5" ht="42.75" customHeight="1" s="8">
      <c r="A5" s="44" t="inlineStr">
        <is>
          <t>要注意</t>
        </is>
      </c>
      <c r="B5" s="44" t="inlineStr">
        <is>
          <t>TC-04-02</t>
        </is>
      </c>
      <c r="C5" s="44" t="inlineStr">
        <is>
          <t>非課税/対象外の収益</t>
        </is>
      </c>
      <c r="D5" s="44" t="inlineStr">
        <is>
          <t>非課税売上の区分が付いていますが、課税売上の可能性があります。内容を確認してくだ</t>
        </is>
      </c>
      <c r="E5" s="44" t="inlineStr">
        <is>
          <t>非課税売上の区分が付いていますが、課税売上の可能性があります。内容を確認してください。</t>
        </is>
      </c>
      <c r="F5" s="44" t="inlineStr">
        <is>
          <t>非課税売上</t>
        </is>
      </c>
      <c r="G5" s="44" t="inlineStr">
        <is>
          <t>課対売上10%</t>
        </is>
      </c>
      <c r="H5" s="44" t="inlineStr">
        <is>
          <t>2025/12/01</t>
        </is>
      </c>
      <c r="I5" s="44" t="inlineStr">
        <is>
          <t>雑収入</t>
        </is>
      </c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n">
        <v>55</v>
      </c>
      <c r="T5" s="44" t="inlineStr">
        <is>
          <t>reverse_suspect</t>
        </is>
      </c>
      <c r="U5" s="44" t="inlineStr"/>
      <c r="V5" s="44" t="inlineStr"/>
      <c r="W5" s="44" t="inlineStr"/>
    </row>
    <row r="6" ht="28.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activeCell="T1" sqref="T1:T1048576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A12 税金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重大</t>
        </is>
      </c>
      <c r="B4" s="43" t="inlineStr">
        <is>
          <t>TC-06-01</t>
        </is>
      </c>
      <c r="C4" s="43" t="inlineStr">
        <is>
          <t>税金/租税公課</t>
        </is>
      </c>
      <c r="D4" s="43" t="inlineStr">
        <is>
          <t>固定資産税に課税仕入が設定されています。税金は消費税の対象外です。</t>
        </is>
      </c>
      <c r="E4" s="43" t="inlineStr">
        <is>
          <t>固定資産税に課税仕入が設定されています。税金は消費税の対象外です。</t>
        </is>
      </c>
      <c r="F4" s="43" t="inlineStr">
        <is>
          <t>課対仕入10%</t>
        </is>
      </c>
      <c r="G4" s="43" t="inlineStr">
        <is>
          <t>対象外</t>
        </is>
      </c>
      <c r="H4" s="43" t="inlineStr">
        <is>
          <t>2025/12/01</t>
        </is>
      </c>
      <c r="I4" s="43" t="inlineStr">
        <is>
          <t>租税公課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80</v>
      </c>
      <c r="T4" s="43" t="inlineStr">
        <is>
          <t>direct_error</t>
        </is>
      </c>
      <c r="U4" s="43" t="inlineStr"/>
      <c r="V4" s="43" t="inlineStr"/>
      <c r="W4" s="43" t="inlineStr"/>
    </row>
    <row r="5" ht="42.75" customHeight="1" s="8">
      <c r="A5" s="44" t="inlineStr">
        <is>
          <t>要注意</t>
        </is>
      </c>
      <c r="B5" s="44" t="inlineStr">
        <is>
          <t>TC-06-02</t>
        </is>
      </c>
      <c r="C5" s="44" t="inlineStr">
        <is>
          <t>税金/租税公課</t>
        </is>
      </c>
      <c r="D5" s="44" t="inlineStr">
        <is>
          <t>法人税等の支払いに課税仕入が設定されています。対象外に変更が必要です。</t>
        </is>
      </c>
      <c r="E5" s="44" t="inlineStr">
        <is>
          <t>法人税等の支払いに課税仕入が設定されています。対象外に変更が必要です。</t>
        </is>
      </c>
      <c r="F5" s="44" t="inlineStr">
        <is>
          <t>課対仕入10%</t>
        </is>
      </c>
      <c r="G5" s="44" t="inlineStr">
        <is>
          <t>対象外</t>
        </is>
      </c>
      <c r="H5" s="44" t="inlineStr">
        <is>
          <t>2025/12/01</t>
        </is>
      </c>
      <c r="I5" s="44" t="inlineStr">
        <is>
          <t>法人税等</t>
        </is>
      </c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n">
        <v>80</v>
      </c>
      <c r="T5" s="44" t="inlineStr">
        <is>
          <t>gray_review</t>
        </is>
      </c>
      <c r="U5" s="44" t="inlineStr"/>
      <c r="V5" s="44" t="inlineStr"/>
      <c r="W5" s="44" t="inlineStr"/>
    </row>
    <row r="6" ht="14.2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A1" sqref="A1"/>
    </sheetView>
  </sheetViews>
  <sheetFormatPr baseColWidth="8" defaultRowHeight="14.25"/>
  <cols>
    <col width="9" customWidth="1" style="41" min="1" max="1"/>
    <col width="17.25" bestFit="1" customWidth="1" style="41" min="2" max="2"/>
    <col width="9" customWidth="1" style="41" min="3" max="3"/>
    <col width="35.5" bestFit="1" customWidth="1" style="41" min="4" max="4"/>
    <col width="35.5" customWidth="1" style="41" min="5" max="5"/>
    <col width="13.625" bestFit="1" customWidth="1" style="41" min="6" max="6"/>
    <col width="14.875" bestFit="1" customWidth="1" style="41" min="7" max="7"/>
    <col width="13" bestFit="1" customWidth="1" style="41" min="8" max="8"/>
    <col width="9" customWidth="1" style="41" min="9" max="9"/>
    <col width="14.875" bestFit="1" customWidth="1" style="41" min="10" max="10"/>
    <col width="17.25" bestFit="1" customWidth="1" style="41" min="11" max="11"/>
    <col width="11" bestFit="1" customWidth="1" style="41" min="12" max="12"/>
    <col width="45.375" bestFit="1" customWidth="1" style="41" min="13" max="13"/>
    <col width="9" customWidth="1" style="41" min="14" max="16384"/>
  </cols>
  <sheetData>
    <row r="1">
      <c r="A1" s="41" t="inlineStr">
        <is>
          <t>TC ID</t>
        </is>
      </c>
      <c r="B1" s="41" t="inlineStr">
        <is>
          <t>項目名</t>
        </is>
      </c>
      <c r="C1" s="41" t="inlineStr">
        <is>
          <t>サブタイプ</t>
        </is>
      </c>
      <c r="D1" s="41" t="inlineStr">
        <is>
          <t>判定内容 / 特徴KW</t>
        </is>
      </c>
      <c r="E1" s="41" t="inlineStr">
        <is>
          <t>判定内容</t>
        </is>
      </c>
      <c r="F1" s="41" t="inlineStr">
        <is>
          <t>異常度 (Color)</t>
        </is>
      </c>
      <c r="G1" s="41" t="inlineStr">
        <is>
          <t>エラー型</t>
        </is>
      </c>
      <c r="H1" s="41" t="inlineStr">
        <is>
          <t>エラー型</t>
        </is>
      </c>
      <c r="J1" s="41" t="inlineStr">
        <is>
          <t>TC ID</t>
        </is>
      </c>
      <c r="K1" s="41" t="inlineStr">
        <is>
          <t>項目名</t>
        </is>
      </c>
      <c r="L1" s="41" t="inlineStr">
        <is>
          <t>仕様書準拠</t>
        </is>
      </c>
      <c r="M1" s="41" t="inlineStr">
        <is>
          <t>実装パターン / 特徴</t>
        </is>
      </c>
    </row>
    <row r="2">
      <c r="A2" s="41" t="inlineStr">
        <is>
          <t>TC-01</t>
        </is>
      </c>
      <c r="B2" s="41" t="inlineStr">
        <is>
          <t>売上の税区分検証</t>
        </is>
      </c>
      <c r="C2" s="41" t="inlineStr">
        <is>
          <t>a</t>
        </is>
      </c>
      <c r="D2" s="41" t="inlineStr">
        <is>
          <t>課税売上10% + 別区分KWあり</t>
        </is>
      </c>
      <c r="E2" s="41" t="inlineStr">
        <is>
          <t>課税10%＋別区分KW</t>
        </is>
      </c>
      <c r="F2" s="41" t="inlineStr">
        <is>
          <t>🟡</t>
        </is>
      </c>
      <c r="G2" s="41" t="inlineStr">
        <is>
          <t>reverse_suspect</t>
        </is>
      </c>
      <c r="H2" s="41">
        <f>VLOOKUP(G2,$J$11:$K$15,2,0)</f>
        <v/>
      </c>
      <c r="J2" s="41" t="inlineStr">
        <is>
          <t>TC-01</t>
        </is>
      </c>
      <c r="K2" s="41" t="inlineStr">
        <is>
          <t>売上の税区分検証</t>
        </is>
      </c>
      <c r="L2" s="41" t="inlineStr">
        <is>
          <t>§5.1</t>
        </is>
      </c>
      <c r="M2" s="41" t="inlineStr">
        <is>
          <t>Pattern B派生（税区分起点＋KW双方向）</t>
        </is>
      </c>
    </row>
    <row r="3">
      <c r="C3" s="41" t="inlineStr">
        <is>
          <t>b</t>
        </is>
      </c>
      <c r="D3" s="41" t="inlineStr">
        <is>
          <t>課税売上8%(軽) + 食品系でない</t>
        </is>
      </c>
      <c r="E3" s="41" t="inlineStr">
        <is>
          <t>軽減8%だが食品外</t>
        </is>
      </c>
      <c r="F3" s="41" t="inlineStr">
        <is>
          <t>🔴</t>
        </is>
      </c>
      <c r="G3" s="41" t="inlineStr">
        <is>
          <t>direct_error</t>
        </is>
      </c>
      <c r="H3" s="41">
        <f>VLOOKUP(G3,$J$11:$K$15,2,0)</f>
        <v/>
      </c>
      <c r="J3" s="41" t="inlineStr">
        <is>
          <t>TC-02</t>
        </is>
      </c>
      <c r="K3" s="41" t="inlineStr">
        <is>
          <t>土地・住宅家賃</t>
        </is>
      </c>
      <c r="L3" s="41" t="inlineStr">
        <is>
          <t>§5.2</t>
        </is>
      </c>
      <c r="M3" s="41" t="inlineStr">
        <is>
          <t>最も複雑なロジック（Phase 4山場）</t>
        </is>
      </c>
    </row>
    <row r="4">
      <c r="C4" s="41" t="inlineStr">
        <is>
          <t>c</t>
        </is>
      </c>
      <c r="D4" s="41" t="inlineStr">
        <is>
          <t>輸出売上 + 海外KWなし</t>
        </is>
      </c>
      <c r="E4" s="41" t="inlineStr">
        <is>
          <t>輸出売上・海外KWなし</t>
        </is>
      </c>
      <c r="F4" s="41" t="inlineStr">
        <is>
          <t>🔴</t>
        </is>
      </c>
      <c r="G4" s="41" t="inlineStr">
        <is>
          <t>direct_error</t>
        </is>
      </c>
      <c r="H4" s="41">
        <f>VLOOKUP(G4,$J$11:$K$15,2,0)</f>
        <v/>
      </c>
      <c r="J4" s="41" t="inlineStr">
        <is>
          <t>TC-03</t>
        </is>
      </c>
      <c r="K4" s="41" t="inlineStr">
        <is>
          <t>給与・法定福利費</t>
        </is>
      </c>
      <c r="L4" s="41" t="inlineStr">
        <is>
          <t>§5.3</t>
        </is>
      </c>
      <c r="M4" s="41" t="inlineStr">
        <is>
          <t>給与系・法定福利費の基本的な課税誤り判定</t>
        </is>
      </c>
    </row>
    <row r="5">
      <c r="C5" s="41" t="inlineStr">
        <is>
          <t>d</t>
        </is>
      </c>
      <c r="D5" s="41" t="inlineStr">
        <is>
          <t>非課売上 + 例外KWなし</t>
        </is>
      </c>
      <c r="E5" s="41" t="inlineStr">
        <is>
          <t>非課売上・例外なし</t>
        </is>
      </c>
      <c r="F5" s="41" t="inlineStr">
        <is>
          <t>🔴</t>
        </is>
      </c>
      <c r="G5" s="41" t="inlineStr">
        <is>
          <t>direct_error</t>
        </is>
      </c>
      <c r="H5" s="41">
        <f>VLOOKUP(G5,$J$11:$K$15,2,0)</f>
        <v/>
      </c>
      <c r="J5" s="41" t="inlineStr">
        <is>
          <t>TC-04</t>
        </is>
      </c>
      <c r="K5" s="41" t="inlineStr">
        <is>
          <t>受取利息・配当等</t>
        </is>
      </c>
      <c r="L5" s="41" t="inlineStr">
        <is>
          <t>§5.4</t>
        </is>
      </c>
      <c r="M5" s="41" t="inlineStr">
        <is>
          <t>Pattern B（科目カテゴリ×税区分マトリクス）の模範</t>
        </is>
      </c>
    </row>
    <row r="6">
      <c r="C6" s="41" t="inlineStr">
        <is>
          <t>e</t>
        </is>
      </c>
      <c r="D6" s="41" t="inlineStr">
        <is>
          <t>対象外 + 例外KWなし</t>
        </is>
      </c>
      <c r="E6" s="41" t="inlineStr">
        <is>
          <t>対象外・例外なし</t>
        </is>
      </c>
      <c r="F6" s="41" t="inlineStr">
        <is>
          <t>🔴</t>
        </is>
      </c>
      <c r="G6" s="41" t="inlineStr">
        <is>
          <t>direct_error</t>
        </is>
      </c>
      <c r="H6" s="41">
        <f>VLOOKUP(G6,$J$11:$K$15,2,0)</f>
        <v/>
      </c>
      <c r="J6" s="41" t="inlineStr">
        <is>
          <t>TC-05</t>
        </is>
      </c>
      <c r="K6" s="41" t="inlineStr">
        <is>
          <t>支払利息・保険料</t>
        </is>
      </c>
      <c r="L6" s="41" t="inlineStr">
        <is>
          <t>§5.5</t>
        </is>
      </c>
      <c r="M6" s="41" t="inlineStr">
        <is>
          <t>Pattern B＋動的エリア＋デュアルルート</t>
        </is>
      </c>
    </row>
    <row r="7">
      <c r="A7" s="41" t="inlineStr">
        <is>
          <t>TC-02</t>
        </is>
      </c>
      <c r="B7" s="41" t="inlineStr">
        <is>
          <t>土地・住宅家賃</t>
        </is>
      </c>
      <c r="C7" s="41" t="inlineStr">
        <is>
          <t>a</t>
        </is>
      </c>
      <c r="D7" s="41" t="inlineStr">
        <is>
          <t>土地取引が課税</t>
        </is>
      </c>
      <c r="E7" s="41" t="inlineStr">
        <is>
          <t>土地取引が課税</t>
        </is>
      </c>
      <c r="F7" s="41" t="inlineStr">
        <is>
          <t>🔴</t>
        </is>
      </c>
      <c r="G7" s="41" t="inlineStr">
        <is>
          <t>direct_error</t>
        </is>
      </c>
      <c r="H7" s="41">
        <f>VLOOKUP(G7,$J$11:$K$15,2,0)</f>
        <v/>
      </c>
      <c r="J7" s="41" t="inlineStr">
        <is>
          <t>TC-06</t>
        </is>
      </c>
      <c r="K7" s="41" t="inlineStr">
        <is>
          <t>租税公課</t>
        </is>
      </c>
      <c r="L7" s="41" t="inlineStr">
        <is>
          <t>§5.6</t>
        </is>
      </c>
      <c r="M7" s="41" t="inlineStr">
        <is>
          <t>Pattern C（原則判定＋例外KW補正型）</t>
        </is>
      </c>
    </row>
    <row r="8">
      <c r="C8" s="41" t="inlineStr">
        <is>
          <t>b</t>
        </is>
      </c>
      <c r="D8" s="41" t="inlineStr">
        <is>
          <t>受取家賃(住宅)が課税売上</t>
        </is>
      </c>
      <c r="E8" s="41" t="inlineStr">
        <is>
          <t>住宅家賃（受取）が課税</t>
        </is>
      </c>
      <c r="F8" s="41" t="inlineStr">
        <is>
          <t>🔴</t>
        </is>
      </c>
      <c r="G8" s="41" t="inlineStr">
        <is>
          <t>direct_error</t>
        </is>
      </c>
      <c r="H8" s="41">
        <f>VLOOKUP(G8,$J$11:$K$15,2,0)</f>
        <v/>
      </c>
      <c r="J8" s="41" t="inlineStr">
        <is>
          <t>TC-07</t>
        </is>
      </c>
      <c r="K8" s="41" t="inlineStr">
        <is>
          <t>福利厚生費</t>
        </is>
      </c>
      <c r="L8" s="41" t="inlineStr">
        <is>
          <t>§5.7</t>
        </is>
      </c>
      <c r="M8" s="41" t="inlineStr">
        <is>
          <t>Pattern D（KW優先順位ディスパッチ型）</t>
        </is>
      </c>
    </row>
    <row r="9">
      <c r="C9" s="41" t="inlineStr">
        <is>
          <t>c</t>
        </is>
      </c>
      <c r="D9" s="41" t="inlineStr">
        <is>
          <t>支払家賃(住宅用)が課税仕入</t>
        </is>
      </c>
      <c r="E9" s="41" t="inlineStr">
        <is>
          <t>住宅家賃（支払）が課税</t>
        </is>
      </c>
      <c r="F9" s="41" t="inlineStr">
        <is>
          <t>🔴</t>
        </is>
      </c>
      <c r="G9" s="41" t="inlineStr">
        <is>
          <t>direct_error</t>
        </is>
      </c>
      <c r="H9" s="41">
        <f>VLOOKUP(G9,$J$11:$K$15,2,0)</f>
        <v/>
      </c>
    </row>
    <row r="10">
      <c r="C10" s="41" t="inlineStr">
        <is>
          <t>d</t>
        </is>
      </c>
      <c r="D10" s="41" t="inlineStr">
        <is>
          <t>駐車場・付随設備の判定要確認</t>
        </is>
      </c>
      <c r="E10" s="41" t="inlineStr">
        <is>
          <t>駐車場判定要確認</t>
        </is>
      </c>
      <c r="F10" s="41" t="inlineStr">
        <is>
          <t>🟡</t>
        </is>
      </c>
      <c r="G10" s="41" t="inlineStr">
        <is>
          <t>gray_review</t>
        </is>
      </c>
      <c r="H10" s="41">
        <f>VLOOKUP(G10,$J$11:$K$15,2,0)</f>
        <v/>
      </c>
    </row>
    <row r="11">
      <c r="C11" s="41" t="inlineStr">
        <is>
          <t>e</t>
        </is>
      </c>
      <c r="D11" s="41" t="inlineStr">
        <is>
          <t>受取家賃が非課売上 + 事業用KW</t>
        </is>
      </c>
      <c r="E11" s="41" t="inlineStr">
        <is>
          <t>受取家賃（非課）＋事業用KW</t>
        </is>
      </c>
      <c r="F11" s="41" t="inlineStr">
        <is>
          <t>🟡</t>
        </is>
      </c>
      <c r="G11" s="41" t="inlineStr">
        <is>
          <t>reverse_suspect</t>
        </is>
      </c>
      <c r="H11" s="41">
        <f>VLOOKUP(G11,$J$11:$K$15,2,0)</f>
        <v/>
      </c>
      <c r="J11" s="41" t="inlineStr">
        <is>
          <t>用語</t>
        </is>
      </c>
      <c r="K11" s="41" t="inlineStr">
        <is>
          <t>日本語訳（推奨）</t>
        </is>
      </c>
      <c r="L11" s="41" t="inlineStr">
        <is>
          <t>ニュアンス・意味</t>
        </is>
      </c>
    </row>
    <row r="12">
      <c r="C12" s="41" t="inlineStr">
        <is>
          <t>f</t>
        </is>
      </c>
      <c r="D12" s="41" t="inlineStr">
        <is>
          <t>支払家賃が非課仕入 + 事業用KW</t>
        </is>
      </c>
      <c r="E12" s="41" t="inlineStr">
        <is>
          <t>支払家賃（非課）＋事業用KW</t>
        </is>
      </c>
      <c r="F12" s="41" t="inlineStr">
        <is>
          <t>🟡</t>
        </is>
      </c>
      <c r="G12" s="41" t="inlineStr">
        <is>
          <t>reverse_suspect</t>
        </is>
      </c>
      <c r="H12" s="41">
        <f>VLOOKUP(G12,$J$11:$K$15,2,0)</f>
        <v/>
      </c>
      <c r="J12" s="41" t="inlineStr">
        <is>
          <t>direct_error</t>
        </is>
      </c>
      <c r="K12" s="41" t="inlineStr">
        <is>
          <t>明確な誤り</t>
        </is>
      </c>
      <c r="L12" s="41" t="inlineStr">
        <is>
          <t>ロジック上、明らかに「間違い」と断定できるもの。</t>
        </is>
      </c>
    </row>
    <row r="13">
      <c r="A13" s="41" t="inlineStr">
        <is>
          <t>TC-03</t>
        </is>
      </c>
      <c r="B13" s="41" t="inlineStr">
        <is>
          <t>給与・法定福利費</t>
        </is>
      </c>
      <c r="C13" s="41" t="inlineStr">
        <is>
          <t>a</t>
        </is>
      </c>
      <c r="D13" s="41" t="inlineStr">
        <is>
          <t>給与系が課税区分</t>
        </is>
      </c>
      <c r="E13" s="41" t="inlineStr">
        <is>
          <t>給与が課税区分</t>
        </is>
      </c>
      <c r="F13" s="41" t="inlineStr">
        <is>
          <t>🔴</t>
        </is>
      </c>
      <c r="G13" s="41" t="inlineStr">
        <is>
          <t>direct_error</t>
        </is>
      </c>
      <c r="H13" s="41">
        <f>VLOOKUP(G13,$J$11:$K$15,2,0)</f>
        <v/>
      </c>
      <c r="J13" s="41" t="inlineStr">
        <is>
          <t>reverse_suspect</t>
        </is>
      </c>
      <c r="K13" s="41" t="inlineStr">
        <is>
          <t>逆の可能性あり</t>
        </is>
      </c>
      <c r="L13" s="41" t="inlineStr">
        <is>
          <t>「本来こうあるべき」という条件と反対の処理がされている疑い。</t>
        </is>
      </c>
    </row>
    <row r="14">
      <c r="C14" s="41" t="inlineStr">
        <is>
          <t>b</t>
        </is>
      </c>
      <c r="D14" s="41" t="inlineStr">
        <is>
          <t>法定福利費が課税区分</t>
        </is>
      </c>
      <c r="E14" s="41" t="inlineStr">
        <is>
          <t>法定福利費が課税</t>
        </is>
      </c>
      <c r="F14" s="41" t="inlineStr">
        <is>
          <t>🔴</t>
        </is>
      </c>
      <c r="G14" s="41" t="inlineStr">
        <is>
          <t>direct_error</t>
        </is>
      </c>
      <c r="H14" s="41">
        <f>VLOOKUP(G14,$J$11:$K$15,2,0)</f>
        <v/>
      </c>
      <c r="J14" s="41" t="inlineStr">
        <is>
          <t>gray_review</t>
        </is>
      </c>
      <c r="K14" s="41" t="inlineStr">
        <is>
          <t>判断が必要</t>
        </is>
      </c>
      <c r="L14" s="41" t="inlineStr">
        <is>
          <t>白黒つけられないため、人間による目視確認が必要なもの。</t>
        </is>
      </c>
    </row>
    <row r="15">
      <c r="C15" s="41" t="inlineStr">
        <is>
          <t>c</t>
        </is>
      </c>
      <c r="D15" s="41" t="inlineStr">
        <is>
          <t>法定福利費が対象外（許容）</t>
        </is>
      </c>
      <c r="E15" s="41" t="inlineStr">
        <is>
          <t>法定福利費は対象外OK</t>
        </is>
      </c>
      <c r="F15" s="41" t="inlineStr">
        <is>
          <t>🟢</t>
        </is>
      </c>
      <c r="G15" s="41" t="inlineStr">
        <is>
          <t>mild_warning</t>
        </is>
      </c>
      <c r="H15" s="41">
        <f>VLOOKUP(G15,$J$11:$K$15,2,0)</f>
        <v/>
      </c>
      <c r="J15" s="41" t="inlineStr">
        <is>
          <t>mild_warning</t>
        </is>
      </c>
      <c r="K15" s="41" t="inlineStr">
        <is>
          <t>問題なし</t>
        </is>
      </c>
      <c r="L15" s="41" t="inlineStr">
        <is>
          <t>間違いではない可能性が高いが、念のため留意すべき事項。</t>
        </is>
      </c>
    </row>
    <row r="16">
      <c r="A16" s="41" t="inlineStr">
        <is>
          <t>TC-04</t>
        </is>
      </c>
      <c r="B16" s="41" t="inlineStr">
        <is>
          <t>受取利息・配当等</t>
        </is>
      </c>
      <c r="C16" s="41" t="inlineStr">
        <is>
          <t>a</t>
        </is>
      </c>
      <c r="D16" s="41" t="inlineStr">
        <is>
          <t>受取利息が課税売上</t>
        </is>
      </c>
      <c r="E16" s="41" t="inlineStr">
        <is>
          <t>受取利息が課税</t>
        </is>
      </c>
      <c r="F16" s="41" t="inlineStr">
        <is>
          <t>🔴</t>
        </is>
      </c>
      <c r="G16" s="41" t="inlineStr">
        <is>
          <t>direct_error</t>
        </is>
      </c>
      <c r="H16" s="41">
        <f>VLOOKUP(G16,$J$11:$K$15,2,0)</f>
        <v/>
      </c>
    </row>
    <row r="17">
      <c r="C17" s="41" t="inlineStr">
        <is>
          <t>b</t>
        </is>
      </c>
      <c r="D17" s="41" t="inlineStr">
        <is>
          <t>配当金等が課税売上</t>
        </is>
      </c>
      <c r="E17" s="41" t="inlineStr">
        <is>
          <t>配当が課税</t>
        </is>
      </c>
      <c r="F17" s="41" t="inlineStr">
        <is>
          <t>🔴</t>
        </is>
      </c>
      <c r="G17" s="41" t="inlineStr">
        <is>
          <t>direct_error</t>
        </is>
      </c>
      <c r="H17" s="41">
        <f>VLOOKUP(G17,$J$11:$K$15,2,0)</f>
        <v/>
      </c>
    </row>
    <row r="18">
      <c r="C18" s="41" t="inlineStr">
        <is>
          <t>c</t>
        </is>
      </c>
      <c r="D18" s="41" t="inlineStr">
        <is>
          <t>受取利息が対象外（許容/aと排他）</t>
        </is>
      </c>
      <c r="E18" s="41" t="inlineStr">
        <is>
          <t>受取利息は対象外OK</t>
        </is>
      </c>
      <c r="F18" s="41" t="inlineStr">
        <is>
          <t>🟢</t>
        </is>
      </c>
      <c r="G18" s="41" t="inlineStr">
        <is>
          <t>mild_warning</t>
        </is>
      </c>
      <c r="H18" s="41">
        <f>VLOOKUP(G18,$J$11:$K$15,2,0)</f>
        <v/>
      </c>
    </row>
    <row r="19">
      <c r="C19" s="41" t="inlineStr">
        <is>
          <t>d</t>
        </is>
      </c>
      <c r="D19" s="41" t="inlineStr">
        <is>
          <t>配当金等が非課売上（許容/bと排他）</t>
        </is>
      </c>
      <c r="E19" s="41" t="inlineStr">
        <is>
          <t>配当は非課OK</t>
        </is>
      </c>
      <c r="F19" s="41" t="inlineStr">
        <is>
          <t>🟢</t>
        </is>
      </c>
      <c r="G19" s="41" t="inlineStr">
        <is>
          <t>mild_warning</t>
        </is>
      </c>
      <c r="H19" s="41">
        <f>VLOOKUP(G19,$J$11:$K$15,2,0)</f>
        <v/>
      </c>
    </row>
    <row r="20">
      <c r="C20" s="41" t="inlineStr">
        <is>
          <t>e</t>
        </is>
      </c>
      <c r="D20" s="41" t="inlineStr">
        <is>
          <t>損害賠償金の課税性確認</t>
        </is>
      </c>
      <c r="E20" s="41" t="inlineStr">
        <is>
          <t>損害賠償は要確認</t>
        </is>
      </c>
      <c r="F20" s="41" t="inlineStr">
        <is>
          <t>🟡</t>
        </is>
      </c>
      <c r="G20" s="41" t="inlineStr">
        <is>
          <t>gray_review</t>
        </is>
      </c>
      <c r="H20" s="41">
        <f>VLOOKUP(G20,$J$11:$K$15,2,0)</f>
        <v/>
      </c>
    </row>
    <row r="21">
      <c r="C21" s="41" t="inlineStr">
        <is>
          <t>f</t>
        </is>
      </c>
      <c r="D21" s="41" t="inlineStr">
        <is>
          <t>雑収入でKWマッチ</t>
        </is>
      </c>
      <c r="E21" s="41" t="inlineStr">
        <is>
          <t>雑収入でKW一致</t>
        </is>
      </c>
      <c r="F21" s="41" t="inlineStr">
        <is>
          <t>🟡</t>
        </is>
      </c>
      <c r="G21" s="41" t="inlineStr">
        <is>
          <t>reverse_suspect</t>
        </is>
      </c>
      <c r="H21" s="41">
        <f>VLOOKUP(G21,$J$11:$K$15,2,0)</f>
        <v/>
      </c>
    </row>
    <row r="22">
      <c r="A22" s="41" t="inlineStr">
        <is>
          <t>TC-05</t>
        </is>
      </c>
      <c r="B22" s="41" t="inlineStr">
        <is>
          <t>支払利息・保険料</t>
        </is>
      </c>
      <c r="C22" s="41" t="inlineStr">
        <is>
          <t>a</t>
        </is>
      </c>
      <c r="D22" s="41" t="inlineStr">
        <is>
          <t>支払利息が課税/非課売上 (A11)</t>
        </is>
      </c>
      <c r="E22" s="41" t="inlineStr">
        <is>
          <t>支払利息が課税扱い</t>
        </is>
      </c>
      <c r="F22" s="41" t="inlineStr">
        <is>
          <t>🟡</t>
        </is>
      </c>
      <c r="G22" s="41" t="inlineStr">
        <is>
          <t>direct_error</t>
        </is>
      </c>
      <c r="H22" s="41">
        <f>VLOOKUP(G22,$J$11:$K$15,2,0)</f>
        <v/>
      </c>
    </row>
    <row r="23">
      <c r="C23" s="41" t="inlineStr">
        <is>
          <t>b</t>
        </is>
      </c>
      <c r="D23" s="41" t="inlineStr">
        <is>
          <t>保険料が課税/非課売上 (A10)</t>
        </is>
      </c>
      <c r="E23" s="41" t="inlineStr">
        <is>
          <t>保険料が課税扱い</t>
        </is>
      </c>
      <c r="F23" s="41" t="inlineStr">
        <is>
          <t>🟡</t>
        </is>
      </c>
      <c r="G23" s="41" t="inlineStr">
        <is>
          <t>direct_error</t>
        </is>
      </c>
      <c r="H23" s="41">
        <f>VLOOKUP(G23,$J$11:$K$15,2,0)</f>
        <v/>
      </c>
    </row>
    <row r="24">
      <c r="C24" s="41" t="inlineStr">
        <is>
          <t>c</t>
        </is>
      </c>
      <c r="D24" s="41" t="inlineStr">
        <is>
          <t>支払利息が対象外 (A11/aと排他)</t>
        </is>
      </c>
      <c r="E24" s="41" t="inlineStr">
        <is>
          <t>支払利息は対象外OK</t>
        </is>
      </c>
      <c r="F24" s="41" t="inlineStr">
        <is>
          <t>🟢</t>
        </is>
      </c>
      <c r="G24" s="41" t="inlineStr">
        <is>
          <t>mild_warning</t>
        </is>
      </c>
      <c r="H24" s="41">
        <f>VLOOKUP(G24,$J$11:$K$15,2,0)</f>
        <v/>
      </c>
    </row>
    <row r="25">
      <c r="C25" s="41" t="inlineStr">
        <is>
          <t>d</t>
        </is>
      </c>
      <c r="D25" s="41" t="inlineStr">
        <is>
          <t>保険料が対象外 (A10/bと排他)</t>
        </is>
      </c>
      <c r="E25" s="41" t="inlineStr">
        <is>
          <t>保険料は対象外OK</t>
        </is>
      </c>
      <c r="F25" s="41" t="inlineStr">
        <is>
          <t>🟢</t>
        </is>
      </c>
      <c r="G25" s="41" t="inlineStr">
        <is>
          <t>mild_warning</t>
        </is>
      </c>
      <c r="H25" s="41">
        <f>VLOOKUP(G25,$J$11:$K$15,2,0)</f>
        <v/>
      </c>
    </row>
    <row r="26">
      <c r="C26" s="41" t="inlineStr">
        <is>
          <t>e</t>
        </is>
      </c>
      <c r="D26" s="41" t="inlineStr">
        <is>
          <t>保証料疑い（デュアルルート）</t>
        </is>
      </c>
      <c r="E26" s="41" t="inlineStr">
        <is>
          <t>保証料の可能性</t>
        </is>
      </c>
      <c r="F26" s="41" t="inlineStr">
        <is>
          <t>🟡</t>
        </is>
      </c>
      <c r="G26" s="41" t="inlineStr">
        <is>
          <t>gray_review</t>
        </is>
      </c>
      <c r="H26" s="41">
        <f>VLOOKUP(G26,$J$11:$K$15,2,0)</f>
        <v/>
      </c>
    </row>
    <row r="27">
      <c r="A27" s="41" t="inlineStr">
        <is>
          <t>TC-06</t>
        </is>
      </c>
      <c r="B27" s="41" t="inlineStr">
        <is>
          <t>租税公課</t>
        </is>
      </c>
      <c r="C27" s="41" t="inlineStr">
        <is>
          <t>a</t>
        </is>
      </c>
      <c r="D27" s="41" t="inlineStr">
        <is>
          <t>租税公課が課税仕入（例外KW除外可）</t>
        </is>
      </c>
      <c r="E27" s="41" t="inlineStr">
        <is>
          <t>租税公課が課税</t>
        </is>
      </c>
      <c r="F27" s="41" t="inlineStr">
        <is>
          <t>🔴</t>
        </is>
      </c>
      <c r="G27" s="41" t="inlineStr">
        <is>
          <t>direct_error</t>
        </is>
      </c>
      <c r="H27" s="41">
        <f>VLOOKUP(G27,$J$11:$K$15,2,0)</f>
        <v/>
      </c>
    </row>
    <row r="28">
      <c r="C28" s="41" t="inlineStr">
        <is>
          <t>b</t>
        </is>
      </c>
      <c r="D28" s="41" t="inlineStr">
        <is>
          <t>法人税等が課税区分 (Conf: 95)</t>
        </is>
      </c>
      <c r="E28" s="41" t="inlineStr">
        <is>
          <t>法人税等が課税区分</t>
        </is>
      </c>
      <c r="F28" s="41" t="inlineStr">
        <is>
          <t>🔴</t>
        </is>
      </c>
      <c r="G28" s="41" t="inlineStr">
        <is>
          <t>direct_error</t>
        </is>
      </c>
      <c r="H28" s="41">
        <f>VLOOKUP(G28,$J$11:$K$15,2,0)</f>
        <v/>
      </c>
    </row>
    <row r="29">
      <c r="C29" s="41" t="inlineStr">
        <is>
          <t>c</t>
        </is>
      </c>
      <c r="D29" s="41" t="inlineStr">
        <is>
          <t>租税公課が非課仕入 (aと排他)</t>
        </is>
      </c>
      <c r="E29" s="41" t="inlineStr">
        <is>
          <t>租税公課は非課OK</t>
        </is>
      </c>
      <c r="F29" s="41" t="inlineStr">
        <is>
          <t>🟢</t>
        </is>
      </c>
      <c r="G29" s="41" t="inlineStr">
        <is>
          <t>mild_warning</t>
        </is>
      </c>
      <c r="H29" s="41">
        <f>VLOOKUP(G29,$J$11:$K$15,2,0)</f>
        <v/>
      </c>
    </row>
    <row r="30">
      <c r="C30" s="41" t="inlineStr">
        <is>
          <t>d</t>
        </is>
      </c>
      <c r="D30" s="41" t="inlineStr">
        <is>
          <t>軽油引取税の判定要確認 (V1-3-30へ)</t>
        </is>
      </c>
      <c r="E30" s="41" t="inlineStr">
        <is>
          <t>軽油引取税は要確認</t>
        </is>
      </c>
      <c r="F30" s="41" t="inlineStr">
        <is>
          <t>🟡</t>
        </is>
      </c>
      <c r="G30" s="41" t="inlineStr">
        <is>
          <t>gray_review</t>
        </is>
      </c>
      <c r="H30" s="41">
        <f>VLOOKUP(G30,$J$11:$K$15,2,0)</f>
        <v/>
      </c>
    </row>
    <row r="31">
      <c r="C31" s="41" t="inlineStr">
        <is>
          <t>e</t>
        </is>
      </c>
      <c r="D31" s="41" t="inlineStr">
        <is>
          <t>ゴルフ場利用税・入湯税の判定要確認</t>
        </is>
      </c>
      <c r="E31" s="41" t="inlineStr">
        <is>
          <t>ゴルフ・入湯税は要確認</t>
        </is>
      </c>
      <c r="F31" s="41" t="inlineStr">
        <is>
          <t>🟡</t>
        </is>
      </c>
      <c r="G31" s="41" t="inlineStr">
        <is>
          <t>gray_review</t>
        </is>
      </c>
      <c r="H31" s="41">
        <f>VLOOKUP(G31,$J$11:$K$15,2,0)</f>
        <v/>
      </c>
    </row>
    <row r="32">
      <c r="A32" s="41" t="inlineStr">
        <is>
          <t>TC-07</t>
        </is>
      </c>
      <c r="B32" s="41" t="inlineStr">
        <is>
          <t>福利厚生費</t>
        </is>
      </c>
      <c r="C32" s="41" t="inlineStr">
        <is>
          <t>a</t>
        </is>
      </c>
      <c r="D32" s="41" t="inlineStr">
        <is>
          <t>慶弔見舞金が課税仕入 (Conf: 90)</t>
        </is>
      </c>
      <c r="E32" s="41" t="inlineStr">
        <is>
          <t>慶弔見舞金が課税</t>
        </is>
      </c>
      <c r="F32" s="41" t="inlineStr">
        <is>
          <t>🔴</t>
        </is>
      </c>
      <c r="G32" s="41" t="inlineStr">
        <is>
          <t>direct_error</t>
        </is>
      </c>
      <c r="H32" s="41">
        <f>VLOOKUP(G32,$J$11:$K$15,2,0)</f>
        <v/>
      </c>
    </row>
    <row r="33">
      <c r="C33" s="41" t="inlineStr">
        <is>
          <t>b</t>
        </is>
      </c>
      <c r="D33" s="41" t="inlineStr">
        <is>
          <t>商品券等が課税仕入 (Conf: 90)</t>
        </is>
      </c>
      <c r="E33" s="41" t="inlineStr">
        <is>
          <t>商品券が課税</t>
        </is>
      </c>
      <c r="F33" s="41" t="inlineStr">
        <is>
          <t>🔴</t>
        </is>
      </c>
      <c r="G33" s="41" t="inlineStr">
        <is>
          <t>direct_error</t>
        </is>
      </c>
      <c r="H33" s="41">
        <f>VLOOKUP(G33,$J$11:$K$15,2,0)</f>
        <v/>
      </c>
    </row>
    <row r="34">
      <c r="C34" s="41" t="inlineStr">
        <is>
          <t>c</t>
        </is>
      </c>
      <c r="D34" s="41" t="inlineStr">
        <is>
          <t>慶弔見舞金が非課仕入</t>
        </is>
      </c>
      <c r="E34" s="41" t="inlineStr">
        <is>
          <t>慶弔見舞金は非課</t>
        </is>
      </c>
      <c r="F34" s="41" t="inlineStr">
        <is>
          <t>🟡</t>
        </is>
      </c>
      <c r="G34" s="41" t="inlineStr">
        <is>
          <t>direct_error</t>
        </is>
      </c>
      <c r="H34" s="41">
        <f>VLOOKUP(G34,$J$11:$K$15,2,0)</f>
        <v/>
      </c>
    </row>
    <row r="35">
      <c r="C35" s="41" t="inlineStr">
        <is>
          <t>d</t>
        </is>
      </c>
      <c r="D35" s="41" t="inlineStr">
        <is>
          <t>商品券等が対象外</t>
        </is>
      </c>
      <c r="E35" s="41" t="inlineStr">
        <is>
          <t>商品券は対象外</t>
        </is>
      </c>
      <c r="F35" s="41" t="inlineStr">
        <is>
          <t>🟡</t>
        </is>
      </c>
      <c r="G35" s="41" t="inlineStr">
        <is>
          <t>direct_error</t>
        </is>
      </c>
      <c r="H35" s="41">
        <f>VLOOKUP(G35,$J$11:$K$15,2,0)</f>
        <v/>
      </c>
    </row>
    <row r="36">
      <c r="C36" s="41" t="inlineStr">
        <is>
          <t>e</t>
        </is>
      </c>
      <c r="D36" s="41" t="inlineStr">
        <is>
          <t>課税KWが対象外/非課仕入</t>
        </is>
      </c>
      <c r="E36" s="41" t="inlineStr">
        <is>
          <t>課税KWなのに非課/対象外</t>
        </is>
      </c>
      <c r="F36" s="41" t="inlineStr">
        <is>
          <t>🟡</t>
        </is>
      </c>
      <c r="G36" s="41" t="inlineStr">
        <is>
          <t>reverse_suspect</t>
        </is>
      </c>
      <c r="H36" s="41">
        <f>VLOOKUP(G36,$J$11:$K$15,2,0)</f>
        <v/>
      </c>
    </row>
    <row r="37">
      <c r="C37" s="41" t="inlineStr">
        <is>
          <t>f</t>
        </is>
      </c>
      <c r="D37" s="41" t="inlineStr">
        <is>
          <t>食品KWが10% (V1-3-20へ)</t>
        </is>
      </c>
      <c r="E37" s="41" t="inlineStr">
        <is>
          <t>食品なのに10%</t>
        </is>
      </c>
      <c r="F37" s="41" t="inlineStr">
        <is>
          <t>🟡</t>
        </is>
      </c>
      <c r="G37" s="41" t="inlineStr">
        <is>
          <t>direct_error</t>
        </is>
      </c>
      <c r="H37" s="41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2026-04-17T14:40:42Z</dcterms:modified>
  <cp:lastModifiedBy>Yuya Shirane</cp:lastModifiedBy>
</cp:coreProperties>
</file>