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2645" tabRatio="756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8 売上" sheetId="3" state="visible" r:id="rId3"/>
    <sheet xmlns:r="http://schemas.openxmlformats.org/officeDocument/2006/relationships" name="A11 営業外・特別損益" sheetId="4" state="visible" r:id="rId4"/>
    <sheet xmlns:r="http://schemas.openxmlformats.org/officeDocument/2006/relationships" name="参考" sheetId="5" state="visible" r:id="rId5"/>
  </sheets>
  <definedNames>
    <definedName name="_xlnm._FilterDatabase" localSheetId="1" hidden="1">'A5 人件費'!$A$3:$W$3</definedName>
    <definedName name="_xlnm._FilterDatabase" localSheetId="2" hidden="1">'A8 売上'!$A$3:$W$3</definedName>
    <definedName name="_xlnm._FilterDatabase" localSheetId="3" hidden="1">'A11 営業外・特別損益'!$A$3:$W$3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  <font>
      <name val="Meiryo UI"/>
      <b val="1"/>
      <color rgb="FF000000"/>
      <sz val="10"/>
    </font>
    <font>
      <name val="Meiryo UI"/>
      <color rgb="FF000000"/>
      <sz val="10"/>
    </font>
    <font>
      <name val="Meiryo UI"/>
      <color rgb="000563C1"/>
      <sz val="10"/>
      <u val="single"/>
    </font>
  </fonts>
  <fills count="15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FEF5D6"/>
      </patternFill>
    </fill>
    <fill>
      <patternFill patternType="solid">
        <fgColor rgb="FFEAF3D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C00000"/>
      </bottom>
    </border>
    <border>
      <left style="thin">
        <color rgb="FFD9D9D9"/>
      </left>
      <right style="thin">
        <color rgb="FFD9D9D9"/>
      </right>
      <top style="medium">
        <color rgb="FFED7D31"/>
      </top>
      <bottom style="thin">
        <color rgb="FFED7D31"/>
      </bottom>
    </border>
    <border>
      <left style="thin">
        <color rgb="FFD9D9D9"/>
      </left>
      <right style="thin">
        <color rgb="FFD9D9D9"/>
      </right>
      <top style="medium">
        <color rgb="FFBF8F00"/>
      </top>
      <bottom style="thin">
        <color rgb="FFBF8F00"/>
      </bottom>
    </border>
    <border>
      <left style="thin">
        <color rgb="FFD9D9D9"/>
      </left>
      <right style="thin">
        <color rgb="FFD9D9D9"/>
      </right>
      <top style="medium">
        <color rgb="FF548235"/>
      </top>
      <bottom style="thin">
        <color rgb="FF54823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/>
    <xf numFmtId="0" fontId="9" fillId="11" borderId="6" applyAlignment="1">
      <alignment horizontal="left" vertical="center"/>
    </xf>
    <xf numFmtId="0" fontId="9" fillId="12" borderId="7" applyAlignment="1">
      <alignment horizontal="left" vertical="center"/>
    </xf>
    <xf numFmtId="0" fontId="9" fillId="13" borderId="8" applyAlignment="1">
      <alignment horizontal="left" vertical="center"/>
    </xf>
    <xf numFmtId="0" fontId="9" fillId="14" borderId="9" applyAlignment="1">
      <alignment horizontal="left" vertical="center"/>
    </xf>
    <xf numFmtId="0" fontId="10" fillId="0" borderId="10" applyAlignment="1">
      <alignment horizontal="left" vertical="center"/>
    </xf>
  </cellStyleXfs>
  <cellXfs count="6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55" fontId="2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14" borderId="9" applyAlignment="1" pivotButton="0" quotePrefix="0" xfId="4">
      <alignment horizontal="center" vertical="center"/>
    </xf>
    <xf numFmtId="0" fontId="9" fillId="14" borderId="9" applyAlignment="1" pivotButton="0" quotePrefix="0" xfId="4">
      <alignment horizontal="left" vertical="center" wrapText="1"/>
    </xf>
    <xf numFmtId="0" fontId="9" fillId="14" borderId="9" applyAlignment="1" pivotButton="0" quotePrefix="0" xfId="4">
      <alignment horizontal="left" vertical="center"/>
    </xf>
    <xf numFmtId="3" fontId="9" fillId="14" borderId="9" applyAlignment="1" pivotButton="0" quotePrefix="0" xfId="4">
      <alignment horizontal="right" vertical="center"/>
    </xf>
    <xf numFmtId="0" fontId="9" fillId="14" borderId="9" applyAlignment="1" pivotButton="0" quotePrefix="0" xfId="4">
      <alignment horizontal="right" vertical="center"/>
    </xf>
    <xf numFmtId="0" fontId="11" fillId="14" borderId="9" applyAlignment="1" pivotButton="0" quotePrefix="0" xfId="4">
      <alignment horizontal="center" vertical="center"/>
    </xf>
    <xf numFmtId="0" fontId="10" fillId="0" borderId="10" applyAlignment="1" pivotButton="0" quotePrefix="0" xfId="5">
      <alignment horizontal="center" vertical="center"/>
    </xf>
    <xf numFmtId="0" fontId="10" fillId="0" borderId="10" applyAlignment="1" pivotButton="0" quotePrefix="0" xfId="5">
      <alignment horizontal="left" vertical="center" indent="2"/>
    </xf>
    <xf numFmtId="0" fontId="10" fillId="0" borderId="10" applyAlignment="1" pivotButton="0" quotePrefix="0" xfId="5">
      <alignment horizontal="left" vertical="center"/>
    </xf>
    <xf numFmtId="0" fontId="10" fillId="0" borderId="10" applyAlignment="1" pivotButton="0" quotePrefix="0" xfId="5">
      <alignment horizontal="left" vertical="center" wrapText="1"/>
    </xf>
    <xf numFmtId="3" fontId="10" fillId="0" borderId="10" applyAlignment="1" pivotButton="0" quotePrefix="0" xfId="5">
      <alignment horizontal="right" vertical="center"/>
    </xf>
    <xf numFmtId="0" fontId="10" fillId="0" borderId="10" applyAlignment="1" pivotButton="0" quotePrefix="0" xfId="5">
      <alignment horizontal="right" vertical="center"/>
    </xf>
    <xf numFmtId="0" fontId="11" fillId="0" borderId="10" applyAlignment="1" pivotButton="0" quotePrefix="0" xfId="5">
      <alignment horizontal="center" vertical="center"/>
    </xf>
    <xf numFmtId="0" fontId="9" fillId="11" borderId="6" applyAlignment="1" pivotButton="0" quotePrefix="0" xfId="1">
      <alignment horizontal="center" vertical="center"/>
    </xf>
    <xf numFmtId="0" fontId="9" fillId="11" borderId="6" applyAlignment="1" pivotButton="0" quotePrefix="0" xfId="1">
      <alignment horizontal="left" vertical="center" wrapText="1"/>
    </xf>
    <xf numFmtId="0" fontId="9" fillId="11" borderId="6" applyAlignment="1" pivotButton="0" quotePrefix="0" xfId="1">
      <alignment horizontal="left" vertical="center"/>
    </xf>
    <xf numFmtId="0" fontId="9" fillId="11" borderId="6" applyAlignment="1" pivotButton="0" quotePrefix="0" xfId="1">
      <alignment horizontal="right" vertical="center"/>
    </xf>
    <xf numFmtId="3" fontId="9" fillId="11" borderId="6" applyAlignment="1" pivotButton="0" quotePrefix="0" xfId="1">
      <alignment horizontal="right" vertical="center"/>
    </xf>
    <xf numFmtId="0" fontId="11" fillId="11" borderId="6" applyAlignment="1" pivotButton="0" quotePrefix="0" xfId="1">
      <alignment horizontal="center" vertical="center"/>
    </xf>
  </cellXfs>
  <cellStyles count="6">
    <cellStyle name="標準" xfId="0" builtinId="0"/>
    <cellStyle name="parent_row_style_critical" xfId="1" hidden="0"/>
    <cellStyle name="parent_row_style_warning" xfId="2" hidden="0"/>
    <cellStyle name="parent_row_style_medium" xfId="3" hidden="0"/>
    <cellStyle name="parent_row_style_low" xfId="4" hidden="0"/>
    <cellStyle name="child_row_styl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cure.freee.co.jp/reports/general_ledgers/show?name=%E6%B3%95%E5%AE%9A%E7%A6%8F%E5%88%A9%E8%B2%BB&amp;start_date=2025-06-01&amp;end_date=2026-05-31&amp;fiscal_year_id=10078183&amp;company_id=10794380&amp;tax_group_codes=2" TargetMode="External" Id="rId1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10078183&amp;company_id=10794380" TargetMode="External" Id="rId2"/><Relationship Type="http://schemas.openxmlformats.org/officeDocument/2006/relationships/hyperlink" Target="https://secure.freee.co.jp/reports/journals?deal_id=3011555677&amp;company_id=10794380" TargetMode="External" Id="rId3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10078183&amp;company_id=10794380" TargetMode="External" Id="rId4"/><Relationship Type="http://schemas.openxmlformats.org/officeDocument/2006/relationships/hyperlink" Target="https://secure.freee.co.jp/reports/journals?deal_id=3011555677&amp;company_id=10794380" TargetMode="External" Id="rId5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10078183&amp;company_id=10794380" TargetMode="External" Id="rId6"/><Relationship Type="http://schemas.openxmlformats.org/officeDocument/2006/relationships/hyperlink" Target="https://secure.freee.co.jp/reports/journals?deal_id=3011555677&amp;company_id=10794380" TargetMode="External" Id="rId7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10078183&amp;company_id=10794380" TargetMode="External" Id="rId8"/><Relationship Type="http://schemas.openxmlformats.org/officeDocument/2006/relationships/hyperlink" Target="https://secure.freee.co.jp/reports/journals?deal_id=3011555677&amp;company_id=10794380" TargetMode="External" Id="rId9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10078183&amp;company_id=10794380" TargetMode="External" Id="rId10"/><Relationship Type="http://schemas.openxmlformats.org/officeDocument/2006/relationships/hyperlink" Target="https://secure.freee.co.jp/reports/journals?deal_id=3011555796&amp;company_id=10794380" TargetMode="External" Id="rId11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10078183&amp;company_id=10794380" TargetMode="External" Id="rId12"/><Relationship Type="http://schemas.openxmlformats.org/officeDocument/2006/relationships/hyperlink" Target="https://secure.freee.co.jp/reports/journals?deal_id=3011555796&amp;company_id=10794380" TargetMode="External" Id="rId13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10078183&amp;company_id=10794380" TargetMode="External" Id="rId14"/><Relationship Type="http://schemas.openxmlformats.org/officeDocument/2006/relationships/hyperlink" Target="https://secure.freee.co.jp/reports/journals?deal_id=3011555796&amp;company_id=10794380" TargetMode="External" Id="rId15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10078183&amp;company_id=10794380" TargetMode="External" Id="rId16"/><Relationship Type="http://schemas.openxmlformats.org/officeDocument/2006/relationships/hyperlink" Target="https://secure.freee.co.jp/reports/journals?deal_id=3011555796&amp;company_id=10794380" TargetMode="External" Id="rId17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10078183&amp;company_id=10794380" TargetMode="External" Id="rId18"/><Relationship Type="http://schemas.openxmlformats.org/officeDocument/2006/relationships/hyperlink" Target="https://secure.freee.co.jp/reports/journals?deal_id=3011555962&amp;company_id=10794380" TargetMode="External" Id="rId19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10078183&amp;company_id=10794380" TargetMode="External" Id="rId20"/><Relationship Type="http://schemas.openxmlformats.org/officeDocument/2006/relationships/hyperlink" Target="https://secure.freee.co.jp/reports/journals?deal_id=3011555962&amp;company_id=10794380" TargetMode="External" Id="rId21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10078183&amp;company_id=10794380" TargetMode="External" Id="rId22"/><Relationship Type="http://schemas.openxmlformats.org/officeDocument/2006/relationships/hyperlink" Target="https://secure.freee.co.jp/reports/journals?deal_id=3011555962&amp;company_id=10794380" TargetMode="External" Id="rId23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10078183&amp;company_id=10794380" TargetMode="External" Id="rId24"/><Relationship Type="http://schemas.openxmlformats.org/officeDocument/2006/relationships/hyperlink" Target="https://secure.freee.co.jp/reports/journals?deal_id=3011555962&amp;company_id=10794380" TargetMode="External" Id="rId25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10078183&amp;company_id=10794380" TargetMode="External" Id="rId26"/><Relationship Type="http://schemas.openxmlformats.org/officeDocument/2006/relationships/hyperlink" Target="https://secure.freee.co.jp/reports/journals?deal_id=3011556131&amp;company_id=10794380" TargetMode="External" Id="rId27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10078183&amp;company_id=10794380" TargetMode="External" Id="rId28"/><Relationship Type="http://schemas.openxmlformats.org/officeDocument/2006/relationships/hyperlink" Target="https://secure.freee.co.jp/reports/journals?deal_id=3011556131&amp;company_id=10794380" TargetMode="External" Id="rId29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10078183&amp;company_id=10794380" TargetMode="External" Id="rId30"/><Relationship Type="http://schemas.openxmlformats.org/officeDocument/2006/relationships/hyperlink" Target="https://secure.freee.co.jp/reports/journals?deal_id=3011556131&amp;company_id=10794380" TargetMode="External" Id="rId31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10078183&amp;company_id=10794380" TargetMode="External" Id="rId32"/><Relationship Type="http://schemas.openxmlformats.org/officeDocument/2006/relationships/hyperlink" Target="https://secure.freee.co.jp/reports/journals?deal_id=3011556131&amp;company_id=10794380" TargetMode="External" Id="rId33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10078183&amp;company_id=10794380" TargetMode="External" Id="rId34"/><Relationship Type="http://schemas.openxmlformats.org/officeDocument/2006/relationships/hyperlink" Target="https://secure.freee.co.jp/reports/journals?deal_id=3046819974&amp;company_id=10794380" TargetMode="External" Id="rId35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10078183&amp;company_id=10794380" TargetMode="External" Id="rId36"/><Relationship Type="http://schemas.openxmlformats.org/officeDocument/2006/relationships/hyperlink" Target="https://secure.freee.co.jp/reports/journals?deal_id=3046819974&amp;company_id=10794380" TargetMode="External" Id="rId37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10078183&amp;company_id=10794380" TargetMode="External" Id="rId38"/><Relationship Type="http://schemas.openxmlformats.org/officeDocument/2006/relationships/hyperlink" Target="https://secure.freee.co.jp/reports/journals?deal_id=3046819974&amp;company_id=10794380" TargetMode="External" Id="rId39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10078183&amp;company_id=10794380" TargetMode="External" Id="rId40"/><Relationship Type="http://schemas.openxmlformats.org/officeDocument/2006/relationships/hyperlink" Target="https://secure.freee.co.jp/reports/journals?deal_id=3046819974&amp;company_id=10794380" TargetMode="External" Id="rId41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10078183&amp;company_id=10794380" TargetMode="External" Id="rId42"/><Relationship Type="http://schemas.openxmlformats.org/officeDocument/2006/relationships/hyperlink" Target="https://secure.freee.co.jp/reports/journals?deal_id=3099832946&amp;company_id=10794380" TargetMode="External" Id="rId43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10078183&amp;company_id=10794380" TargetMode="External" Id="rId44"/><Relationship Type="http://schemas.openxmlformats.org/officeDocument/2006/relationships/hyperlink" Target="https://secure.freee.co.jp/reports/journals?deal_id=3099832946&amp;company_id=10794380" TargetMode="External" Id="rId45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10078183&amp;company_id=10794380" TargetMode="External" Id="rId46"/><Relationship Type="http://schemas.openxmlformats.org/officeDocument/2006/relationships/hyperlink" Target="https://secure.freee.co.jp/reports/journals?deal_id=3099832946&amp;company_id=10794380" TargetMode="External" Id="rId47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10078183&amp;company_id=10794380" TargetMode="External" Id="rId48"/><Relationship Type="http://schemas.openxmlformats.org/officeDocument/2006/relationships/hyperlink" Target="https://secure.freee.co.jp/reports/journals?deal_id=3099832946&amp;company_id=10794380" TargetMode="External" Id="rId49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10078183&amp;company_id=10794380" TargetMode="External" Id="rId50"/><Relationship Type="http://schemas.openxmlformats.org/officeDocument/2006/relationships/hyperlink" Target="https://secure.freee.co.jp/reports/journals?deal_id=3151950654&amp;company_id=10794380" TargetMode="External" Id="rId51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10078183&amp;company_id=10794380" TargetMode="External" Id="rId52"/><Relationship Type="http://schemas.openxmlformats.org/officeDocument/2006/relationships/hyperlink" Target="https://secure.freee.co.jp/reports/journals?deal_id=3151950654&amp;company_id=10794380" TargetMode="External" Id="rId53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10078183&amp;company_id=10794380" TargetMode="External" Id="rId54"/><Relationship Type="http://schemas.openxmlformats.org/officeDocument/2006/relationships/hyperlink" Target="https://secure.freee.co.jp/reports/journals?deal_id=3151950654&amp;company_id=10794380" TargetMode="External" Id="rId55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10078183&amp;company_id=10794380" TargetMode="External" Id="rId56"/><Relationship Type="http://schemas.openxmlformats.org/officeDocument/2006/relationships/hyperlink" Target="https://secure.freee.co.jp/reports/journals?deal_id=3151950654&amp;company_id=10794380" TargetMode="External" Id="rId57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10078183&amp;company_id=10794380" TargetMode="External" Id="rId58"/><Relationship Type="http://schemas.openxmlformats.org/officeDocument/2006/relationships/hyperlink" Target="https://secure.freee.co.jp/reports/journals?deal_id=3448436359&amp;company_id=10794380" TargetMode="External" Id="rId59"/></Relationships>
</file>

<file path=xl/worksheets/_rels/sheet3.xml.rels><Relationships xmlns="http://schemas.openxmlformats.org/package/2006/relationships"><Relationship Type="http://schemas.openxmlformats.org/officeDocument/2006/relationships/hyperlink" Target="https://secure.freee.co.jp/reports/general_ledgers/show?name=%E5%A3%B2%E4%B8%8A%E9%AB%98&amp;start_date=2025-06-01&amp;end_date=2026-05-31&amp;fiscal_year_id=10078183&amp;company_id=10794380&amp;tax_group_codes=2" TargetMode="External" Id="rId1"/><Relationship Type="http://schemas.openxmlformats.org/officeDocument/2006/relationships/hyperlink" Target="https://secure.freee.co.jp/reports/general_ledgers/show?name=%E5%A3%B2%E4%B8%8A%E9%AB%98&amp;start_date=2025-08-01&amp;end_date=2025-08-31&amp;fiscal_year_id=10078183&amp;company_id=10794380" TargetMode="External" Id="rId2"/><Relationship Type="http://schemas.openxmlformats.org/officeDocument/2006/relationships/hyperlink" Target="https://secure.freee.co.jp/reports/journals?deal_id=3096341680&amp;company_id=10794380" TargetMode="External" Id="rId3"/><Relationship Type="http://schemas.openxmlformats.org/officeDocument/2006/relationships/hyperlink" Target="https://secure.freee.co.jp/reports/general_ledgers/show?name=%E5%A3%B2%E4%B8%8A%E9%AB%98&amp;start_date=2025-09-01&amp;end_date=2025-09-30&amp;fiscal_year_id=10078183&amp;company_id=10794380" TargetMode="External" Id="rId4"/><Relationship Type="http://schemas.openxmlformats.org/officeDocument/2006/relationships/hyperlink" Target="https://secure.freee.co.jp/reports/journals?deal_id=3035010297&amp;company_id=10794380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secure.freee.co.jp/reports/general_ledgers/show?name=%E6%94%AF%E6%89%95%E5%88%A9%E6%81%AF&amp;start_date=2025-06-01&amp;end_date=2026-05-31&amp;fiscal_year_id=10078183&amp;company_id=10794380&amp;tax_group_codes=2" TargetMode="External" Id="rId1"/><Relationship Type="http://schemas.openxmlformats.org/officeDocument/2006/relationships/hyperlink" Target="https://secure.freee.co.jp/reports/general_ledgers/show?name=%E6%94%AF%E6%89%95%E5%88%A9%E6%81%AF&amp;start_date=2025-06-01&amp;end_date=2025-06-30&amp;fiscal_year_id=10078183&amp;company_id=10794380" TargetMode="External" Id="rId2"/><Relationship Type="http://schemas.openxmlformats.org/officeDocument/2006/relationships/hyperlink" Target="https://secure.freee.co.jp/reports/journals?deal_id=3050926317&amp;company_id=10794380" TargetMode="External" Id="rId3"/><Relationship Type="http://schemas.openxmlformats.org/officeDocument/2006/relationships/hyperlink" Target="https://secure.freee.co.jp/reports/general_ledgers/show?name=%E6%94%AF%E6%89%95%E5%88%A9%E6%81%AF&amp;start_date=2025-07-01&amp;end_date=2025-07-31&amp;fiscal_year_id=10078183&amp;company_id=10794380" TargetMode="External" Id="rId4"/><Relationship Type="http://schemas.openxmlformats.org/officeDocument/2006/relationships/hyperlink" Target="https://secure.freee.co.jp/reports/journals?deal_id=3050927302&amp;company_id=10794380" TargetMode="External" Id="rId5"/><Relationship Type="http://schemas.openxmlformats.org/officeDocument/2006/relationships/hyperlink" Target="https://secure.freee.co.jp/reports/general_ledgers/show?name=%E6%94%AF%E6%89%95%E5%88%A9%E6%81%AF&amp;start_date=2025-09-01&amp;end_date=2025-09-30&amp;fiscal_year_id=10078183&amp;company_id=10794380" TargetMode="External" Id="rId6"/><Relationship Type="http://schemas.openxmlformats.org/officeDocument/2006/relationships/hyperlink" Target="https://secure.freee.co.jp/reports/journals?deal_id=3005018835&amp;company_id=10794380" TargetMode="External" Id="rId7"/><Relationship Type="http://schemas.openxmlformats.org/officeDocument/2006/relationships/hyperlink" Target="https://secure.freee.co.jp/reports/general_ledgers/show?name=%E6%94%AF%E6%89%95%E5%88%A9%E6%81%AF&amp;start_date=2025-09-01&amp;end_date=2025-09-30&amp;fiscal_year_id=10078183&amp;company_id=10794380" TargetMode="External" Id="rId8"/><Relationship Type="http://schemas.openxmlformats.org/officeDocument/2006/relationships/hyperlink" Target="https://secure.freee.co.jp/reports/journals?deal_id=3005045305&amp;company_id=10794380" TargetMode="External" Id="rId9"/><Relationship Type="http://schemas.openxmlformats.org/officeDocument/2006/relationships/hyperlink" Target="https://secure.freee.co.jp/reports/general_ledgers/show?name=%E6%94%AF%E6%89%95%E5%88%A9%E6%81%AF&amp;start_date=2025-10-01&amp;end_date=2025-10-31&amp;fiscal_year_id=10078183&amp;company_id=10794380" TargetMode="External" Id="rId10"/><Relationship Type="http://schemas.openxmlformats.org/officeDocument/2006/relationships/hyperlink" Target="https://secure.freee.co.jp/reports/journals?deal_id=3440021950&amp;company_id=10794380" TargetMode="External" Id="rId11"/><Relationship Type="http://schemas.openxmlformats.org/officeDocument/2006/relationships/hyperlink" Target="https://secure.freee.co.jp/reports/general_ledgers/show?name=%E6%94%AF%E6%89%95%E5%88%A9%E6%81%AF&amp;start_date=2025-12-01&amp;end_date=2025-12-31&amp;fiscal_year_id=10078183&amp;company_id=10794380" TargetMode="External" Id="rId12"/><Relationship Type="http://schemas.openxmlformats.org/officeDocument/2006/relationships/hyperlink" Target="https://secure.freee.co.jp/reports/journals?deal_id=3440022411&amp;company_id=10794380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min="1" max="1"/>
    <col width="10.625" customWidth="1" min="2" max="11"/>
    <col width="14" customWidth="1" min="12" max="12"/>
    <col width="33" bestFit="1" customWidth="1" min="13" max="13"/>
  </cols>
  <sheetData>
    <row r="1" ht="21" customHeight="1">
      <c r="A1" s="7" t="inlineStr">
        <is>
          <t>株式会社デイリーユニフォーム 消費税区分チェックレポート</t>
        </is>
      </c>
    </row>
    <row r="2" ht="15" customHeight="1">
      <c r="L2" s="8" t="inlineStr">
        <is>
          <t>【判定凡例】</t>
        </is>
      </c>
    </row>
    <row r="3" ht="15" customHeight="1">
      <c r="A3" s="1" t="inlineStr">
        <is>
          <t>対象会社</t>
        </is>
      </c>
      <c r="B3" s="1" t="inlineStr">
        <is>
          <t>株式会社デイリーユニフォーム</t>
        </is>
      </c>
      <c r="L3" s="16" t="inlineStr">
        <is>
          <t>重大</t>
        </is>
      </c>
      <c r="M3" s="9" t="inlineStr">
        <is>
          <t>消費税区分の誤りの可能性が高い</t>
        </is>
      </c>
    </row>
    <row r="4" ht="15" customHeight="1">
      <c r="A4" s="1" t="inlineStr">
        <is>
          <t>対象月</t>
        </is>
      </c>
      <c r="B4" s="33" t="inlineStr">
        <is>
          <t>2025年6月〜2025年12月</t>
        </is>
      </c>
      <c r="L4" s="17" t="inlineStr">
        <is>
          <t>要注意</t>
        </is>
      </c>
      <c r="M4" s="9" t="inlineStr">
        <is>
          <t>取引内容等により判断が必要</t>
        </is>
      </c>
    </row>
    <row r="5" ht="15" customHeight="1">
      <c r="A5" s="1" t="inlineStr">
        <is>
          <t>チェック実行日</t>
        </is>
      </c>
      <c r="B5" s="1" t="inlineStr">
        <is>
          <t>2026/05/03</t>
        </is>
      </c>
      <c r="L5" s="18" t="inlineStr">
        <is>
          <t>要確認</t>
        </is>
      </c>
      <c r="M5" s="9" t="inlineStr">
        <is>
          <t>影響度少ない / 整合性の観点</t>
        </is>
      </c>
    </row>
    <row r="7" ht="18" customHeight="1">
      <c r="A7" s="2" t="inlineStr">
        <is>
          <t>指摘サマリー（チェック項目別）</t>
        </is>
      </c>
    </row>
    <row r="8">
      <c r="D8" s="13" t="n"/>
      <c r="E8" s="13" t="n"/>
      <c r="F8" s="13" t="n"/>
    </row>
    <row r="9" ht="14.25" customHeight="1">
      <c r="A9" s="10" t="inlineStr">
        <is>
          <t>項目</t>
        </is>
      </c>
      <c r="B9" s="10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0" t="inlineStr">
        <is>
          <t>合計</t>
        </is>
      </c>
    </row>
    <row r="10" ht="14.25" customHeight="1">
      <c r="A10" s="11" t="inlineStr">
        <is>
          <t>TC-01</t>
        </is>
      </c>
      <c r="B10" s="11" t="inlineStr">
        <is>
          <t>売上の税区分</t>
        </is>
      </c>
      <c r="C10" s="42" t="n"/>
      <c r="D10" s="11" t="n">
        <v>2</v>
      </c>
      <c r="E10" s="11" t="n">
        <v>0</v>
      </c>
      <c r="F10" s="11" t="n">
        <v>0</v>
      </c>
      <c r="G10" s="11" t="n">
        <v>2</v>
      </c>
    </row>
    <row r="11" ht="14.25" customHeight="1">
      <c r="A11" s="11" t="inlineStr">
        <is>
          <t>TC-02</t>
        </is>
      </c>
      <c r="B11" s="11" t="inlineStr">
        <is>
          <t>土地/住宅の非課税</t>
        </is>
      </c>
      <c r="C11" s="42" t="n"/>
      <c r="D11" s="11" t="n">
        <v>0</v>
      </c>
      <c r="E11" s="11" t="n">
        <v>0</v>
      </c>
      <c r="F11" s="11" t="n">
        <v>0</v>
      </c>
      <c r="G11" s="11" t="n">
        <v>0</v>
      </c>
    </row>
    <row r="12" ht="14.25" customHeight="1">
      <c r="A12" s="11" t="inlineStr">
        <is>
          <t>TC-03</t>
        </is>
      </c>
      <c r="B12" s="11" t="inlineStr">
        <is>
          <t>給与/人件費</t>
        </is>
      </c>
      <c r="C12" s="42" t="n"/>
      <c r="D12" s="11" t="n">
        <v>0</v>
      </c>
      <c r="E12" s="11" t="n">
        <v>0</v>
      </c>
      <c r="F12" s="11" t="n">
        <v>29</v>
      </c>
      <c r="G12" s="11" t="n">
        <v>29</v>
      </c>
    </row>
    <row r="13" ht="14.25" customHeight="1">
      <c r="A13" s="11" t="inlineStr">
        <is>
          <t>TC-04</t>
        </is>
      </c>
      <c r="B13" s="11" t="inlineStr">
        <is>
          <t>非課税/対象外の収益</t>
        </is>
      </c>
      <c r="C13" s="42" t="n"/>
      <c r="D13" s="11" t="n">
        <v>0</v>
      </c>
      <c r="E13" s="11" t="n">
        <v>0</v>
      </c>
      <c r="F13" s="11" t="n">
        <v>0</v>
      </c>
      <c r="G13" s="11" t="n">
        <v>0</v>
      </c>
    </row>
    <row r="14" ht="14.25" customHeight="1">
      <c r="A14" s="11" t="inlineStr">
        <is>
          <t>TC-05</t>
        </is>
      </c>
      <c r="B14" s="11" t="inlineStr">
        <is>
          <t>非課税/対象外の費用</t>
        </is>
      </c>
      <c r="C14" s="42" t="n"/>
      <c r="D14" s="11" t="n">
        <v>0</v>
      </c>
      <c r="E14" s="11" t="n">
        <v>0</v>
      </c>
      <c r="F14" s="11" t="n">
        <v>6</v>
      </c>
      <c r="G14" s="11" t="n">
        <v>6</v>
      </c>
    </row>
    <row r="15" ht="14.25" customHeight="1">
      <c r="A15" s="11" t="inlineStr">
        <is>
          <t>TC-06</t>
        </is>
      </c>
      <c r="B15" s="11" t="inlineStr">
        <is>
          <t>税金/租税公課</t>
        </is>
      </c>
      <c r="C15" s="42" t="n"/>
      <c r="D15" s="11" t="n">
        <v>0</v>
      </c>
      <c r="E15" s="11" t="n">
        <v>0</v>
      </c>
      <c r="F15" s="11" t="n">
        <v>0</v>
      </c>
      <c r="G15" s="11" t="n">
        <v>0</v>
      </c>
    </row>
    <row r="16" ht="14.25" customHeight="1">
      <c r="A16" s="11" t="inlineStr">
        <is>
          <t>TC-07</t>
        </is>
      </c>
      <c r="B16" s="11" t="inlineStr">
        <is>
          <t>福利厚生</t>
        </is>
      </c>
      <c r="C16" s="42" t="n"/>
      <c r="D16" s="11" t="n">
        <v>0</v>
      </c>
      <c r="E16" s="11" t="n">
        <v>0</v>
      </c>
      <c r="F16" s="11" t="n">
        <v>0</v>
      </c>
      <c r="G16" s="11" t="n">
        <v>0</v>
      </c>
    </row>
    <row r="17" ht="14.25" customHeight="1">
      <c r="A17" s="12" t="inlineStr">
        <is>
          <t>合計</t>
        </is>
      </c>
      <c r="B17" s="12" t="n"/>
      <c r="C17" s="42" t="n"/>
      <c r="D17" s="12" t="n">
        <v>2</v>
      </c>
      <c r="E17" s="12" t="n">
        <v>0</v>
      </c>
      <c r="F17" s="12" t="n">
        <v>35</v>
      </c>
      <c r="G17" s="12" t="n">
        <v>37</v>
      </c>
    </row>
    <row r="20" ht="14.25" customHeight="1">
      <c r="A20" s="6" t="inlineStr">
        <is>
          <t>エリア</t>
        </is>
      </c>
      <c r="B20" s="6" t="inlineStr">
        <is>
          <t>エリア名</t>
        </is>
      </c>
      <c r="C20" s="42" t="n"/>
      <c r="D20" s="10" t="inlineStr">
        <is>
          <t>項目</t>
        </is>
      </c>
      <c r="E20" s="10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>
      <c r="A21" s="11" t="inlineStr">
        <is>
          <t>A5</t>
        </is>
      </c>
      <c r="B21" s="11" t="inlineStr">
        <is>
          <t>人件費</t>
        </is>
      </c>
      <c r="C21" s="42" t="n"/>
      <c r="D21" s="11" t="inlineStr">
        <is>
          <t>TC-03</t>
        </is>
      </c>
      <c r="E21" s="11" t="inlineStr">
        <is>
          <t>給与/人件費</t>
        </is>
      </c>
      <c r="F21" s="42" t="n"/>
      <c r="G21" s="14" t="n">
        <v>1</v>
      </c>
      <c r="H21" s="14" t="n">
        <v>0</v>
      </c>
      <c r="I21" s="14" t="n">
        <v>0</v>
      </c>
      <c r="J21" s="14" t="n">
        <v>29</v>
      </c>
      <c r="K21" s="14" t="n">
        <v>29</v>
      </c>
      <c r="L21" s="11" t="inlineStr">
        <is>
          <t>-</t>
        </is>
      </c>
      <c r="M21" s="15" t="inlineStr"/>
    </row>
    <row r="22" ht="14.25" customHeight="1">
      <c r="A22" s="11" t="inlineStr">
        <is>
          <t>A8</t>
        </is>
      </c>
      <c r="B22" s="11" t="inlineStr">
        <is>
          <t>売上</t>
        </is>
      </c>
      <c r="C22" s="42" t="n"/>
      <c r="D22" s="11" t="inlineStr">
        <is>
          <t>TC-01</t>
        </is>
      </c>
      <c r="E22" s="11" t="inlineStr">
        <is>
          <t>売上の税区分</t>
        </is>
      </c>
      <c r="F22" s="42" t="n"/>
      <c r="G22" s="14" t="n">
        <v>1</v>
      </c>
      <c r="H22" s="14" t="n">
        <v>2</v>
      </c>
      <c r="I22" s="14" t="n">
        <v>0</v>
      </c>
      <c r="J22" s="14" t="n">
        <v>0</v>
      </c>
      <c r="K22" s="14" t="n">
        <v>2</v>
      </c>
      <c r="L22" s="11" t="inlineStr">
        <is>
          <t>-</t>
        </is>
      </c>
      <c r="M22" s="15" t="inlineStr"/>
    </row>
    <row r="23" ht="14.25" customHeight="1">
      <c r="A23" s="11" t="inlineStr">
        <is>
          <t>A11</t>
        </is>
      </c>
      <c r="B23" s="11" t="inlineStr">
        <is>
          <t>営業外・特別損益</t>
        </is>
      </c>
      <c r="C23" s="42" t="n"/>
      <c r="D23" s="11" t="inlineStr">
        <is>
          <t>TC-05</t>
        </is>
      </c>
      <c r="E23" s="11" t="inlineStr">
        <is>
          <t>非課税/対象外の費用</t>
        </is>
      </c>
      <c r="F23" s="42" t="n"/>
      <c r="G23" s="14" t="n">
        <v>1</v>
      </c>
      <c r="H23" s="14" t="n">
        <v>0</v>
      </c>
      <c r="I23" s="14" t="n">
        <v>0</v>
      </c>
      <c r="J23" s="14" t="n">
        <v>6</v>
      </c>
      <c r="K23" s="14" t="n">
        <v>6</v>
      </c>
      <c r="L23" s="11" t="inlineStr">
        <is>
          <t>-</t>
        </is>
      </c>
      <c r="M23" s="15" t="inlineStr"/>
    </row>
    <row r="24" ht="14.25" customHeight="1"/>
    <row r="25" ht="14.25" customHeight="1"/>
    <row r="26" ht="14.25" customHeight="1"/>
    <row r="27" ht="14.25" customHeight="1"/>
  </sheetData>
  <mergeCells count="25">
    <mergeCell ref="B16:C16"/>
    <mergeCell ref="B25:C25"/>
    <mergeCell ref="E24:F24"/>
    <mergeCell ref="B22:C22"/>
    <mergeCell ref="E23:F23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A5 人件費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TC-03c</t>
        </is>
      </c>
      <c r="C4" s="44" t="inlineStr">
        <is>
          <t>法定福利費 — 29 件・合計 ¥1,500,496（対象外→非課仕入）</t>
        </is>
      </c>
      <c r="D4" s="44" t="inlineStr">
        <is>
          <t>給与/人件費の税区分誤り</t>
        </is>
      </c>
      <c r="E4" s="44" t="inlineStr">
        <is>
          <t>29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1500496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2025/06/01</t>
        </is>
      </c>
      <c r="I5" s="49" t="inlineStr">
        <is>
          <t>法定福利費</t>
        </is>
      </c>
      <c r="J5" s="49" t="inlineStr">
        <is>
          <t>年金事務所</t>
        </is>
      </c>
      <c r="K5" s="49" t="inlineStr">
        <is>
          <t>健康保険料（事業主負担分）</t>
        </is>
      </c>
      <c r="L5" s="51" t="inlineStr"/>
      <c r="M5" s="51" t="inlineStr"/>
      <c r="N5" s="51" t="inlineStr">
        <is>
          <t>健康保険料（事業主負担分）</t>
        </is>
      </c>
      <c r="O5" s="53" t="n">
        <v>78288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8195952968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2025/06/01</t>
        </is>
      </c>
      <c r="I6" s="49" t="inlineStr">
        <is>
          <t>法定福利費</t>
        </is>
      </c>
      <c r="J6" s="49" t="inlineStr">
        <is>
          <t>年金事務所</t>
        </is>
      </c>
      <c r="K6" s="49" t="inlineStr">
        <is>
          <t>介護保険料（事業主負担分）</t>
        </is>
      </c>
      <c r="L6" s="51" t="inlineStr"/>
      <c r="M6" s="51" t="inlineStr"/>
      <c r="N6" s="51" t="inlineStr">
        <is>
          <t>介護保険料（事業主負担分）</t>
        </is>
      </c>
      <c r="O6" s="53" t="n">
        <v>12562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8195952969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対象外</t>
        </is>
      </c>
      <c r="G7" s="49" t="inlineStr">
        <is>
          <t>非課仕入</t>
        </is>
      </c>
      <c r="H7" s="49" t="inlineStr">
        <is>
          <t>2025/06/01</t>
        </is>
      </c>
      <c r="I7" s="49" t="inlineStr">
        <is>
          <t>法定福利費</t>
        </is>
      </c>
      <c r="J7" s="49" t="inlineStr">
        <is>
          <t>年金事務所</t>
        </is>
      </c>
      <c r="K7" s="49" t="inlineStr">
        <is>
          <t>厚生年金保険料（事業主負担分）</t>
        </is>
      </c>
      <c r="L7" s="51" t="inlineStr"/>
      <c r="M7" s="51" t="inlineStr"/>
      <c r="N7" s="51" t="inlineStr">
        <is>
          <t>厚生年金保険料（事業主負担分）</t>
        </is>
      </c>
      <c r="O7" s="53" t="n">
        <v>118950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60</v>
      </c>
      <c r="T7" s="49" t="inlineStr">
        <is>
          <t>mild_warning</t>
        </is>
      </c>
      <c r="U7" s="51" t="inlineStr"/>
      <c r="V7" s="51" t="inlineStr"/>
      <c r="W7" s="51" t="inlineStr">
        <is>
          <t>8195952970</t>
        </is>
      </c>
    </row>
    <row r="8">
      <c r="A8" s="49" t="inlineStr"/>
      <c r="B8" s="49" t="inlineStr"/>
      <c r="C8" s="50" t="inlineStr"/>
      <c r="D8" s="51" t="inlineStr"/>
      <c r="E8" s="52" t="inlineStr">
        <is>
          <t>同上</t>
        </is>
      </c>
      <c r="F8" s="49" t="inlineStr">
        <is>
          <t>対象外</t>
        </is>
      </c>
      <c r="G8" s="49" t="inlineStr">
        <is>
          <t>非課仕入</t>
        </is>
      </c>
      <c r="H8" s="49" t="inlineStr">
        <is>
          <t>2025/06/01</t>
        </is>
      </c>
      <c r="I8" s="49" t="inlineStr">
        <is>
          <t>法定福利費</t>
        </is>
      </c>
      <c r="J8" s="49" t="inlineStr">
        <is>
          <t>年金事務所</t>
        </is>
      </c>
      <c r="K8" s="49" t="inlineStr"/>
      <c r="L8" s="51" t="inlineStr"/>
      <c r="M8" s="51" t="inlineStr"/>
      <c r="N8" s="51" t="inlineStr">
        <is>
          <t>子ども・子育て拠出金</t>
        </is>
      </c>
      <c r="O8" s="53" t="n">
        <v>4680</v>
      </c>
      <c r="P8" s="54" t="inlineStr"/>
      <c r="Q8" s="55" t="inlineStr">
        <is>
          <t>🔗</t>
        </is>
      </c>
      <c r="R8" s="55" t="inlineStr">
        <is>
          <t>🔗</t>
        </is>
      </c>
      <c r="S8" s="49" t="n">
        <v>60</v>
      </c>
      <c r="T8" s="49" t="inlineStr">
        <is>
          <t>mild_warning</t>
        </is>
      </c>
      <c r="U8" s="51" t="inlineStr"/>
      <c r="V8" s="51" t="inlineStr"/>
      <c r="W8" s="51" t="inlineStr">
        <is>
          <t>8195952971</t>
        </is>
      </c>
    </row>
    <row r="9">
      <c r="A9" s="49" t="inlineStr"/>
      <c r="B9" s="49" t="inlineStr"/>
      <c r="C9" s="50" t="inlineStr"/>
      <c r="D9" s="51" t="inlineStr"/>
      <c r="E9" s="52" t="inlineStr">
        <is>
          <t>同上</t>
        </is>
      </c>
      <c r="F9" s="49" t="inlineStr">
        <is>
          <t>対象外</t>
        </is>
      </c>
      <c r="G9" s="49" t="inlineStr">
        <is>
          <t>非課仕入</t>
        </is>
      </c>
      <c r="H9" s="49" t="inlineStr">
        <is>
          <t>2025/07/01</t>
        </is>
      </c>
      <c r="I9" s="49" t="inlineStr">
        <is>
          <t>法定福利費</t>
        </is>
      </c>
      <c r="J9" s="49" t="inlineStr">
        <is>
          <t>年金事務所</t>
        </is>
      </c>
      <c r="K9" s="49" t="inlineStr">
        <is>
          <t>健康保険料（事業主負担分）</t>
        </is>
      </c>
      <c r="L9" s="51" t="inlineStr"/>
      <c r="M9" s="51" t="inlineStr"/>
      <c r="N9" s="51" t="inlineStr">
        <is>
          <t>健康保険料（事業主負担分）</t>
        </is>
      </c>
      <c r="O9" s="53" t="n">
        <v>78288</v>
      </c>
      <c r="P9" s="54" t="inlineStr"/>
      <c r="Q9" s="55" t="inlineStr">
        <is>
          <t>🔗</t>
        </is>
      </c>
      <c r="R9" s="55" t="inlineStr">
        <is>
          <t>🔗</t>
        </is>
      </c>
      <c r="S9" s="49" t="n">
        <v>60</v>
      </c>
      <c r="T9" s="49" t="inlineStr">
        <is>
          <t>mild_warning</t>
        </is>
      </c>
      <c r="U9" s="51" t="inlineStr"/>
      <c r="V9" s="51" t="inlineStr"/>
      <c r="W9" s="51" t="inlineStr">
        <is>
          <t>8195953284</t>
        </is>
      </c>
    </row>
    <row r="10">
      <c r="A10" s="49" t="inlineStr"/>
      <c r="B10" s="49" t="inlineStr"/>
      <c r="C10" s="50" t="inlineStr"/>
      <c r="D10" s="51" t="inlineStr"/>
      <c r="E10" s="52" t="inlineStr">
        <is>
          <t>同上</t>
        </is>
      </c>
      <c r="F10" s="49" t="inlineStr">
        <is>
          <t>対象外</t>
        </is>
      </c>
      <c r="G10" s="49" t="inlineStr">
        <is>
          <t>非課仕入</t>
        </is>
      </c>
      <c r="H10" s="49" t="inlineStr">
        <is>
          <t>2025/07/01</t>
        </is>
      </c>
      <c r="I10" s="49" t="inlineStr">
        <is>
          <t>法定福利費</t>
        </is>
      </c>
      <c r="J10" s="49" t="inlineStr">
        <is>
          <t>年金事務所</t>
        </is>
      </c>
      <c r="K10" s="49" t="inlineStr">
        <is>
          <t>介護保険料（事業主負担分）</t>
        </is>
      </c>
      <c r="L10" s="51" t="inlineStr"/>
      <c r="M10" s="51" t="inlineStr"/>
      <c r="N10" s="51" t="inlineStr">
        <is>
          <t>介護保険料（事業主負担分）</t>
        </is>
      </c>
      <c r="O10" s="53" t="n">
        <v>12562</v>
      </c>
      <c r="P10" s="54" t="inlineStr"/>
      <c r="Q10" s="55" t="inlineStr">
        <is>
          <t>🔗</t>
        </is>
      </c>
      <c r="R10" s="55" t="inlineStr">
        <is>
          <t>🔗</t>
        </is>
      </c>
      <c r="S10" s="49" t="n">
        <v>60</v>
      </c>
      <c r="T10" s="49" t="inlineStr">
        <is>
          <t>mild_warning</t>
        </is>
      </c>
      <c r="U10" s="51" t="inlineStr"/>
      <c r="V10" s="51" t="inlineStr"/>
      <c r="W10" s="51" t="inlineStr">
        <is>
          <t>8195953285</t>
        </is>
      </c>
    </row>
    <row r="11">
      <c r="A11" s="49" t="inlineStr"/>
      <c r="B11" s="49" t="inlineStr"/>
      <c r="C11" s="50" t="inlineStr"/>
      <c r="D11" s="51" t="inlineStr"/>
      <c r="E11" s="52" t="inlineStr">
        <is>
          <t>同上</t>
        </is>
      </c>
      <c r="F11" s="49" t="inlineStr">
        <is>
          <t>対象外</t>
        </is>
      </c>
      <c r="G11" s="49" t="inlineStr">
        <is>
          <t>非課仕入</t>
        </is>
      </c>
      <c r="H11" s="49" t="inlineStr">
        <is>
          <t>2025/07/01</t>
        </is>
      </c>
      <c r="I11" s="49" t="inlineStr">
        <is>
          <t>法定福利費</t>
        </is>
      </c>
      <c r="J11" s="49" t="inlineStr">
        <is>
          <t>年金事務所</t>
        </is>
      </c>
      <c r="K11" s="49" t="inlineStr">
        <is>
          <t>厚生年金保険料（事業主負担分）</t>
        </is>
      </c>
      <c r="L11" s="51" t="inlineStr"/>
      <c r="M11" s="51" t="inlineStr"/>
      <c r="N11" s="51" t="inlineStr">
        <is>
          <t>厚生年金保険料（事業主負担分）</t>
        </is>
      </c>
      <c r="O11" s="53" t="n">
        <v>118950</v>
      </c>
      <c r="P11" s="54" t="inlineStr"/>
      <c r="Q11" s="55" t="inlineStr">
        <is>
          <t>🔗</t>
        </is>
      </c>
      <c r="R11" s="55" t="inlineStr">
        <is>
          <t>🔗</t>
        </is>
      </c>
      <c r="S11" s="49" t="n">
        <v>60</v>
      </c>
      <c r="T11" s="49" t="inlineStr">
        <is>
          <t>mild_warning</t>
        </is>
      </c>
      <c r="U11" s="51" t="inlineStr"/>
      <c r="V11" s="51" t="inlineStr"/>
      <c r="W11" s="51" t="inlineStr">
        <is>
          <t>8195953286</t>
        </is>
      </c>
    </row>
    <row r="12">
      <c r="A12" s="49" t="inlineStr"/>
      <c r="B12" s="49" t="inlineStr"/>
      <c r="C12" s="50" t="inlineStr"/>
      <c r="D12" s="51" t="inlineStr"/>
      <c r="E12" s="52" t="inlineStr">
        <is>
          <t>同上</t>
        </is>
      </c>
      <c r="F12" s="49" t="inlineStr">
        <is>
          <t>対象外</t>
        </is>
      </c>
      <c r="G12" s="49" t="inlineStr">
        <is>
          <t>非課仕入</t>
        </is>
      </c>
      <c r="H12" s="49" t="inlineStr">
        <is>
          <t>2025/07/01</t>
        </is>
      </c>
      <c r="I12" s="49" t="inlineStr">
        <is>
          <t>法定福利費</t>
        </is>
      </c>
      <c r="J12" s="49" t="inlineStr">
        <is>
          <t>年金事務所</t>
        </is>
      </c>
      <c r="K12" s="49" t="inlineStr"/>
      <c r="L12" s="51" t="inlineStr"/>
      <c r="M12" s="51" t="inlineStr"/>
      <c r="N12" s="51" t="inlineStr">
        <is>
          <t>子ども・子育て拠出金</t>
        </is>
      </c>
      <c r="O12" s="53" t="n">
        <v>4680</v>
      </c>
      <c r="P12" s="54" t="inlineStr"/>
      <c r="Q12" s="55" t="inlineStr">
        <is>
          <t>🔗</t>
        </is>
      </c>
      <c r="R12" s="55" t="inlineStr">
        <is>
          <t>🔗</t>
        </is>
      </c>
      <c r="S12" s="49" t="n">
        <v>60</v>
      </c>
      <c r="T12" s="49" t="inlineStr">
        <is>
          <t>mild_warning</t>
        </is>
      </c>
      <c r="U12" s="51" t="inlineStr"/>
      <c r="V12" s="51" t="inlineStr"/>
      <c r="W12" s="51" t="inlineStr">
        <is>
          <t>8195953287</t>
        </is>
      </c>
    </row>
    <row r="13">
      <c r="A13" s="49" t="inlineStr"/>
      <c r="B13" s="49" t="inlineStr"/>
      <c r="C13" s="50" t="inlineStr"/>
      <c r="D13" s="51" t="inlineStr"/>
      <c r="E13" s="52" t="inlineStr">
        <is>
          <t>同上</t>
        </is>
      </c>
      <c r="F13" s="49" t="inlineStr">
        <is>
          <t>対象外</t>
        </is>
      </c>
      <c r="G13" s="49" t="inlineStr">
        <is>
          <t>非課仕入</t>
        </is>
      </c>
      <c r="H13" s="49" t="inlineStr">
        <is>
          <t>2025/08/01</t>
        </is>
      </c>
      <c r="I13" s="49" t="inlineStr">
        <is>
          <t>法定福利費</t>
        </is>
      </c>
      <c r="J13" s="49" t="inlineStr">
        <is>
          <t>年金事務所</t>
        </is>
      </c>
      <c r="K13" s="49" t="inlineStr">
        <is>
          <t>健康保険料（事業主負担分）</t>
        </is>
      </c>
      <c r="L13" s="51" t="inlineStr"/>
      <c r="M13" s="51" t="inlineStr"/>
      <c r="N13" s="51" t="inlineStr">
        <is>
          <t>健康保険料（事業主負担分）</t>
        </is>
      </c>
      <c r="O13" s="53" t="n">
        <v>78288</v>
      </c>
      <c r="P13" s="54" t="inlineStr"/>
      <c r="Q13" s="55" t="inlineStr">
        <is>
          <t>🔗</t>
        </is>
      </c>
      <c r="R13" s="55" t="inlineStr">
        <is>
          <t>🔗</t>
        </is>
      </c>
      <c r="S13" s="49" t="n">
        <v>60</v>
      </c>
      <c r="T13" s="49" t="inlineStr">
        <is>
          <t>mild_warning</t>
        </is>
      </c>
      <c r="U13" s="51" t="inlineStr"/>
      <c r="V13" s="51" t="inlineStr"/>
      <c r="W13" s="51" t="inlineStr">
        <is>
          <t>8195953711</t>
        </is>
      </c>
    </row>
    <row r="14">
      <c r="A14" s="49" t="inlineStr"/>
      <c r="B14" s="49" t="inlineStr"/>
      <c r="C14" s="50" t="inlineStr"/>
      <c r="D14" s="51" t="inlineStr"/>
      <c r="E14" s="52" t="inlineStr">
        <is>
          <t>同上</t>
        </is>
      </c>
      <c r="F14" s="49" t="inlineStr">
        <is>
          <t>対象外</t>
        </is>
      </c>
      <c r="G14" s="49" t="inlineStr">
        <is>
          <t>非課仕入</t>
        </is>
      </c>
      <c r="H14" s="49" t="inlineStr">
        <is>
          <t>2025/08/01</t>
        </is>
      </c>
      <c r="I14" s="49" t="inlineStr">
        <is>
          <t>法定福利費</t>
        </is>
      </c>
      <c r="J14" s="49" t="inlineStr">
        <is>
          <t>年金事務所</t>
        </is>
      </c>
      <c r="K14" s="49" t="inlineStr">
        <is>
          <t>介護保険料（事業主負担分）</t>
        </is>
      </c>
      <c r="L14" s="51" t="inlineStr"/>
      <c r="M14" s="51" t="inlineStr"/>
      <c r="N14" s="51" t="inlineStr">
        <is>
          <t>介護保険料（事業主負担分）</t>
        </is>
      </c>
      <c r="O14" s="53" t="n">
        <v>12562</v>
      </c>
      <c r="P14" s="54" t="inlineStr"/>
      <c r="Q14" s="55" t="inlineStr">
        <is>
          <t>🔗</t>
        </is>
      </c>
      <c r="R14" s="55" t="inlineStr">
        <is>
          <t>🔗</t>
        </is>
      </c>
      <c r="S14" s="49" t="n">
        <v>60</v>
      </c>
      <c r="T14" s="49" t="inlineStr">
        <is>
          <t>mild_warning</t>
        </is>
      </c>
      <c r="U14" s="51" t="inlineStr"/>
      <c r="V14" s="51" t="inlineStr"/>
      <c r="W14" s="51" t="inlineStr">
        <is>
          <t>8195953712</t>
        </is>
      </c>
    </row>
    <row r="15">
      <c r="A15" s="49" t="inlineStr"/>
      <c r="B15" s="49" t="inlineStr"/>
      <c r="C15" s="50" t="inlineStr"/>
      <c r="D15" s="51" t="inlineStr"/>
      <c r="E15" s="52" t="inlineStr">
        <is>
          <t>同上</t>
        </is>
      </c>
      <c r="F15" s="49" t="inlineStr">
        <is>
          <t>対象外</t>
        </is>
      </c>
      <c r="G15" s="49" t="inlineStr">
        <is>
          <t>非課仕入</t>
        </is>
      </c>
      <c r="H15" s="49" t="inlineStr">
        <is>
          <t>2025/08/01</t>
        </is>
      </c>
      <c r="I15" s="49" t="inlineStr">
        <is>
          <t>法定福利費</t>
        </is>
      </c>
      <c r="J15" s="49" t="inlineStr">
        <is>
          <t>年金事務所</t>
        </is>
      </c>
      <c r="K15" s="49" t="inlineStr">
        <is>
          <t>厚生年金保険料（事業主負担分）</t>
        </is>
      </c>
      <c r="L15" s="51" t="inlineStr"/>
      <c r="M15" s="51" t="inlineStr"/>
      <c r="N15" s="51" t="inlineStr">
        <is>
          <t>厚生年金保険料（事業主負担分）</t>
        </is>
      </c>
      <c r="O15" s="53" t="n">
        <v>118950</v>
      </c>
      <c r="P15" s="54" t="inlineStr"/>
      <c r="Q15" s="55" t="inlineStr">
        <is>
          <t>🔗</t>
        </is>
      </c>
      <c r="R15" s="55" t="inlineStr">
        <is>
          <t>🔗</t>
        </is>
      </c>
      <c r="S15" s="49" t="n">
        <v>60</v>
      </c>
      <c r="T15" s="49" t="inlineStr">
        <is>
          <t>mild_warning</t>
        </is>
      </c>
      <c r="U15" s="51" t="inlineStr"/>
      <c r="V15" s="51" t="inlineStr"/>
      <c r="W15" s="51" t="inlineStr">
        <is>
          <t>8195953713</t>
        </is>
      </c>
    </row>
    <row r="16">
      <c r="A16" s="49" t="inlineStr"/>
      <c r="B16" s="49" t="inlineStr"/>
      <c r="C16" s="50" t="inlineStr"/>
      <c r="D16" s="51" t="inlineStr"/>
      <c r="E16" s="52" t="inlineStr">
        <is>
          <t>同上</t>
        </is>
      </c>
      <c r="F16" s="49" t="inlineStr">
        <is>
          <t>対象外</t>
        </is>
      </c>
      <c r="G16" s="49" t="inlineStr">
        <is>
          <t>非課仕入</t>
        </is>
      </c>
      <c r="H16" s="49" t="inlineStr">
        <is>
          <t>2025/08/01</t>
        </is>
      </c>
      <c r="I16" s="49" t="inlineStr">
        <is>
          <t>法定福利費</t>
        </is>
      </c>
      <c r="J16" s="49" t="inlineStr">
        <is>
          <t>年金事務所</t>
        </is>
      </c>
      <c r="K16" s="49" t="inlineStr"/>
      <c r="L16" s="51" t="inlineStr"/>
      <c r="M16" s="51" t="inlineStr"/>
      <c r="N16" s="51" t="inlineStr">
        <is>
          <t>子ども・子育て拠出金</t>
        </is>
      </c>
      <c r="O16" s="53" t="n">
        <v>4680</v>
      </c>
      <c r="P16" s="54" t="inlineStr"/>
      <c r="Q16" s="55" t="inlineStr">
        <is>
          <t>🔗</t>
        </is>
      </c>
      <c r="R16" s="55" t="inlineStr">
        <is>
          <t>🔗</t>
        </is>
      </c>
      <c r="S16" s="49" t="n">
        <v>60</v>
      </c>
      <c r="T16" s="49" t="inlineStr">
        <is>
          <t>mild_warning</t>
        </is>
      </c>
      <c r="U16" s="51" t="inlineStr"/>
      <c r="V16" s="51" t="inlineStr"/>
      <c r="W16" s="51" t="inlineStr">
        <is>
          <t>8195953714</t>
        </is>
      </c>
    </row>
    <row r="17">
      <c r="A17" s="49" t="inlineStr"/>
      <c r="B17" s="49" t="inlineStr"/>
      <c r="C17" s="50" t="inlineStr"/>
      <c r="D17" s="51" t="inlineStr"/>
      <c r="E17" s="52" t="inlineStr">
        <is>
          <t>同上</t>
        </is>
      </c>
      <c r="F17" s="49" t="inlineStr">
        <is>
          <t>対象外</t>
        </is>
      </c>
      <c r="G17" s="49" t="inlineStr">
        <is>
          <t>非課仕入</t>
        </is>
      </c>
      <c r="H17" s="49" t="inlineStr">
        <is>
          <t>2025/09/01</t>
        </is>
      </c>
      <c r="I17" s="49" t="inlineStr">
        <is>
          <t>法定福利費</t>
        </is>
      </c>
      <c r="J17" s="49" t="inlineStr">
        <is>
          <t>年金事務所</t>
        </is>
      </c>
      <c r="K17" s="49" t="inlineStr">
        <is>
          <t>健康保険料（事業主負担分）</t>
        </is>
      </c>
      <c r="L17" s="51" t="inlineStr"/>
      <c r="M17" s="51" t="inlineStr"/>
      <c r="N17" s="51" t="inlineStr">
        <is>
          <t>健康保険料（事業主負担分）</t>
        </is>
      </c>
      <c r="O17" s="53" t="n">
        <v>78288</v>
      </c>
      <c r="P17" s="54" t="inlineStr"/>
      <c r="Q17" s="55" t="inlineStr">
        <is>
          <t>🔗</t>
        </is>
      </c>
      <c r="R17" s="55" t="inlineStr">
        <is>
          <t>🔗</t>
        </is>
      </c>
      <c r="S17" s="49" t="n">
        <v>60</v>
      </c>
      <c r="T17" s="49" t="inlineStr">
        <is>
          <t>mild_warning</t>
        </is>
      </c>
      <c r="U17" s="51" t="inlineStr"/>
      <c r="V17" s="51" t="inlineStr"/>
      <c r="W17" s="51" t="inlineStr">
        <is>
          <t>8195954128</t>
        </is>
      </c>
    </row>
    <row r="18">
      <c r="A18" s="49" t="inlineStr"/>
      <c r="B18" s="49" t="inlineStr"/>
      <c r="C18" s="50" t="inlineStr"/>
      <c r="D18" s="51" t="inlineStr"/>
      <c r="E18" s="52" t="inlineStr">
        <is>
          <t>同上</t>
        </is>
      </c>
      <c r="F18" s="49" t="inlineStr">
        <is>
          <t>対象外</t>
        </is>
      </c>
      <c r="G18" s="49" t="inlineStr">
        <is>
          <t>非課仕入</t>
        </is>
      </c>
      <c r="H18" s="49" t="inlineStr">
        <is>
          <t>2025/09/01</t>
        </is>
      </c>
      <c r="I18" s="49" t="inlineStr">
        <is>
          <t>法定福利費</t>
        </is>
      </c>
      <c r="J18" s="49" t="inlineStr">
        <is>
          <t>年金事務所</t>
        </is>
      </c>
      <c r="K18" s="49" t="inlineStr">
        <is>
          <t>介護保険料（事業主負担分）</t>
        </is>
      </c>
      <c r="L18" s="51" t="inlineStr"/>
      <c r="M18" s="51" t="inlineStr"/>
      <c r="N18" s="51" t="inlineStr">
        <is>
          <t>介護保険料（事業主負担分）</t>
        </is>
      </c>
      <c r="O18" s="53" t="n">
        <v>12562</v>
      </c>
      <c r="P18" s="54" t="inlineStr"/>
      <c r="Q18" s="55" t="inlineStr">
        <is>
          <t>🔗</t>
        </is>
      </c>
      <c r="R18" s="55" t="inlineStr">
        <is>
          <t>🔗</t>
        </is>
      </c>
      <c r="S18" s="49" t="n">
        <v>60</v>
      </c>
      <c r="T18" s="49" t="inlineStr">
        <is>
          <t>mild_warning</t>
        </is>
      </c>
      <c r="U18" s="51" t="inlineStr"/>
      <c r="V18" s="51" t="inlineStr"/>
      <c r="W18" s="51" t="inlineStr">
        <is>
          <t>8195954129</t>
        </is>
      </c>
    </row>
    <row r="19">
      <c r="A19" s="49" t="inlineStr"/>
      <c r="B19" s="49" t="inlineStr"/>
      <c r="C19" s="50" t="inlineStr"/>
      <c r="D19" s="51" t="inlineStr"/>
      <c r="E19" s="52" t="inlineStr">
        <is>
          <t>同上</t>
        </is>
      </c>
      <c r="F19" s="49" t="inlineStr">
        <is>
          <t>対象外</t>
        </is>
      </c>
      <c r="G19" s="49" t="inlineStr">
        <is>
          <t>非課仕入</t>
        </is>
      </c>
      <c r="H19" s="49" t="inlineStr">
        <is>
          <t>2025/09/01</t>
        </is>
      </c>
      <c r="I19" s="49" t="inlineStr">
        <is>
          <t>法定福利費</t>
        </is>
      </c>
      <c r="J19" s="49" t="inlineStr">
        <is>
          <t>年金事務所</t>
        </is>
      </c>
      <c r="K19" s="49" t="inlineStr">
        <is>
          <t>厚生年金保険料（事業主負担分）</t>
        </is>
      </c>
      <c r="L19" s="51" t="inlineStr"/>
      <c r="M19" s="51" t="inlineStr"/>
      <c r="N19" s="51" t="inlineStr">
        <is>
          <t>厚生年金保険料（事業主負担分）</t>
        </is>
      </c>
      <c r="O19" s="53" t="n">
        <v>118950</v>
      </c>
      <c r="P19" s="54" t="inlineStr"/>
      <c r="Q19" s="55" t="inlineStr">
        <is>
          <t>🔗</t>
        </is>
      </c>
      <c r="R19" s="55" t="inlineStr">
        <is>
          <t>🔗</t>
        </is>
      </c>
      <c r="S19" s="49" t="n">
        <v>60</v>
      </c>
      <c r="T19" s="49" t="inlineStr">
        <is>
          <t>mild_warning</t>
        </is>
      </c>
      <c r="U19" s="51" t="inlineStr"/>
      <c r="V19" s="51" t="inlineStr"/>
      <c r="W19" s="51" t="inlineStr">
        <is>
          <t>8195954130</t>
        </is>
      </c>
    </row>
    <row r="20">
      <c r="A20" s="49" t="inlineStr"/>
      <c r="B20" s="49" t="inlineStr"/>
      <c r="C20" s="50" t="inlineStr"/>
      <c r="D20" s="51" t="inlineStr"/>
      <c r="E20" s="52" t="inlineStr">
        <is>
          <t>同上</t>
        </is>
      </c>
      <c r="F20" s="49" t="inlineStr">
        <is>
          <t>対象外</t>
        </is>
      </c>
      <c r="G20" s="49" t="inlineStr">
        <is>
          <t>非課仕入</t>
        </is>
      </c>
      <c r="H20" s="49" t="inlineStr">
        <is>
          <t>2025/09/01</t>
        </is>
      </c>
      <c r="I20" s="49" t="inlineStr">
        <is>
          <t>法定福利費</t>
        </is>
      </c>
      <c r="J20" s="49" t="inlineStr">
        <is>
          <t>年金事務所</t>
        </is>
      </c>
      <c r="K20" s="49" t="inlineStr"/>
      <c r="L20" s="51" t="inlineStr"/>
      <c r="M20" s="51" t="inlineStr"/>
      <c r="N20" s="51" t="inlineStr">
        <is>
          <t>子ども・子育て拠出金</t>
        </is>
      </c>
      <c r="O20" s="53" t="n">
        <v>4680</v>
      </c>
      <c r="P20" s="54" t="inlineStr"/>
      <c r="Q20" s="55" t="inlineStr">
        <is>
          <t>🔗</t>
        </is>
      </c>
      <c r="R20" s="55" t="inlineStr">
        <is>
          <t>🔗</t>
        </is>
      </c>
      <c r="S20" s="49" t="n">
        <v>60</v>
      </c>
      <c r="T20" s="49" t="inlineStr">
        <is>
          <t>mild_warning</t>
        </is>
      </c>
      <c r="U20" s="51" t="inlineStr"/>
      <c r="V20" s="51" t="inlineStr"/>
      <c r="W20" s="51" t="inlineStr">
        <is>
          <t>8195954131</t>
        </is>
      </c>
    </row>
    <row r="21">
      <c r="A21" s="49" t="inlineStr"/>
      <c r="B21" s="49" t="inlineStr"/>
      <c r="C21" s="50" t="inlineStr"/>
      <c r="D21" s="51" t="inlineStr"/>
      <c r="E21" s="52" t="inlineStr">
        <is>
          <t>同上</t>
        </is>
      </c>
      <c r="F21" s="49" t="inlineStr">
        <is>
          <t>対象外</t>
        </is>
      </c>
      <c r="G21" s="49" t="inlineStr">
        <is>
          <t>非課仕入</t>
        </is>
      </c>
      <c r="H21" s="49" t="inlineStr">
        <is>
          <t>2025/10/01</t>
        </is>
      </c>
      <c r="I21" s="49" t="inlineStr">
        <is>
          <t>法定福利費</t>
        </is>
      </c>
      <c r="J21" s="49" t="inlineStr">
        <is>
          <t>年金事務所</t>
        </is>
      </c>
      <c r="K21" s="49" t="inlineStr">
        <is>
          <t>健康保険料（事業主負担分）</t>
        </is>
      </c>
      <c r="L21" s="51" t="inlineStr"/>
      <c r="M21" s="51" t="inlineStr"/>
      <c r="N21" s="51" t="inlineStr">
        <is>
          <t>健康保険料（事業主負担分）</t>
        </is>
      </c>
      <c r="O21" s="53" t="n">
        <v>78288</v>
      </c>
      <c r="P21" s="54" t="inlineStr"/>
      <c r="Q21" s="55" t="inlineStr">
        <is>
          <t>🔗</t>
        </is>
      </c>
      <c r="R21" s="55" t="inlineStr">
        <is>
          <t>🔗</t>
        </is>
      </c>
      <c r="S21" s="49" t="n">
        <v>60</v>
      </c>
      <c r="T21" s="49" t="inlineStr">
        <is>
          <t>mild_warning</t>
        </is>
      </c>
      <c r="U21" s="51" t="inlineStr"/>
      <c r="V21" s="51" t="inlineStr"/>
      <c r="W21" s="51" t="inlineStr">
        <is>
          <t>8294189748</t>
        </is>
      </c>
    </row>
    <row r="22">
      <c r="A22" s="49" t="inlineStr"/>
      <c r="B22" s="49" t="inlineStr"/>
      <c r="C22" s="50" t="inlineStr"/>
      <c r="D22" s="51" t="inlineStr"/>
      <c r="E22" s="52" t="inlineStr">
        <is>
          <t>同上</t>
        </is>
      </c>
      <c r="F22" s="49" t="inlineStr">
        <is>
          <t>対象外</t>
        </is>
      </c>
      <c r="G22" s="49" t="inlineStr">
        <is>
          <t>非課仕入</t>
        </is>
      </c>
      <c r="H22" s="49" t="inlineStr">
        <is>
          <t>2025/10/01</t>
        </is>
      </c>
      <c r="I22" s="49" t="inlineStr">
        <is>
          <t>法定福利費</t>
        </is>
      </c>
      <c r="J22" s="49" t="inlineStr">
        <is>
          <t>年金事務所</t>
        </is>
      </c>
      <c r="K22" s="49" t="inlineStr">
        <is>
          <t>介護保険料（事業主負担分）</t>
        </is>
      </c>
      <c r="L22" s="51" t="inlineStr"/>
      <c r="M22" s="51" t="inlineStr"/>
      <c r="N22" s="51" t="inlineStr">
        <is>
          <t>介護保険料（事業主負担分）</t>
        </is>
      </c>
      <c r="O22" s="53" t="n">
        <v>12562</v>
      </c>
      <c r="P22" s="54" t="inlineStr"/>
      <c r="Q22" s="55" t="inlineStr">
        <is>
          <t>🔗</t>
        </is>
      </c>
      <c r="R22" s="55" t="inlineStr">
        <is>
          <t>🔗</t>
        </is>
      </c>
      <c r="S22" s="49" t="n">
        <v>60</v>
      </c>
      <c r="T22" s="49" t="inlineStr">
        <is>
          <t>mild_warning</t>
        </is>
      </c>
      <c r="U22" s="51" t="inlineStr"/>
      <c r="V22" s="51" t="inlineStr"/>
      <c r="W22" s="51" t="inlineStr">
        <is>
          <t>8294189751</t>
        </is>
      </c>
    </row>
    <row r="23">
      <c r="A23" s="49" t="inlineStr"/>
      <c r="B23" s="49" t="inlineStr"/>
      <c r="C23" s="50" t="inlineStr"/>
      <c r="D23" s="51" t="inlineStr"/>
      <c r="E23" s="52" t="inlineStr">
        <is>
          <t>同上</t>
        </is>
      </c>
      <c r="F23" s="49" t="inlineStr">
        <is>
          <t>対象外</t>
        </is>
      </c>
      <c r="G23" s="49" t="inlineStr">
        <is>
          <t>非課仕入</t>
        </is>
      </c>
      <c r="H23" s="49" t="inlineStr">
        <is>
          <t>2025/10/01</t>
        </is>
      </c>
      <c r="I23" s="49" t="inlineStr">
        <is>
          <t>法定福利費</t>
        </is>
      </c>
      <c r="J23" s="49" t="inlineStr">
        <is>
          <t>年金事務所</t>
        </is>
      </c>
      <c r="K23" s="49" t="inlineStr">
        <is>
          <t>厚生年金保険料（事業主負担分）</t>
        </is>
      </c>
      <c r="L23" s="51" t="inlineStr"/>
      <c r="M23" s="51" t="inlineStr"/>
      <c r="N23" s="51" t="inlineStr">
        <is>
          <t>厚生年金保険料（事業主負担分）</t>
        </is>
      </c>
      <c r="O23" s="53" t="n">
        <v>118950</v>
      </c>
      <c r="P23" s="54" t="inlineStr"/>
      <c r="Q23" s="55" t="inlineStr">
        <is>
          <t>🔗</t>
        </is>
      </c>
      <c r="R23" s="55" t="inlineStr">
        <is>
          <t>🔗</t>
        </is>
      </c>
      <c r="S23" s="49" t="n">
        <v>60</v>
      </c>
      <c r="T23" s="49" t="inlineStr">
        <is>
          <t>mild_warning</t>
        </is>
      </c>
      <c r="U23" s="51" t="inlineStr"/>
      <c r="V23" s="51" t="inlineStr"/>
      <c r="W23" s="51" t="inlineStr">
        <is>
          <t>8294189754</t>
        </is>
      </c>
    </row>
    <row r="24">
      <c r="A24" s="49" t="inlineStr"/>
      <c r="B24" s="49" t="inlineStr"/>
      <c r="C24" s="50" t="inlineStr"/>
      <c r="D24" s="51" t="inlineStr"/>
      <c r="E24" s="52" t="inlineStr">
        <is>
          <t>同上</t>
        </is>
      </c>
      <c r="F24" s="49" t="inlineStr">
        <is>
          <t>対象外</t>
        </is>
      </c>
      <c r="G24" s="49" t="inlineStr">
        <is>
          <t>非課仕入</t>
        </is>
      </c>
      <c r="H24" s="49" t="inlineStr">
        <is>
          <t>2025/10/01</t>
        </is>
      </c>
      <c r="I24" s="49" t="inlineStr">
        <is>
          <t>法定福利費</t>
        </is>
      </c>
      <c r="J24" s="49" t="inlineStr">
        <is>
          <t>年金事務所</t>
        </is>
      </c>
      <c r="K24" s="49" t="inlineStr"/>
      <c r="L24" s="51" t="inlineStr"/>
      <c r="M24" s="51" t="inlineStr"/>
      <c r="N24" s="51" t="inlineStr">
        <is>
          <t>子ども・子育て拠出金</t>
        </is>
      </c>
      <c r="O24" s="53" t="n">
        <v>4680</v>
      </c>
      <c r="P24" s="54" t="inlineStr"/>
      <c r="Q24" s="55" t="inlineStr">
        <is>
          <t>🔗</t>
        </is>
      </c>
      <c r="R24" s="55" t="inlineStr">
        <is>
          <t>🔗</t>
        </is>
      </c>
      <c r="S24" s="49" t="n">
        <v>60</v>
      </c>
      <c r="T24" s="49" t="inlineStr">
        <is>
          <t>mild_warning</t>
        </is>
      </c>
      <c r="U24" s="51" t="inlineStr"/>
      <c r="V24" s="51" t="inlineStr"/>
      <c r="W24" s="51" t="inlineStr">
        <is>
          <t>8294189756</t>
        </is>
      </c>
    </row>
    <row r="25">
      <c r="A25" s="49" t="inlineStr"/>
      <c r="B25" s="49" t="inlineStr"/>
      <c r="C25" s="50" t="inlineStr"/>
      <c r="D25" s="51" t="inlineStr"/>
      <c r="E25" s="52" t="inlineStr">
        <is>
          <t>同上</t>
        </is>
      </c>
      <c r="F25" s="49" t="inlineStr">
        <is>
          <t>対象外</t>
        </is>
      </c>
      <c r="G25" s="49" t="inlineStr">
        <is>
          <t>非課仕入</t>
        </is>
      </c>
      <c r="H25" s="49" t="inlineStr">
        <is>
          <t>2025/11/01</t>
        </is>
      </c>
      <c r="I25" s="49" t="inlineStr">
        <is>
          <t>法定福利費</t>
        </is>
      </c>
      <c r="J25" s="49" t="inlineStr">
        <is>
          <t>年金事務所</t>
        </is>
      </c>
      <c r="K25" s="49" t="inlineStr">
        <is>
          <t>健康保険料（事業主負担分）</t>
        </is>
      </c>
      <c r="L25" s="51" t="inlineStr"/>
      <c r="M25" s="51" t="inlineStr"/>
      <c r="N25" s="51" t="inlineStr">
        <is>
          <t>健康保険料（事業主負担分）</t>
        </is>
      </c>
      <c r="O25" s="53" t="n">
        <v>52522</v>
      </c>
      <c r="P25" s="54" t="inlineStr"/>
      <c r="Q25" s="55" t="inlineStr">
        <is>
          <t>🔗</t>
        </is>
      </c>
      <c r="R25" s="55" t="inlineStr">
        <is>
          <t>🔗</t>
        </is>
      </c>
      <c r="S25" s="49" t="n">
        <v>60</v>
      </c>
      <c r="T25" s="49" t="inlineStr">
        <is>
          <t>mild_warning</t>
        </is>
      </c>
      <c r="U25" s="51" t="inlineStr"/>
      <c r="V25" s="51" t="inlineStr"/>
      <c r="W25" s="51" t="inlineStr">
        <is>
          <t>8444155593</t>
        </is>
      </c>
    </row>
    <row r="26">
      <c r="A26" s="49" t="inlineStr"/>
      <c r="B26" s="49" t="inlineStr"/>
      <c r="C26" s="50" t="inlineStr"/>
      <c r="D26" s="51" t="inlineStr"/>
      <c r="E26" s="52" t="inlineStr">
        <is>
          <t>同上</t>
        </is>
      </c>
      <c r="F26" s="49" t="inlineStr">
        <is>
          <t>対象外</t>
        </is>
      </c>
      <c r="G26" s="49" t="inlineStr">
        <is>
          <t>非課仕入</t>
        </is>
      </c>
      <c r="H26" s="49" t="inlineStr">
        <is>
          <t>2025/11/01</t>
        </is>
      </c>
      <c r="I26" s="49" t="inlineStr">
        <is>
          <t>法定福利費</t>
        </is>
      </c>
      <c r="J26" s="49" t="inlineStr">
        <is>
          <t>年金事務所</t>
        </is>
      </c>
      <c r="K26" s="49" t="inlineStr">
        <is>
          <t>介護保険料（事業主負担分）</t>
        </is>
      </c>
      <c r="L26" s="51" t="inlineStr"/>
      <c r="M26" s="51" t="inlineStr"/>
      <c r="N26" s="51" t="inlineStr">
        <is>
          <t>介護保険料（事業主負担分）</t>
        </is>
      </c>
      <c r="O26" s="53" t="n">
        <v>8428</v>
      </c>
      <c r="P26" s="54" t="inlineStr"/>
      <c r="Q26" s="55" t="inlineStr">
        <is>
          <t>🔗</t>
        </is>
      </c>
      <c r="R26" s="55" t="inlineStr">
        <is>
          <t>🔗</t>
        </is>
      </c>
      <c r="S26" s="49" t="n">
        <v>60</v>
      </c>
      <c r="T26" s="49" t="inlineStr">
        <is>
          <t>mild_warning</t>
        </is>
      </c>
      <c r="U26" s="51" t="inlineStr"/>
      <c r="V26" s="51" t="inlineStr"/>
      <c r="W26" s="51" t="inlineStr">
        <is>
          <t>8444155597</t>
        </is>
      </c>
    </row>
    <row r="27">
      <c r="A27" s="49" t="inlineStr"/>
      <c r="B27" s="49" t="inlineStr"/>
      <c r="C27" s="50" t="inlineStr"/>
      <c r="D27" s="51" t="inlineStr"/>
      <c r="E27" s="52" t="inlineStr">
        <is>
          <t>同上</t>
        </is>
      </c>
      <c r="F27" s="49" t="inlineStr">
        <is>
          <t>対象外</t>
        </is>
      </c>
      <c r="G27" s="49" t="inlineStr">
        <is>
          <t>非課仕入</t>
        </is>
      </c>
      <c r="H27" s="49" t="inlineStr">
        <is>
          <t>2025/11/01</t>
        </is>
      </c>
      <c r="I27" s="49" t="inlineStr">
        <is>
          <t>法定福利費</t>
        </is>
      </c>
      <c r="J27" s="49" t="inlineStr">
        <is>
          <t>年金事務所</t>
        </is>
      </c>
      <c r="K27" s="49" t="inlineStr">
        <is>
          <t>厚生年金保険料（事業主負担分）</t>
        </is>
      </c>
      <c r="L27" s="51" t="inlineStr"/>
      <c r="M27" s="51" t="inlineStr"/>
      <c r="N27" s="51" t="inlineStr">
        <is>
          <t>厚生年金保険料（事業主負担分）</t>
        </is>
      </c>
      <c r="O27" s="53" t="n">
        <v>96990</v>
      </c>
      <c r="P27" s="54" t="inlineStr"/>
      <c r="Q27" s="55" t="inlineStr">
        <is>
          <t>🔗</t>
        </is>
      </c>
      <c r="R27" s="55" t="inlineStr">
        <is>
          <t>🔗</t>
        </is>
      </c>
      <c r="S27" s="49" t="n">
        <v>60</v>
      </c>
      <c r="T27" s="49" t="inlineStr">
        <is>
          <t>mild_warning</t>
        </is>
      </c>
      <c r="U27" s="51" t="inlineStr"/>
      <c r="V27" s="51" t="inlineStr"/>
      <c r="W27" s="51" t="inlineStr">
        <is>
          <t>8444155601</t>
        </is>
      </c>
    </row>
    <row r="28">
      <c r="A28" s="49" t="inlineStr"/>
      <c r="B28" s="49" t="inlineStr"/>
      <c r="C28" s="50" t="inlineStr"/>
      <c r="D28" s="51" t="inlineStr"/>
      <c r="E28" s="52" t="inlineStr">
        <is>
          <t>同上</t>
        </is>
      </c>
      <c r="F28" s="49" t="inlineStr">
        <is>
          <t>対象外</t>
        </is>
      </c>
      <c r="G28" s="49" t="inlineStr">
        <is>
          <t>非課仕入</t>
        </is>
      </c>
      <c r="H28" s="49" t="inlineStr">
        <is>
          <t>2025/11/01</t>
        </is>
      </c>
      <c r="I28" s="49" t="inlineStr">
        <is>
          <t>法定福利費</t>
        </is>
      </c>
      <c r="J28" s="49" t="inlineStr">
        <is>
          <t>年金事務所</t>
        </is>
      </c>
      <c r="K28" s="49" t="inlineStr"/>
      <c r="L28" s="51" t="inlineStr"/>
      <c r="M28" s="51" t="inlineStr"/>
      <c r="N28" s="51" t="inlineStr">
        <is>
          <t>子ども・子育て拠出金</t>
        </is>
      </c>
      <c r="O28" s="53" t="n">
        <v>3816</v>
      </c>
      <c r="P28" s="54" t="inlineStr"/>
      <c r="Q28" s="55" t="inlineStr">
        <is>
          <t>🔗</t>
        </is>
      </c>
      <c r="R28" s="55" t="inlineStr">
        <is>
          <t>🔗</t>
        </is>
      </c>
      <c r="S28" s="49" t="n">
        <v>60</v>
      </c>
      <c r="T28" s="49" t="inlineStr">
        <is>
          <t>mild_warning</t>
        </is>
      </c>
      <c r="U28" s="51" t="inlineStr"/>
      <c r="V28" s="51" t="inlineStr"/>
      <c r="W28" s="51" t="inlineStr">
        <is>
          <t>8444155603</t>
        </is>
      </c>
    </row>
    <row r="29">
      <c r="A29" s="49" t="inlineStr"/>
      <c r="B29" s="49" t="inlineStr"/>
      <c r="C29" s="50" t="inlineStr"/>
      <c r="D29" s="51" t="inlineStr"/>
      <c r="E29" s="52" t="inlineStr">
        <is>
          <t>同上</t>
        </is>
      </c>
      <c r="F29" s="49" t="inlineStr">
        <is>
          <t>対象外</t>
        </is>
      </c>
      <c r="G29" s="49" t="inlineStr">
        <is>
          <t>非課仕入</t>
        </is>
      </c>
      <c r="H29" s="49" t="inlineStr">
        <is>
          <t>2025/12/01</t>
        </is>
      </c>
      <c r="I29" s="49" t="inlineStr">
        <is>
          <t>法定福利費</t>
        </is>
      </c>
      <c r="J29" s="49" t="inlineStr">
        <is>
          <t>年金事務所</t>
        </is>
      </c>
      <c r="K29" s="49" t="inlineStr">
        <is>
          <t>健康保険料（事業主負担分）</t>
        </is>
      </c>
      <c r="L29" s="51" t="inlineStr"/>
      <c r="M29" s="51" t="inlineStr"/>
      <c r="N29" s="51" t="inlineStr">
        <is>
          <t>健康保険料（事業主負担分）</t>
        </is>
      </c>
      <c r="O29" s="53" t="n">
        <v>52522</v>
      </c>
      <c r="P29" s="54" t="inlineStr"/>
      <c r="Q29" s="55" t="inlineStr">
        <is>
          <t>🔗</t>
        </is>
      </c>
      <c r="R29" s="55" t="inlineStr">
        <is>
          <t>🔗</t>
        </is>
      </c>
      <c r="S29" s="49" t="n">
        <v>60</v>
      </c>
      <c r="T29" s="49" t="inlineStr">
        <is>
          <t>mild_warning</t>
        </is>
      </c>
      <c r="U29" s="51" t="inlineStr"/>
      <c r="V29" s="51" t="inlineStr"/>
      <c r="W29" s="51" t="inlineStr">
        <is>
          <t>8591511798</t>
        </is>
      </c>
    </row>
    <row r="30">
      <c r="A30" s="49" t="inlineStr"/>
      <c r="B30" s="49" t="inlineStr"/>
      <c r="C30" s="50" t="inlineStr"/>
      <c r="D30" s="51" t="inlineStr"/>
      <c r="E30" s="52" t="inlineStr">
        <is>
          <t>同上</t>
        </is>
      </c>
      <c r="F30" s="49" t="inlineStr">
        <is>
          <t>対象外</t>
        </is>
      </c>
      <c r="G30" s="49" t="inlineStr">
        <is>
          <t>非課仕入</t>
        </is>
      </c>
      <c r="H30" s="49" t="inlineStr">
        <is>
          <t>2025/12/01</t>
        </is>
      </c>
      <c r="I30" s="49" t="inlineStr">
        <is>
          <t>法定福利費</t>
        </is>
      </c>
      <c r="J30" s="49" t="inlineStr">
        <is>
          <t>年金事務所</t>
        </is>
      </c>
      <c r="K30" s="49" t="inlineStr">
        <is>
          <t>介護保険料（事業主負担分）</t>
        </is>
      </c>
      <c r="L30" s="51" t="inlineStr"/>
      <c r="M30" s="51" t="inlineStr"/>
      <c r="N30" s="51" t="inlineStr">
        <is>
          <t>介護保険料（事業主負担分）</t>
        </is>
      </c>
      <c r="O30" s="53" t="n">
        <v>8428</v>
      </c>
      <c r="P30" s="54" t="inlineStr"/>
      <c r="Q30" s="55" t="inlineStr">
        <is>
          <t>🔗</t>
        </is>
      </c>
      <c r="R30" s="55" t="inlineStr">
        <is>
          <t>🔗</t>
        </is>
      </c>
      <c r="S30" s="49" t="n">
        <v>60</v>
      </c>
      <c r="T30" s="49" t="inlineStr">
        <is>
          <t>mild_warning</t>
        </is>
      </c>
      <c r="U30" s="51" t="inlineStr"/>
      <c r="V30" s="51" t="inlineStr"/>
      <c r="W30" s="51" t="inlineStr">
        <is>
          <t>8591511800</t>
        </is>
      </c>
    </row>
    <row r="31">
      <c r="A31" s="49" t="inlineStr"/>
      <c r="B31" s="49" t="inlineStr"/>
      <c r="C31" s="50" t="inlineStr"/>
      <c r="D31" s="51" t="inlineStr"/>
      <c r="E31" s="52" t="inlineStr">
        <is>
          <t>同上</t>
        </is>
      </c>
      <c r="F31" s="49" t="inlineStr">
        <is>
          <t>対象外</t>
        </is>
      </c>
      <c r="G31" s="49" t="inlineStr">
        <is>
          <t>非課仕入</t>
        </is>
      </c>
      <c r="H31" s="49" t="inlineStr">
        <is>
          <t>2025/12/01</t>
        </is>
      </c>
      <c r="I31" s="49" t="inlineStr">
        <is>
          <t>法定福利費</t>
        </is>
      </c>
      <c r="J31" s="49" t="inlineStr">
        <is>
          <t>年金事務所</t>
        </is>
      </c>
      <c r="K31" s="49" t="inlineStr">
        <is>
          <t>厚生年金保険料（事業主負担分）</t>
        </is>
      </c>
      <c r="L31" s="51" t="inlineStr"/>
      <c r="M31" s="51" t="inlineStr"/>
      <c r="N31" s="51" t="inlineStr">
        <is>
          <t>厚生年金保険料（事業主負担分）</t>
        </is>
      </c>
      <c r="O31" s="53" t="n">
        <v>96990</v>
      </c>
      <c r="P31" s="54" t="inlineStr"/>
      <c r="Q31" s="55" t="inlineStr">
        <is>
          <t>🔗</t>
        </is>
      </c>
      <c r="R31" s="55" t="inlineStr">
        <is>
          <t>🔗</t>
        </is>
      </c>
      <c r="S31" s="49" t="n">
        <v>60</v>
      </c>
      <c r="T31" s="49" t="inlineStr">
        <is>
          <t>mild_warning</t>
        </is>
      </c>
      <c r="U31" s="51" t="inlineStr"/>
      <c r="V31" s="51" t="inlineStr"/>
      <c r="W31" s="51" t="inlineStr">
        <is>
          <t>8591511802</t>
        </is>
      </c>
    </row>
    <row r="32">
      <c r="A32" s="49" t="inlineStr"/>
      <c r="B32" s="49" t="inlineStr"/>
      <c r="C32" s="50" t="inlineStr"/>
      <c r="D32" s="51" t="inlineStr"/>
      <c r="E32" s="52" t="inlineStr">
        <is>
          <t>同上</t>
        </is>
      </c>
      <c r="F32" s="49" t="inlineStr">
        <is>
          <t>対象外</t>
        </is>
      </c>
      <c r="G32" s="49" t="inlineStr">
        <is>
          <t>非課仕入</t>
        </is>
      </c>
      <c r="H32" s="49" t="inlineStr">
        <is>
          <t>2025/12/01</t>
        </is>
      </c>
      <c r="I32" s="49" t="inlineStr">
        <is>
          <t>法定福利費</t>
        </is>
      </c>
      <c r="J32" s="49" t="inlineStr">
        <is>
          <t>年金事務所</t>
        </is>
      </c>
      <c r="K32" s="49" t="inlineStr"/>
      <c r="L32" s="51" t="inlineStr"/>
      <c r="M32" s="51" t="inlineStr"/>
      <c r="N32" s="51" t="inlineStr">
        <is>
          <t>子ども・子育て拠出金</t>
        </is>
      </c>
      <c r="O32" s="53" t="n">
        <v>3816</v>
      </c>
      <c r="P32" s="54" t="inlineStr"/>
      <c r="Q32" s="55" t="inlineStr">
        <is>
          <t>🔗</t>
        </is>
      </c>
      <c r="R32" s="55" t="inlineStr">
        <is>
          <t>🔗</t>
        </is>
      </c>
      <c r="S32" s="49" t="n">
        <v>60</v>
      </c>
      <c r="T32" s="49" t="inlineStr">
        <is>
          <t>mild_warning</t>
        </is>
      </c>
      <c r="U32" s="51" t="inlineStr"/>
      <c r="V32" s="51" t="inlineStr"/>
      <c r="W32" s="51" t="inlineStr">
        <is>
          <t>8591511805</t>
        </is>
      </c>
    </row>
    <row r="33">
      <c r="A33" s="49" t="inlineStr"/>
      <c r="B33" s="49" t="inlineStr"/>
      <c r="C33" s="50" t="inlineStr"/>
      <c r="D33" s="51" t="inlineStr"/>
      <c r="E33" s="52" t="inlineStr">
        <is>
          <t>同上</t>
        </is>
      </c>
      <c r="F33" s="49" t="inlineStr">
        <is>
          <t>対象外</t>
        </is>
      </c>
      <c r="G33" s="49" t="inlineStr">
        <is>
          <t>非課仕入</t>
        </is>
      </c>
      <c r="H33" s="49" t="inlineStr">
        <is>
          <t>2025/12/01</t>
        </is>
      </c>
      <c r="I33" s="49" t="inlineStr">
        <is>
          <t>法定福利費</t>
        </is>
      </c>
      <c r="J33" s="49" t="inlineStr">
        <is>
          <t>年金事務所</t>
        </is>
      </c>
      <c r="K33" s="49" t="inlineStr"/>
      <c r="L33" s="51" t="inlineStr"/>
      <c r="M33" s="51" t="inlineStr"/>
      <c r="N33" s="51" t="inlineStr"/>
      <c r="O33" s="53" t="n">
        <v>104584</v>
      </c>
      <c r="P33" s="54" t="inlineStr"/>
      <c r="Q33" s="55" t="inlineStr">
        <is>
          <t>🔗</t>
        </is>
      </c>
      <c r="R33" s="55" t="inlineStr">
        <is>
          <t>🔗</t>
        </is>
      </c>
      <c r="S33" s="49" t="n">
        <v>60</v>
      </c>
      <c r="T33" s="49" t="inlineStr">
        <is>
          <t>mild_warning</t>
        </is>
      </c>
      <c r="U33" s="51" t="inlineStr"/>
      <c r="V33" s="51" t="inlineStr"/>
      <c r="W33" s="51" t="inlineStr">
        <is>
          <t>9356684248</t>
        </is>
      </c>
    </row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33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  <hyperlink xmlns:r="http://schemas.openxmlformats.org/officeDocument/2006/relationships" ref="Q21" r:id="rId34"/>
    <hyperlink xmlns:r="http://schemas.openxmlformats.org/officeDocument/2006/relationships" ref="R21" r:id="rId35"/>
    <hyperlink xmlns:r="http://schemas.openxmlformats.org/officeDocument/2006/relationships" ref="Q22" r:id="rId36"/>
    <hyperlink xmlns:r="http://schemas.openxmlformats.org/officeDocument/2006/relationships" ref="R22" r:id="rId37"/>
    <hyperlink xmlns:r="http://schemas.openxmlformats.org/officeDocument/2006/relationships" ref="Q23" r:id="rId38"/>
    <hyperlink xmlns:r="http://schemas.openxmlformats.org/officeDocument/2006/relationships" ref="R23" r:id="rId39"/>
    <hyperlink xmlns:r="http://schemas.openxmlformats.org/officeDocument/2006/relationships" ref="Q24" r:id="rId40"/>
    <hyperlink xmlns:r="http://schemas.openxmlformats.org/officeDocument/2006/relationships" ref="R24" r:id="rId41"/>
    <hyperlink xmlns:r="http://schemas.openxmlformats.org/officeDocument/2006/relationships" ref="Q25" r:id="rId42"/>
    <hyperlink xmlns:r="http://schemas.openxmlformats.org/officeDocument/2006/relationships" ref="R25" r:id="rId43"/>
    <hyperlink xmlns:r="http://schemas.openxmlformats.org/officeDocument/2006/relationships" ref="Q26" r:id="rId44"/>
    <hyperlink xmlns:r="http://schemas.openxmlformats.org/officeDocument/2006/relationships" ref="R26" r:id="rId45"/>
    <hyperlink xmlns:r="http://schemas.openxmlformats.org/officeDocument/2006/relationships" ref="Q27" r:id="rId46"/>
    <hyperlink xmlns:r="http://schemas.openxmlformats.org/officeDocument/2006/relationships" ref="R27" r:id="rId47"/>
    <hyperlink xmlns:r="http://schemas.openxmlformats.org/officeDocument/2006/relationships" ref="Q28" r:id="rId48"/>
    <hyperlink xmlns:r="http://schemas.openxmlformats.org/officeDocument/2006/relationships" ref="R28" r:id="rId49"/>
    <hyperlink xmlns:r="http://schemas.openxmlformats.org/officeDocument/2006/relationships" ref="Q29" r:id="rId50"/>
    <hyperlink xmlns:r="http://schemas.openxmlformats.org/officeDocument/2006/relationships" ref="R29" r:id="rId51"/>
    <hyperlink xmlns:r="http://schemas.openxmlformats.org/officeDocument/2006/relationships" ref="Q30" r:id="rId52"/>
    <hyperlink xmlns:r="http://schemas.openxmlformats.org/officeDocument/2006/relationships" ref="R30" r:id="rId53"/>
    <hyperlink xmlns:r="http://schemas.openxmlformats.org/officeDocument/2006/relationships" ref="Q31" r:id="rId54"/>
    <hyperlink xmlns:r="http://schemas.openxmlformats.org/officeDocument/2006/relationships" ref="R31" r:id="rId55"/>
    <hyperlink xmlns:r="http://schemas.openxmlformats.org/officeDocument/2006/relationships" ref="Q32" r:id="rId56"/>
    <hyperlink xmlns:r="http://schemas.openxmlformats.org/officeDocument/2006/relationships" ref="R32" r:id="rId57"/>
    <hyperlink xmlns:r="http://schemas.openxmlformats.org/officeDocument/2006/relationships" ref="Q33" r:id="rId58"/>
    <hyperlink xmlns:r="http://schemas.openxmlformats.org/officeDocument/2006/relationships" ref="R33" r:id="rId5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A8 売上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56" t="inlineStr">
        <is>
          <t>重大</t>
        </is>
      </c>
      <c r="B4" s="56" t="inlineStr">
        <is>
          <t>TC-01e</t>
        </is>
      </c>
      <c r="C4" s="57" t="inlineStr">
        <is>
          <t>売上高 — 2 件・合計 ¥565,040（対象外→要判断）</t>
        </is>
      </c>
      <c r="D4" s="57" t="inlineStr">
        <is>
          <t>売上の税区分の税区分誤り</t>
        </is>
      </c>
      <c r="E4" s="57" t="inlineStr">
        <is>
          <t>2 件: 現状「対象外」— 詳細は子行 E 列(メッセージ)を確認</t>
        </is>
      </c>
      <c r="F4" s="58" t="inlineStr"/>
      <c r="G4" s="58" t="inlineStr"/>
      <c r="H4" s="58" t="inlineStr"/>
      <c r="I4" s="58" t="inlineStr"/>
      <c r="J4" s="58" t="inlineStr"/>
      <c r="K4" s="58" t="inlineStr"/>
      <c r="L4" s="58" t="inlineStr"/>
      <c r="M4" s="58" t="inlineStr"/>
      <c r="N4" s="58" t="inlineStr"/>
      <c r="O4" s="59" t="inlineStr"/>
      <c r="P4" s="60" t="n">
        <v>565040</v>
      </c>
      <c r="Q4" s="61" t="inlineStr">
        <is>
          <t>GL</t>
        </is>
      </c>
      <c r="R4" s="56" t="inlineStr"/>
      <c r="S4" s="56" t="inlineStr"/>
      <c r="T4" s="56" t="inlineStr"/>
      <c r="U4" s="58" t="inlineStr"/>
      <c r="V4" s="58" t="inlineStr"/>
      <c r="W4" s="58" t="inlineStr"/>
    </row>
    <row r="5">
      <c r="A5" s="49" t="inlineStr"/>
      <c r="B5" s="49" t="inlineStr"/>
      <c r="C5" s="50" t="inlineStr"/>
      <c r="D5" s="51" t="inlineStr"/>
      <c r="E5" s="52" t="inlineStr">
        <is>
          <t>売上が対象外(不課税)で計上されていますが、摘要に対象外取引を示すキーワードが含まれていません。資産の譲渡等に該当する課税売上の可能性があるため、確認してください。</t>
        </is>
      </c>
      <c r="F5" s="49" t="inlineStr">
        <is>
          <t>対象外</t>
        </is>
      </c>
      <c r="G5" s="49" t="inlineStr"/>
      <c r="H5" s="49" t="inlineStr">
        <is>
          <t>2025/08/01</t>
        </is>
      </c>
      <c r="I5" s="49" t="inlineStr">
        <is>
          <t>売上高</t>
        </is>
      </c>
      <c r="J5" s="49" t="inlineStr">
        <is>
          <t>ILLI SHOWROOM LLC</t>
        </is>
      </c>
      <c r="K5" s="49" t="inlineStr">
        <is>
          <t>海外取引</t>
        </is>
      </c>
      <c r="L5" s="51" t="inlineStr"/>
      <c r="M5" s="51" t="inlineStr"/>
      <c r="N5" s="51" t="inlineStr">
        <is>
          <t>請求書番号 : 20250804-001 / 請求先 : THE FACTORY　/   ILLISHOWROOM LLC</t>
        </is>
      </c>
      <c r="O5" s="54" t="inlineStr"/>
      <c r="P5" s="53" t="n">
        <v>355240</v>
      </c>
      <c r="Q5" s="55" t="inlineStr">
        <is>
          <t>🔗</t>
        </is>
      </c>
      <c r="R5" s="55" t="inlineStr">
        <is>
          <t>🔗</t>
        </is>
      </c>
      <c r="S5" s="49" t="n">
        <v>85</v>
      </c>
      <c r="T5" s="49" t="inlineStr">
        <is>
          <t>direct_error</t>
        </is>
      </c>
      <c r="U5" s="51" t="inlineStr"/>
      <c r="V5" s="51" t="inlineStr"/>
      <c r="W5" s="51" t="inlineStr">
        <is>
          <t>8435098404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/>
      <c r="H6" s="49" t="inlineStr">
        <is>
          <t>2025/09/01</t>
        </is>
      </c>
      <c r="I6" s="49" t="inlineStr">
        <is>
          <t>売上高</t>
        </is>
      </c>
      <c r="J6" s="49" t="inlineStr">
        <is>
          <t>SYCAMOA STUDIO INC.</t>
        </is>
      </c>
      <c r="K6" s="49" t="inlineStr">
        <is>
          <t>海外取引</t>
        </is>
      </c>
      <c r="L6" s="51" t="inlineStr"/>
      <c r="M6" s="51" t="inlineStr"/>
      <c r="N6" s="51" t="inlineStr">
        <is>
          <t>請求書番号 : 20250930-002 / 請求先 : SYCAMOA STUDIO INC.</t>
        </is>
      </c>
      <c r="O6" s="54" t="inlineStr"/>
      <c r="P6" s="53" t="n">
        <v>209800</v>
      </c>
      <c r="Q6" s="55" t="inlineStr">
        <is>
          <t>🔗</t>
        </is>
      </c>
      <c r="R6" s="55" t="inlineStr">
        <is>
          <t>🔗</t>
        </is>
      </c>
      <c r="S6" s="49" t="n">
        <v>85</v>
      </c>
      <c r="T6" s="49" t="inlineStr">
        <is>
          <t>direct_error</t>
        </is>
      </c>
      <c r="U6" s="51" t="inlineStr"/>
      <c r="V6" s="51" t="inlineStr"/>
      <c r="W6" s="51" t="inlineStr">
        <is>
          <t>8261244245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6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A11 営業外・特別損益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TC-05c</t>
        </is>
      </c>
      <c r="C4" s="44" t="inlineStr">
        <is>
          <t>支払利息 — 6 件・合計 ¥96,164（対象外→非課仕入）</t>
        </is>
      </c>
      <c r="D4" s="44" t="inlineStr">
        <is>
          <t>非課税/対象外の費用の税区分誤り</t>
        </is>
      </c>
      <c r="E4" s="44" t="inlineStr">
        <is>
          <t>6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96164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2025/06/01</t>
        </is>
      </c>
      <c r="I5" s="49" t="inlineStr">
        <is>
          <t>支払利息</t>
        </is>
      </c>
      <c r="J5" s="49" t="inlineStr">
        <is>
          <t>日本政策金融公庫</t>
        </is>
      </c>
      <c r="K5" s="49" t="inlineStr">
        <is>
          <t>公庫①</t>
        </is>
      </c>
      <c r="L5" s="51" t="inlineStr"/>
      <c r="M5" s="51" t="inlineStr"/>
      <c r="N5" s="51" t="inlineStr"/>
      <c r="O5" s="53" t="n">
        <v>16315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8305439247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2025/07/01</t>
        </is>
      </c>
      <c r="I6" s="49" t="inlineStr">
        <is>
          <t>支払利息</t>
        </is>
      </c>
      <c r="J6" s="49" t="inlineStr">
        <is>
          <t>日本政策金融公庫</t>
        </is>
      </c>
      <c r="K6" s="49" t="inlineStr">
        <is>
          <t>公庫①</t>
        </is>
      </c>
      <c r="L6" s="51" t="inlineStr"/>
      <c r="M6" s="51" t="inlineStr"/>
      <c r="N6" s="51" t="inlineStr"/>
      <c r="O6" s="53" t="n">
        <v>16631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8305442343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対象外</t>
        </is>
      </c>
      <c r="G7" s="49" t="inlineStr">
        <is>
          <t>非課仕入</t>
        </is>
      </c>
      <c r="H7" s="49" t="inlineStr">
        <is>
          <t>2025/09/01</t>
        </is>
      </c>
      <c r="I7" s="49" t="inlineStr">
        <is>
          <t>支払利息</t>
        </is>
      </c>
      <c r="J7" s="49" t="inlineStr">
        <is>
          <t>日本政策金融公庫</t>
        </is>
      </c>
      <c r="K7" s="49" t="inlineStr">
        <is>
          <t>公庫①</t>
        </is>
      </c>
      <c r="L7" s="51" t="inlineStr"/>
      <c r="M7" s="51" t="inlineStr"/>
      <c r="N7" s="51" t="inlineStr"/>
      <c r="O7" s="53" t="n">
        <v>15654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60</v>
      </c>
      <c r="T7" s="49" t="inlineStr">
        <is>
          <t>mild_warning</t>
        </is>
      </c>
      <c r="U7" s="51" t="inlineStr"/>
      <c r="V7" s="51" t="inlineStr"/>
      <c r="W7" s="51" t="inlineStr">
        <is>
          <t>8177177798</t>
        </is>
      </c>
    </row>
    <row r="8">
      <c r="A8" s="49" t="inlineStr"/>
      <c r="B8" s="49" t="inlineStr"/>
      <c r="C8" s="50" t="inlineStr"/>
      <c r="D8" s="51" t="inlineStr"/>
      <c r="E8" s="52" t="inlineStr">
        <is>
          <t>同上</t>
        </is>
      </c>
      <c r="F8" s="49" t="inlineStr">
        <is>
          <t>対象外</t>
        </is>
      </c>
      <c r="G8" s="49" t="inlineStr">
        <is>
          <t>非課仕入</t>
        </is>
      </c>
      <c r="H8" s="49" t="inlineStr">
        <is>
          <t>2025/09/01</t>
        </is>
      </c>
      <c r="I8" s="49" t="inlineStr">
        <is>
          <t>支払利息</t>
        </is>
      </c>
      <c r="J8" s="49" t="inlineStr">
        <is>
          <t>日本政策金融公庫</t>
        </is>
      </c>
      <c r="K8" s="49" t="inlineStr">
        <is>
          <t>公庫①</t>
        </is>
      </c>
      <c r="L8" s="51" t="inlineStr"/>
      <c r="M8" s="51" t="inlineStr"/>
      <c r="N8" s="51" t="inlineStr"/>
      <c r="O8" s="53" t="n">
        <v>16403</v>
      </c>
      <c r="P8" s="54" t="inlineStr"/>
      <c r="Q8" s="55" t="inlineStr">
        <is>
          <t>🔗</t>
        </is>
      </c>
      <c r="R8" s="55" t="inlineStr">
        <is>
          <t>🔗</t>
        </is>
      </c>
      <c r="S8" s="49" t="n">
        <v>60</v>
      </c>
      <c r="T8" s="49" t="inlineStr">
        <is>
          <t>mild_warning</t>
        </is>
      </c>
      <c r="U8" s="51" t="inlineStr"/>
      <c r="V8" s="51" t="inlineStr"/>
      <c r="W8" s="51" t="inlineStr">
        <is>
          <t>8177261073</t>
        </is>
      </c>
    </row>
    <row r="9">
      <c r="A9" s="49" t="inlineStr"/>
      <c r="B9" s="49" t="inlineStr"/>
      <c r="C9" s="50" t="inlineStr"/>
      <c r="D9" s="51" t="inlineStr"/>
      <c r="E9" s="52" t="inlineStr">
        <is>
          <t>同上</t>
        </is>
      </c>
      <c r="F9" s="49" t="inlineStr">
        <is>
          <t>対象外</t>
        </is>
      </c>
      <c r="G9" s="49" t="inlineStr">
        <is>
          <t>非課仕入</t>
        </is>
      </c>
      <c r="H9" s="49" t="inlineStr">
        <is>
          <t>2025/10/01</t>
        </is>
      </c>
      <c r="I9" s="49" t="inlineStr">
        <is>
          <t>支払利息</t>
        </is>
      </c>
      <c r="J9" s="49" t="inlineStr">
        <is>
          <t>日本政策金融公庫</t>
        </is>
      </c>
      <c r="K9" s="49" t="inlineStr">
        <is>
          <t>公庫①</t>
        </is>
      </c>
      <c r="L9" s="51" t="inlineStr"/>
      <c r="M9" s="51" t="inlineStr"/>
      <c r="N9" s="51" t="inlineStr"/>
      <c r="O9" s="53" t="n">
        <v>15948</v>
      </c>
      <c r="P9" s="54" t="inlineStr"/>
      <c r="Q9" s="55" t="inlineStr">
        <is>
          <t>🔗</t>
        </is>
      </c>
      <c r="R9" s="55" t="inlineStr">
        <is>
          <t>🔗</t>
        </is>
      </c>
      <c r="S9" s="49" t="n">
        <v>60</v>
      </c>
      <c r="T9" s="49" t="inlineStr">
        <is>
          <t>mild_warning</t>
        </is>
      </c>
      <c r="U9" s="51" t="inlineStr"/>
      <c r="V9" s="51" t="inlineStr"/>
      <c r="W9" s="51" t="inlineStr">
        <is>
          <t>9332358988</t>
        </is>
      </c>
    </row>
    <row r="10">
      <c r="A10" s="49" t="inlineStr"/>
      <c r="B10" s="49" t="inlineStr"/>
      <c r="C10" s="50" t="inlineStr"/>
      <c r="D10" s="51" t="inlineStr"/>
      <c r="E10" s="52" t="inlineStr">
        <is>
          <t>同上</t>
        </is>
      </c>
      <c r="F10" s="49" t="inlineStr">
        <is>
          <t>対象外</t>
        </is>
      </c>
      <c r="G10" s="49" t="inlineStr">
        <is>
          <t>非課仕入</t>
        </is>
      </c>
      <c r="H10" s="49" t="inlineStr">
        <is>
          <t>2025/12/01</t>
        </is>
      </c>
      <c r="I10" s="49" t="inlineStr">
        <is>
          <t>支払利息</t>
        </is>
      </c>
      <c r="J10" s="49" t="inlineStr">
        <is>
          <t>日本政策金融公庫</t>
        </is>
      </c>
      <c r="K10" s="49" t="inlineStr">
        <is>
          <t>公庫①</t>
        </is>
      </c>
      <c r="L10" s="51" t="inlineStr"/>
      <c r="M10" s="51" t="inlineStr"/>
      <c r="N10" s="51" t="inlineStr"/>
      <c r="O10" s="53" t="n">
        <v>15213</v>
      </c>
      <c r="P10" s="54" t="inlineStr"/>
      <c r="Q10" s="55" t="inlineStr">
        <is>
          <t>🔗</t>
        </is>
      </c>
      <c r="R10" s="55" t="inlineStr">
        <is>
          <t>🔗</t>
        </is>
      </c>
      <c r="S10" s="49" t="n">
        <v>60</v>
      </c>
      <c r="T10" s="49" t="inlineStr">
        <is>
          <t>mild_warning</t>
        </is>
      </c>
      <c r="U10" s="51" t="inlineStr"/>
      <c r="V10" s="51" t="inlineStr"/>
      <c r="W10" s="51" t="inlineStr">
        <is>
          <t>9332360421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10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4.25"/>
  <cols>
    <col width="9" customWidth="1" style="32" min="1" max="1"/>
    <col width="17.25" bestFit="1" customWidth="1" style="32" min="2" max="2"/>
    <col width="9" customWidth="1" style="32" min="3" max="3"/>
    <col width="35.5" bestFit="1" customWidth="1" style="32" min="4" max="4"/>
    <col width="35.5" customWidth="1" style="32" min="5" max="5"/>
    <col width="13.625" bestFit="1" customWidth="1" style="32" min="6" max="6"/>
    <col width="14.875" bestFit="1" customWidth="1" style="32" min="7" max="7"/>
    <col width="13" bestFit="1" customWidth="1" style="32" min="8" max="8"/>
    <col width="9" customWidth="1" style="32" min="9" max="9"/>
    <col width="14.875" bestFit="1" customWidth="1" style="32" min="10" max="10"/>
    <col width="17.25" bestFit="1" customWidth="1" style="32" min="11" max="11"/>
    <col width="11" bestFit="1" customWidth="1" style="32" min="12" max="12"/>
    <col width="45.375" bestFit="1" customWidth="1" style="32" min="13" max="13"/>
    <col width="9" customWidth="1" style="32" min="14" max="16384"/>
  </cols>
  <sheetData>
    <row r="1">
      <c r="A1" s="32" t="inlineStr">
        <is>
          <t>TC ID</t>
        </is>
      </c>
      <c r="B1" s="32" t="inlineStr">
        <is>
          <t>項目名</t>
        </is>
      </c>
      <c r="C1" s="32" t="inlineStr">
        <is>
          <t>サブタイプ</t>
        </is>
      </c>
      <c r="D1" s="32" t="inlineStr">
        <is>
          <t>判定内容 / 特徴KW</t>
        </is>
      </c>
      <c r="E1" s="32" t="inlineStr">
        <is>
          <t>判定内容</t>
        </is>
      </c>
      <c r="F1" s="32" t="inlineStr">
        <is>
          <t>異常度 (Color)</t>
        </is>
      </c>
      <c r="G1" s="32" t="inlineStr">
        <is>
          <t>エラー型</t>
        </is>
      </c>
      <c r="H1" s="32" t="inlineStr">
        <is>
          <t>エラー型</t>
        </is>
      </c>
      <c r="J1" s="32" t="inlineStr">
        <is>
          <t>TC ID</t>
        </is>
      </c>
      <c r="K1" s="32" t="inlineStr">
        <is>
          <t>項目名</t>
        </is>
      </c>
      <c r="L1" s="32" t="inlineStr">
        <is>
          <t>仕様書準拠</t>
        </is>
      </c>
      <c r="M1" s="32" t="inlineStr">
        <is>
          <t>実装パターン / 特徴</t>
        </is>
      </c>
    </row>
    <row r="2">
      <c r="A2" s="32" t="inlineStr">
        <is>
          <t>TC-01</t>
        </is>
      </c>
      <c r="B2" s="32" t="inlineStr">
        <is>
          <t>売上の税区分検証</t>
        </is>
      </c>
      <c r="C2" s="32" t="inlineStr">
        <is>
          <t>a</t>
        </is>
      </c>
      <c r="D2" s="32" t="inlineStr">
        <is>
          <t>課税売上10% + 別区分KWあり</t>
        </is>
      </c>
      <c r="E2" s="32" t="inlineStr">
        <is>
          <t>課税10%＋別区分KW</t>
        </is>
      </c>
      <c r="F2" s="32" t="inlineStr">
        <is>
          <t>🟡</t>
        </is>
      </c>
      <c r="G2" s="32" t="inlineStr">
        <is>
          <t>reverse_suspect</t>
        </is>
      </c>
      <c r="H2" s="32">
        <f>VLOOKUP(G2,$J$11:$K$15,2,0)</f>
        <v/>
      </c>
      <c r="J2" s="32" t="inlineStr">
        <is>
          <t>TC-01</t>
        </is>
      </c>
      <c r="K2" s="32" t="inlineStr">
        <is>
          <t>売上の税区分検証</t>
        </is>
      </c>
      <c r="L2" s="32" t="inlineStr">
        <is>
          <t>§5.1</t>
        </is>
      </c>
      <c r="M2" s="32" t="inlineStr">
        <is>
          <t>Pattern B派生（税区分起点＋KW双方向）</t>
        </is>
      </c>
    </row>
    <row r="3">
      <c r="C3" s="32" t="inlineStr">
        <is>
          <t>b</t>
        </is>
      </c>
      <c r="D3" s="32" t="inlineStr">
        <is>
          <t>課税売上8%(軽) + 食品系でない</t>
        </is>
      </c>
      <c r="E3" s="32" t="inlineStr">
        <is>
          <t>軽減8%だが食品外</t>
        </is>
      </c>
      <c r="F3" s="32" t="inlineStr">
        <is>
          <t>🔴</t>
        </is>
      </c>
      <c r="G3" s="32" t="inlineStr">
        <is>
          <t>direct_error</t>
        </is>
      </c>
      <c r="H3" s="32">
        <f>VLOOKUP(G3,$J$11:$K$15,2,0)</f>
        <v/>
      </c>
      <c r="J3" s="32" t="inlineStr">
        <is>
          <t>TC-02</t>
        </is>
      </c>
      <c r="K3" s="32" t="inlineStr">
        <is>
          <t>土地・住宅家賃</t>
        </is>
      </c>
      <c r="L3" s="32" t="inlineStr">
        <is>
          <t>§5.2</t>
        </is>
      </c>
      <c r="M3" s="32" t="inlineStr">
        <is>
          <t>最も複雑なロジック（Phase 4山場）</t>
        </is>
      </c>
    </row>
    <row r="4">
      <c r="C4" s="32" t="inlineStr">
        <is>
          <t>c</t>
        </is>
      </c>
      <c r="D4" s="32" t="inlineStr">
        <is>
          <t>輸出売上 + 海外KWなし</t>
        </is>
      </c>
      <c r="E4" s="32" t="inlineStr">
        <is>
          <t>輸出売上・海外KWなし</t>
        </is>
      </c>
      <c r="F4" s="32" t="inlineStr">
        <is>
          <t>🔴</t>
        </is>
      </c>
      <c r="G4" s="32" t="inlineStr">
        <is>
          <t>direct_error</t>
        </is>
      </c>
      <c r="H4" s="32">
        <f>VLOOKUP(G4,$J$11:$K$15,2,0)</f>
        <v/>
      </c>
      <c r="J4" s="32" t="inlineStr">
        <is>
          <t>TC-03</t>
        </is>
      </c>
      <c r="K4" s="32" t="inlineStr">
        <is>
          <t>給与・法定福利費</t>
        </is>
      </c>
      <c r="L4" s="32" t="inlineStr">
        <is>
          <t>§5.3</t>
        </is>
      </c>
      <c r="M4" s="32" t="inlineStr">
        <is>
          <t>給与系・法定福利費の基本的な課税誤り判定</t>
        </is>
      </c>
    </row>
    <row r="5">
      <c r="C5" s="32" t="inlineStr">
        <is>
          <t>d</t>
        </is>
      </c>
      <c r="D5" s="32" t="inlineStr">
        <is>
          <t>非課売上 + 例外KWなし</t>
        </is>
      </c>
      <c r="E5" s="32" t="inlineStr">
        <is>
          <t>非課売上・例外なし</t>
        </is>
      </c>
      <c r="F5" s="32" t="inlineStr">
        <is>
          <t>🔴</t>
        </is>
      </c>
      <c r="G5" s="32" t="inlineStr">
        <is>
          <t>direct_error</t>
        </is>
      </c>
      <c r="H5" s="32">
        <f>VLOOKUP(G5,$J$11:$K$15,2,0)</f>
        <v/>
      </c>
      <c r="J5" s="32" t="inlineStr">
        <is>
          <t>TC-04</t>
        </is>
      </c>
      <c r="K5" s="32" t="inlineStr">
        <is>
          <t>受取利息・配当等</t>
        </is>
      </c>
      <c r="L5" s="32" t="inlineStr">
        <is>
          <t>§5.4</t>
        </is>
      </c>
      <c r="M5" s="32" t="inlineStr">
        <is>
          <t>Pattern B（科目カテゴリ×税区分マトリクス）の模範</t>
        </is>
      </c>
    </row>
    <row r="6">
      <c r="C6" s="32" t="inlineStr">
        <is>
          <t>e</t>
        </is>
      </c>
      <c r="D6" s="32" t="inlineStr">
        <is>
          <t>対象外 + 例外KWなし</t>
        </is>
      </c>
      <c r="E6" s="32" t="inlineStr">
        <is>
          <t>対象外・例外なし</t>
        </is>
      </c>
      <c r="F6" s="32" t="inlineStr">
        <is>
          <t>🔴</t>
        </is>
      </c>
      <c r="G6" s="32" t="inlineStr">
        <is>
          <t>direct_error</t>
        </is>
      </c>
      <c r="H6" s="32">
        <f>VLOOKUP(G6,$J$11:$K$15,2,0)</f>
        <v/>
      </c>
      <c r="J6" s="32" t="inlineStr">
        <is>
          <t>TC-05</t>
        </is>
      </c>
      <c r="K6" s="32" t="inlineStr">
        <is>
          <t>支払利息・保険料</t>
        </is>
      </c>
      <c r="L6" s="32" t="inlineStr">
        <is>
          <t>§5.5</t>
        </is>
      </c>
      <c r="M6" s="32" t="inlineStr">
        <is>
          <t>Pattern B＋動的エリア＋デュアルルート</t>
        </is>
      </c>
    </row>
    <row r="7">
      <c r="A7" s="32" t="inlineStr">
        <is>
          <t>TC-02</t>
        </is>
      </c>
      <c r="B7" s="32" t="inlineStr">
        <is>
          <t>土地・住宅家賃</t>
        </is>
      </c>
      <c r="C7" s="32" t="inlineStr">
        <is>
          <t>a</t>
        </is>
      </c>
      <c r="D7" s="32" t="inlineStr">
        <is>
          <t>土地取引が課税</t>
        </is>
      </c>
      <c r="E7" s="32" t="inlineStr">
        <is>
          <t>土地取引が課税</t>
        </is>
      </c>
      <c r="F7" s="32" t="inlineStr">
        <is>
          <t>🔴</t>
        </is>
      </c>
      <c r="G7" s="32" t="inlineStr">
        <is>
          <t>direct_error</t>
        </is>
      </c>
      <c r="H7" s="32">
        <f>VLOOKUP(G7,$J$11:$K$15,2,0)</f>
        <v/>
      </c>
      <c r="J7" s="32" t="inlineStr">
        <is>
          <t>TC-06</t>
        </is>
      </c>
      <c r="K7" s="32" t="inlineStr">
        <is>
          <t>租税公課</t>
        </is>
      </c>
      <c r="L7" s="32" t="inlineStr">
        <is>
          <t>§5.6</t>
        </is>
      </c>
      <c r="M7" s="32" t="inlineStr">
        <is>
          <t>Pattern C（原則判定＋例外KW補正型）</t>
        </is>
      </c>
    </row>
    <row r="8">
      <c r="C8" s="32" t="inlineStr">
        <is>
          <t>b</t>
        </is>
      </c>
      <c r="D8" s="32" t="inlineStr">
        <is>
          <t>受取家賃(住宅)が課税売上</t>
        </is>
      </c>
      <c r="E8" s="32" t="inlineStr">
        <is>
          <t>住宅家賃（受取）が課税</t>
        </is>
      </c>
      <c r="F8" s="32" t="inlineStr">
        <is>
          <t>🔴</t>
        </is>
      </c>
      <c r="G8" s="32" t="inlineStr">
        <is>
          <t>direct_error</t>
        </is>
      </c>
      <c r="H8" s="32">
        <f>VLOOKUP(G8,$J$11:$K$15,2,0)</f>
        <v/>
      </c>
      <c r="J8" s="32" t="inlineStr">
        <is>
          <t>TC-07</t>
        </is>
      </c>
      <c r="K8" s="32" t="inlineStr">
        <is>
          <t>福利厚生費</t>
        </is>
      </c>
      <c r="L8" s="32" t="inlineStr">
        <is>
          <t>§5.7</t>
        </is>
      </c>
      <c r="M8" s="32" t="inlineStr">
        <is>
          <t>Pattern D（KW優先順位ディスパッチ型）</t>
        </is>
      </c>
    </row>
    <row r="9">
      <c r="C9" s="32" t="inlineStr">
        <is>
          <t>c</t>
        </is>
      </c>
      <c r="D9" s="32" t="inlineStr">
        <is>
          <t>支払家賃(住宅用)が課税仕入</t>
        </is>
      </c>
      <c r="E9" s="32" t="inlineStr">
        <is>
          <t>住宅家賃（支払）が課税</t>
        </is>
      </c>
      <c r="F9" s="32" t="inlineStr">
        <is>
          <t>🔴</t>
        </is>
      </c>
      <c r="G9" s="32" t="inlineStr">
        <is>
          <t>direct_error</t>
        </is>
      </c>
      <c r="H9" s="32">
        <f>VLOOKUP(G9,$J$11:$K$15,2,0)</f>
        <v/>
      </c>
    </row>
    <row r="10">
      <c r="C10" s="32" t="inlineStr">
        <is>
          <t>d</t>
        </is>
      </c>
      <c r="D10" s="32" t="inlineStr">
        <is>
          <t>駐車場・付随設備の判定要確認</t>
        </is>
      </c>
      <c r="E10" s="32" t="inlineStr">
        <is>
          <t>駐車場判定要確認</t>
        </is>
      </c>
      <c r="F10" s="32" t="inlineStr">
        <is>
          <t>🟡</t>
        </is>
      </c>
      <c r="G10" s="32" t="inlineStr">
        <is>
          <t>gray_review</t>
        </is>
      </c>
      <c r="H10" s="32">
        <f>VLOOKUP(G10,$J$11:$K$15,2,0)</f>
        <v/>
      </c>
    </row>
    <row r="11">
      <c r="C11" s="32" t="inlineStr">
        <is>
          <t>e</t>
        </is>
      </c>
      <c r="D11" s="32" t="inlineStr">
        <is>
          <t>受取家賃が非課売上 + 事業用KW</t>
        </is>
      </c>
      <c r="E11" s="32" t="inlineStr">
        <is>
          <t>受取家賃（非課）＋事業用KW</t>
        </is>
      </c>
      <c r="F11" s="32" t="inlineStr">
        <is>
          <t>🟡</t>
        </is>
      </c>
      <c r="G11" s="32" t="inlineStr">
        <is>
          <t>reverse_suspect</t>
        </is>
      </c>
      <c r="H11" s="32">
        <f>VLOOKUP(G11,$J$11:$K$15,2,0)</f>
        <v/>
      </c>
      <c r="J11" s="32" t="inlineStr">
        <is>
          <t>用語</t>
        </is>
      </c>
      <c r="K11" s="32" t="inlineStr">
        <is>
          <t>日本語訳（推奨）</t>
        </is>
      </c>
      <c r="L11" s="32" t="inlineStr">
        <is>
          <t>ニュアンス・意味</t>
        </is>
      </c>
    </row>
    <row r="12">
      <c r="C12" s="32" t="inlineStr">
        <is>
          <t>f</t>
        </is>
      </c>
      <c r="D12" s="32" t="inlineStr">
        <is>
          <t>支払家賃が非課仕入 + 事業用KW</t>
        </is>
      </c>
      <c r="E12" s="32" t="inlineStr">
        <is>
          <t>支払家賃（非課）＋事業用KW</t>
        </is>
      </c>
      <c r="F12" s="32" t="inlineStr">
        <is>
          <t>🟡</t>
        </is>
      </c>
      <c r="G12" s="32" t="inlineStr">
        <is>
          <t>reverse_suspect</t>
        </is>
      </c>
      <c r="H12" s="32">
        <f>VLOOKUP(G12,$J$11:$K$15,2,0)</f>
        <v/>
      </c>
      <c r="J12" s="32" t="inlineStr">
        <is>
          <t>direct_error</t>
        </is>
      </c>
      <c r="K12" s="32" t="inlineStr">
        <is>
          <t>明確な誤り</t>
        </is>
      </c>
      <c r="L12" s="32" t="inlineStr">
        <is>
          <t>ロジック上、明らかに「間違い」と断定できるもの。</t>
        </is>
      </c>
    </row>
    <row r="13">
      <c r="A13" s="32" t="inlineStr">
        <is>
          <t>TC-03</t>
        </is>
      </c>
      <c r="B13" s="32" t="inlineStr">
        <is>
          <t>給与・法定福利費</t>
        </is>
      </c>
      <c r="C13" s="32" t="inlineStr">
        <is>
          <t>a</t>
        </is>
      </c>
      <c r="D13" s="32" t="inlineStr">
        <is>
          <t>給与系が課税区分</t>
        </is>
      </c>
      <c r="E13" s="32" t="inlineStr">
        <is>
          <t>給与が課税区分</t>
        </is>
      </c>
      <c r="F13" s="32" t="inlineStr">
        <is>
          <t>🔴</t>
        </is>
      </c>
      <c r="G13" s="32" t="inlineStr">
        <is>
          <t>direct_error</t>
        </is>
      </c>
      <c r="H13" s="32">
        <f>VLOOKUP(G13,$J$11:$K$15,2,0)</f>
        <v/>
      </c>
      <c r="J13" s="32" t="inlineStr">
        <is>
          <t>reverse_suspect</t>
        </is>
      </c>
      <c r="K13" s="32" t="inlineStr">
        <is>
          <t>逆の可能性あり</t>
        </is>
      </c>
      <c r="L13" s="32" t="inlineStr">
        <is>
          <t>「本来こうあるべき」という条件と反対の処理がされている疑い。</t>
        </is>
      </c>
    </row>
    <row r="14">
      <c r="C14" s="32" t="inlineStr">
        <is>
          <t>b</t>
        </is>
      </c>
      <c r="D14" s="32" t="inlineStr">
        <is>
          <t>法定福利費が課税区分</t>
        </is>
      </c>
      <c r="E14" s="32" t="inlineStr">
        <is>
          <t>法定福利費が課税</t>
        </is>
      </c>
      <c r="F14" s="32" t="inlineStr">
        <is>
          <t>🔴</t>
        </is>
      </c>
      <c r="G14" s="32" t="inlineStr">
        <is>
          <t>direct_error</t>
        </is>
      </c>
      <c r="H14" s="32">
        <f>VLOOKUP(G14,$J$11:$K$15,2,0)</f>
        <v/>
      </c>
      <c r="J14" s="32" t="inlineStr">
        <is>
          <t>gray_review</t>
        </is>
      </c>
      <c r="K14" s="32" t="inlineStr">
        <is>
          <t>判断が必要</t>
        </is>
      </c>
      <c r="L14" s="32" t="inlineStr">
        <is>
          <t>白黒つけられないため、人間による目視確認が必要なもの。</t>
        </is>
      </c>
    </row>
    <row r="15">
      <c r="C15" s="32" t="inlineStr">
        <is>
          <t>c</t>
        </is>
      </c>
      <c r="D15" s="32" t="inlineStr">
        <is>
          <t>法定福利費が対象外（許容）</t>
        </is>
      </c>
      <c r="E15" s="32" t="inlineStr">
        <is>
          <t>法定福利費は対象外OK</t>
        </is>
      </c>
      <c r="F15" s="32" t="inlineStr">
        <is>
          <t>🟢</t>
        </is>
      </c>
      <c r="G15" s="32" t="inlineStr">
        <is>
          <t>mild_warning</t>
        </is>
      </c>
      <c r="H15" s="32">
        <f>VLOOKUP(G15,$J$11:$K$15,2,0)</f>
        <v/>
      </c>
      <c r="J15" s="32" t="inlineStr">
        <is>
          <t>mild_warning</t>
        </is>
      </c>
      <c r="K15" s="32" t="inlineStr">
        <is>
          <t>問題なし</t>
        </is>
      </c>
      <c r="L15" s="32" t="inlineStr">
        <is>
          <t>間違いではない可能性が高いが、念のため留意すべき事項。</t>
        </is>
      </c>
    </row>
    <row r="16">
      <c r="A16" s="32" t="inlineStr">
        <is>
          <t>TC-04</t>
        </is>
      </c>
      <c r="B16" s="32" t="inlineStr">
        <is>
          <t>受取利息・配当等</t>
        </is>
      </c>
      <c r="C16" s="32" t="inlineStr">
        <is>
          <t>a</t>
        </is>
      </c>
      <c r="D16" s="32" t="inlineStr">
        <is>
          <t>受取利息が課税売上</t>
        </is>
      </c>
      <c r="E16" s="32" t="inlineStr">
        <is>
          <t>受取利息が課税</t>
        </is>
      </c>
      <c r="F16" s="32" t="inlineStr">
        <is>
          <t>🔴</t>
        </is>
      </c>
      <c r="G16" s="32" t="inlineStr">
        <is>
          <t>direct_error</t>
        </is>
      </c>
      <c r="H16" s="32">
        <f>VLOOKUP(G16,$J$11:$K$15,2,0)</f>
        <v/>
      </c>
    </row>
    <row r="17">
      <c r="C17" s="32" t="inlineStr">
        <is>
          <t>b</t>
        </is>
      </c>
      <c r="D17" s="32" t="inlineStr">
        <is>
          <t>配当金等が課税売上</t>
        </is>
      </c>
      <c r="E17" s="32" t="inlineStr">
        <is>
          <t>配当が課税</t>
        </is>
      </c>
      <c r="F17" s="32" t="inlineStr">
        <is>
          <t>🔴</t>
        </is>
      </c>
      <c r="G17" s="32" t="inlineStr">
        <is>
          <t>direct_error</t>
        </is>
      </c>
      <c r="H17" s="32">
        <f>VLOOKUP(G17,$J$11:$K$15,2,0)</f>
        <v/>
      </c>
    </row>
    <row r="18">
      <c r="C18" s="32" t="inlineStr">
        <is>
          <t>c</t>
        </is>
      </c>
      <c r="D18" s="32" t="inlineStr">
        <is>
          <t>受取利息が対象外（許容/aと排他）</t>
        </is>
      </c>
      <c r="E18" s="32" t="inlineStr">
        <is>
          <t>受取利息は対象外OK</t>
        </is>
      </c>
      <c r="F18" s="32" t="inlineStr">
        <is>
          <t>🟢</t>
        </is>
      </c>
      <c r="G18" s="32" t="inlineStr">
        <is>
          <t>mild_warning</t>
        </is>
      </c>
      <c r="H18" s="32">
        <f>VLOOKUP(G18,$J$11:$K$15,2,0)</f>
        <v/>
      </c>
    </row>
    <row r="19">
      <c r="C19" s="32" t="inlineStr">
        <is>
          <t>d</t>
        </is>
      </c>
      <c r="D19" s="32" t="inlineStr">
        <is>
          <t>配当金等が非課売上（許容/bと排他）</t>
        </is>
      </c>
      <c r="E19" s="32" t="inlineStr">
        <is>
          <t>配当は非課OK</t>
        </is>
      </c>
      <c r="F19" s="32" t="inlineStr">
        <is>
          <t>🟢</t>
        </is>
      </c>
      <c r="G19" s="32" t="inlineStr">
        <is>
          <t>mild_warning</t>
        </is>
      </c>
      <c r="H19" s="32">
        <f>VLOOKUP(G19,$J$11:$K$15,2,0)</f>
        <v/>
      </c>
    </row>
    <row r="20">
      <c r="C20" s="32" t="inlineStr">
        <is>
          <t>e</t>
        </is>
      </c>
      <c r="D20" s="32" t="inlineStr">
        <is>
          <t>損害賠償金の課税性確認</t>
        </is>
      </c>
      <c r="E20" s="32" t="inlineStr">
        <is>
          <t>損害賠償は要確認</t>
        </is>
      </c>
      <c r="F20" s="32" t="inlineStr">
        <is>
          <t>🟡</t>
        </is>
      </c>
      <c r="G20" s="32" t="inlineStr">
        <is>
          <t>gray_review</t>
        </is>
      </c>
      <c r="H20" s="32">
        <f>VLOOKUP(G20,$J$11:$K$15,2,0)</f>
        <v/>
      </c>
    </row>
    <row r="21">
      <c r="C21" s="32" t="inlineStr">
        <is>
          <t>f</t>
        </is>
      </c>
      <c r="D21" s="32" t="inlineStr">
        <is>
          <t>雑収入でKWマッチ</t>
        </is>
      </c>
      <c r="E21" s="32" t="inlineStr">
        <is>
          <t>雑収入でKW一致</t>
        </is>
      </c>
      <c r="F21" s="32" t="inlineStr">
        <is>
          <t>🟡</t>
        </is>
      </c>
      <c r="G21" s="32" t="inlineStr">
        <is>
          <t>reverse_suspect</t>
        </is>
      </c>
      <c r="H21" s="32">
        <f>VLOOKUP(G21,$J$11:$K$15,2,0)</f>
        <v/>
      </c>
    </row>
    <row r="22">
      <c r="A22" s="32" t="inlineStr">
        <is>
          <t>TC-05</t>
        </is>
      </c>
      <c r="B22" s="32" t="inlineStr">
        <is>
          <t>支払利息・保険料</t>
        </is>
      </c>
      <c r="C22" s="32" t="inlineStr">
        <is>
          <t>a</t>
        </is>
      </c>
      <c r="D22" s="32" t="inlineStr">
        <is>
          <t>支払利息が課税/非課売上 (A11)</t>
        </is>
      </c>
      <c r="E22" s="32" t="inlineStr">
        <is>
          <t>支払利息が課税扱い</t>
        </is>
      </c>
      <c r="F22" s="32" t="inlineStr">
        <is>
          <t>🟡</t>
        </is>
      </c>
      <c r="G22" s="32" t="inlineStr">
        <is>
          <t>direct_error</t>
        </is>
      </c>
      <c r="H22" s="32">
        <f>VLOOKUP(G22,$J$11:$K$15,2,0)</f>
        <v/>
      </c>
    </row>
    <row r="23">
      <c r="C23" s="32" t="inlineStr">
        <is>
          <t>b</t>
        </is>
      </c>
      <c r="D23" s="32" t="inlineStr">
        <is>
          <t>保険料が課税/非課売上 (A10)</t>
        </is>
      </c>
      <c r="E23" s="32" t="inlineStr">
        <is>
          <t>保険料が課税扱い</t>
        </is>
      </c>
      <c r="F23" s="32" t="inlineStr">
        <is>
          <t>🟡</t>
        </is>
      </c>
      <c r="G23" s="32" t="inlineStr">
        <is>
          <t>direct_error</t>
        </is>
      </c>
      <c r="H23" s="32">
        <f>VLOOKUP(G23,$J$11:$K$15,2,0)</f>
        <v/>
      </c>
    </row>
    <row r="24">
      <c r="C24" s="32" t="inlineStr">
        <is>
          <t>c</t>
        </is>
      </c>
      <c r="D24" s="32" t="inlineStr">
        <is>
          <t>支払利息が対象外 (A11/aと排他)</t>
        </is>
      </c>
      <c r="E24" s="32" t="inlineStr">
        <is>
          <t>支払利息は対象外OK</t>
        </is>
      </c>
      <c r="F24" s="32" t="inlineStr">
        <is>
          <t>🟢</t>
        </is>
      </c>
      <c r="G24" s="32" t="inlineStr">
        <is>
          <t>mild_warning</t>
        </is>
      </c>
      <c r="H24" s="32">
        <f>VLOOKUP(G24,$J$11:$K$15,2,0)</f>
        <v/>
      </c>
    </row>
    <row r="25">
      <c r="C25" s="32" t="inlineStr">
        <is>
          <t>d</t>
        </is>
      </c>
      <c r="D25" s="32" t="inlineStr">
        <is>
          <t>保険料が対象外 (A10/bと排他)</t>
        </is>
      </c>
      <c r="E25" s="32" t="inlineStr">
        <is>
          <t>保険料は対象外OK</t>
        </is>
      </c>
      <c r="F25" s="32" t="inlineStr">
        <is>
          <t>🟢</t>
        </is>
      </c>
      <c r="G25" s="32" t="inlineStr">
        <is>
          <t>mild_warning</t>
        </is>
      </c>
      <c r="H25" s="32">
        <f>VLOOKUP(G25,$J$11:$K$15,2,0)</f>
        <v/>
      </c>
    </row>
    <row r="26">
      <c r="C26" s="32" t="inlineStr">
        <is>
          <t>e</t>
        </is>
      </c>
      <c r="D26" s="32" t="inlineStr">
        <is>
          <t>保証料疑い（デュアルルート）</t>
        </is>
      </c>
      <c r="E26" s="32" t="inlineStr">
        <is>
          <t>保証料の可能性</t>
        </is>
      </c>
      <c r="F26" s="32" t="inlineStr">
        <is>
          <t>🟡</t>
        </is>
      </c>
      <c r="G26" s="32" t="inlineStr">
        <is>
          <t>gray_review</t>
        </is>
      </c>
      <c r="H26" s="32">
        <f>VLOOKUP(G26,$J$11:$K$15,2,0)</f>
        <v/>
      </c>
    </row>
    <row r="27">
      <c r="A27" s="32" t="inlineStr">
        <is>
          <t>TC-06</t>
        </is>
      </c>
      <c r="B27" s="32" t="inlineStr">
        <is>
          <t>租税公課</t>
        </is>
      </c>
      <c r="C27" s="32" t="inlineStr">
        <is>
          <t>a</t>
        </is>
      </c>
      <c r="D27" s="32" t="inlineStr">
        <is>
          <t>租税公課が課税仕入（例外KW除外可）</t>
        </is>
      </c>
      <c r="E27" s="32" t="inlineStr">
        <is>
          <t>租税公課が課税</t>
        </is>
      </c>
      <c r="F27" s="32" t="inlineStr">
        <is>
          <t>🔴</t>
        </is>
      </c>
      <c r="G27" s="32" t="inlineStr">
        <is>
          <t>direct_error</t>
        </is>
      </c>
      <c r="H27" s="32">
        <f>VLOOKUP(G27,$J$11:$K$15,2,0)</f>
        <v/>
      </c>
    </row>
    <row r="28">
      <c r="C28" s="32" t="inlineStr">
        <is>
          <t>b</t>
        </is>
      </c>
      <c r="D28" s="32" t="inlineStr">
        <is>
          <t>法人税等が課税区分 (Conf: 95)</t>
        </is>
      </c>
      <c r="E28" s="32" t="inlineStr">
        <is>
          <t>法人税等が課税区分</t>
        </is>
      </c>
      <c r="F28" s="32" t="inlineStr">
        <is>
          <t>🔴</t>
        </is>
      </c>
      <c r="G28" s="32" t="inlineStr">
        <is>
          <t>direct_error</t>
        </is>
      </c>
      <c r="H28" s="32">
        <f>VLOOKUP(G28,$J$11:$K$15,2,0)</f>
        <v/>
      </c>
    </row>
    <row r="29">
      <c r="C29" s="32" t="inlineStr">
        <is>
          <t>c</t>
        </is>
      </c>
      <c r="D29" s="32" t="inlineStr">
        <is>
          <t>租税公課が非課仕入 (aと排他)</t>
        </is>
      </c>
      <c r="E29" s="32" t="inlineStr">
        <is>
          <t>租税公課は非課OK</t>
        </is>
      </c>
      <c r="F29" s="32" t="inlineStr">
        <is>
          <t>🟢</t>
        </is>
      </c>
      <c r="G29" s="32" t="inlineStr">
        <is>
          <t>mild_warning</t>
        </is>
      </c>
      <c r="H29" s="32">
        <f>VLOOKUP(G29,$J$11:$K$15,2,0)</f>
        <v/>
      </c>
    </row>
    <row r="30">
      <c r="C30" s="32" t="inlineStr">
        <is>
          <t>d</t>
        </is>
      </c>
      <c r="D30" s="32" t="inlineStr">
        <is>
          <t>軽油引取税の判定要確認 (V1-3-30へ)</t>
        </is>
      </c>
      <c r="E30" s="32" t="inlineStr">
        <is>
          <t>軽油引取税は要確認</t>
        </is>
      </c>
      <c r="F30" s="32" t="inlineStr">
        <is>
          <t>🟡</t>
        </is>
      </c>
      <c r="G30" s="32" t="inlineStr">
        <is>
          <t>gray_review</t>
        </is>
      </c>
      <c r="H30" s="32">
        <f>VLOOKUP(G30,$J$11:$K$15,2,0)</f>
        <v/>
      </c>
    </row>
    <row r="31">
      <c r="C31" s="32" t="inlineStr">
        <is>
          <t>e</t>
        </is>
      </c>
      <c r="D31" s="32" t="inlineStr">
        <is>
          <t>ゴルフ場利用税・入湯税の判定要確認</t>
        </is>
      </c>
      <c r="E31" s="32" t="inlineStr">
        <is>
          <t>ゴルフ・入湯税は要確認</t>
        </is>
      </c>
      <c r="F31" s="32" t="inlineStr">
        <is>
          <t>🟡</t>
        </is>
      </c>
      <c r="G31" s="32" t="inlineStr">
        <is>
          <t>gray_review</t>
        </is>
      </c>
      <c r="H31" s="32">
        <f>VLOOKUP(G31,$J$11:$K$15,2,0)</f>
        <v/>
      </c>
    </row>
    <row r="32">
      <c r="A32" s="32" t="inlineStr">
        <is>
          <t>TC-07</t>
        </is>
      </c>
      <c r="B32" s="32" t="inlineStr">
        <is>
          <t>福利厚生費</t>
        </is>
      </c>
      <c r="C32" s="32" t="inlineStr">
        <is>
          <t>a</t>
        </is>
      </c>
      <c r="D32" s="32" t="inlineStr">
        <is>
          <t>慶弔見舞金が課税仕入 (Conf: 90)</t>
        </is>
      </c>
      <c r="E32" s="32" t="inlineStr">
        <is>
          <t>慶弔見舞金が課税</t>
        </is>
      </c>
      <c r="F32" s="32" t="inlineStr">
        <is>
          <t>🔴</t>
        </is>
      </c>
      <c r="G32" s="32" t="inlineStr">
        <is>
          <t>direct_error</t>
        </is>
      </c>
      <c r="H32" s="32">
        <f>VLOOKUP(G32,$J$11:$K$15,2,0)</f>
        <v/>
      </c>
    </row>
    <row r="33">
      <c r="C33" s="32" t="inlineStr">
        <is>
          <t>b</t>
        </is>
      </c>
      <c r="D33" s="32" t="inlineStr">
        <is>
          <t>商品券等が課税仕入 (Conf: 90)</t>
        </is>
      </c>
      <c r="E33" s="32" t="inlineStr">
        <is>
          <t>商品券が課税</t>
        </is>
      </c>
      <c r="F33" s="32" t="inlineStr">
        <is>
          <t>🔴</t>
        </is>
      </c>
      <c r="G33" s="32" t="inlineStr">
        <is>
          <t>direct_error</t>
        </is>
      </c>
      <c r="H33" s="32">
        <f>VLOOKUP(G33,$J$11:$K$15,2,0)</f>
        <v/>
      </c>
    </row>
    <row r="34">
      <c r="C34" s="32" t="inlineStr">
        <is>
          <t>c</t>
        </is>
      </c>
      <c r="D34" s="32" t="inlineStr">
        <is>
          <t>慶弔見舞金が非課仕入</t>
        </is>
      </c>
      <c r="E34" s="32" t="inlineStr">
        <is>
          <t>慶弔見舞金は非課</t>
        </is>
      </c>
      <c r="F34" s="32" t="inlineStr">
        <is>
          <t>🟡</t>
        </is>
      </c>
      <c r="G34" s="32" t="inlineStr">
        <is>
          <t>direct_error</t>
        </is>
      </c>
      <c r="H34" s="32">
        <f>VLOOKUP(G34,$J$11:$K$15,2,0)</f>
        <v/>
      </c>
    </row>
    <row r="35">
      <c r="C35" s="32" t="inlineStr">
        <is>
          <t>d</t>
        </is>
      </c>
      <c r="D35" s="32" t="inlineStr">
        <is>
          <t>商品券等が対象外</t>
        </is>
      </c>
      <c r="E35" s="32" t="inlineStr">
        <is>
          <t>商品券は対象外</t>
        </is>
      </c>
      <c r="F35" s="32" t="inlineStr">
        <is>
          <t>🟡</t>
        </is>
      </c>
      <c r="G35" s="32" t="inlineStr">
        <is>
          <t>direct_error</t>
        </is>
      </c>
      <c r="H35" s="32">
        <f>VLOOKUP(G35,$J$11:$K$15,2,0)</f>
        <v/>
      </c>
    </row>
    <row r="36">
      <c r="C36" s="32" t="inlineStr">
        <is>
          <t>e</t>
        </is>
      </c>
      <c r="D36" s="32" t="inlineStr">
        <is>
          <t>課税KWが対象外/非課仕入</t>
        </is>
      </c>
      <c r="E36" s="32" t="inlineStr">
        <is>
          <t>課税KWなのに非課/対象外</t>
        </is>
      </c>
      <c r="F36" s="32" t="inlineStr">
        <is>
          <t>🟡</t>
        </is>
      </c>
      <c r="G36" s="32" t="inlineStr">
        <is>
          <t>reverse_suspect</t>
        </is>
      </c>
      <c r="H36" s="32">
        <f>VLOOKUP(G36,$J$11:$K$15,2,0)</f>
        <v/>
      </c>
    </row>
    <row r="37">
      <c r="C37" s="32" t="inlineStr">
        <is>
          <t>f</t>
        </is>
      </c>
      <c r="D37" s="32" t="inlineStr">
        <is>
          <t>食品KWが10% (V1-3-20へ)</t>
        </is>
      </c>
      <c r="E37" s="32" t="inlineStr">
        <is>
          <t>食品なのに10%</t>
        </is>
      </c>
      <c r="F37" s="32" t="inlineStr">
        <is>
          <t>🟡</t>
        </is>
      </c>
      <c r="G37" s="32" t="inlineStr">
        <is>
          <t>direct_error</t>
        </is>
      </c>
      <c r="H37" s="32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2026-05-02T15:35:37Z</dcterms:modified>
  <cp:lastModifiedBy>Yuya Shirane</cp:lastModifiedBy>
</cp:coreProperties>
</file>