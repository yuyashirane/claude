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<sst xmlns="http://schemas.openxmlformats.org/spreadsheetml/2006/main" count="1244" uniqueCount="448">
  <si>
    <t>リーグソリューションズ株式会社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</si>
  <si>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</si>
  <si>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</si>
  <si>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</si>
  <si>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</si>
  <si>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</si>
  <si>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</si>
  <si>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</si>
  <si>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</si>
  <si>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</si>
  <si>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</si>
  <si>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</si>
  <si>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</si>
  <si>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</si>
  <si>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</si>
  <si>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</si>
  <si>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</si>
  <si>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</si>
  <si>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</si>
  <si>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</si>
  <si>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</si>
  <si>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</si>
  <si>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</si>
  <si>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</si>
  <si>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</si>
  <si>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</si>
  <si>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</si>
  <si>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</si>
  <si>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</si>
  <si>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</si>
  <si>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</si>
  <si>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</si>
  <si>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</si>
  <si>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</si>
  <si>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</si>
  <si>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</si>
  <si>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</si>
  <si>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</si>
  <si>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</si>
  <si>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</si>
  <si>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</si>
  <si>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</si>
  <si>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</si>
  <si>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</si>
  <si>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</si>
  <si>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</si>
  <si>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</si>
  <si>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</si>
  <si>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</si>
  <si>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</si>
  <si>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</si>
  <si>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</si>
  <si>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</si>
  <si>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</si>
  <si>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</si>
  <si>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</si>
  <si>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</si>
  <si>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</si>
  <si>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</si>
  <si>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</si>
  <si>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</si>
  <si>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</si>
  <si>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</si>
  <si>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</si>
  <si>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</si>
  <si>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</si>
  <si>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</si>
  <si>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</si>
  <si>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</si>
  <si>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</si>
  <si>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</si>
  <si>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</si>
  <si>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</si>
  <si>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</si>
  <si>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</si>
  <si>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</si>
  <si>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</si>
  <si>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</si>
  <si>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</si>
  <si>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</si>
  <si>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</si>
  <si>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</si>
  <si>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</si>
  <si>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</si>
  <si>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</si>
  <si>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</si>
  <si>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</si>
  <si>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</si>
  <si>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</si>
  <si>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</si>
  <si>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</si>
  <si>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</si>
  <si>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</si>
  <si>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</si>
  <si>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</si>
  <si>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</si>
  <si>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</si>
  <si>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</si>
  <si>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</si>
  <si>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</si>
  <si>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</si>
  <si>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</si>
  <si>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</si>
  <si>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</si>
  <si>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</si>
  <si>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</si>
  <si>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</si>
  <si>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</si>
  <si>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</si>
  <si>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</si>
  <si>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</si>
  <si>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</si>
  <si>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</si>
  <si>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</si>
  <si>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</si>
  <si>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</si>
  <si>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</si>
  <si>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</si>
  <si>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</si>
  <si>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</si>
  <si>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</si>
  <si>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</si>
  <si>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</si>
  <si>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</si>
  <si>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</si>
  <si>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</si>
  <si>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</si>
  <si>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</si>
  <si>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</si>
  <si>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</si>
  <si>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</si>
  <si>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</si>
  <si>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</si>
  <si>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</si>
  <si>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</si>
  <si>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</si>
  <si>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</si>
  <si>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</si>
  <si>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</si>
  <si>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</si>
  <si>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</si>
  <si>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</si>
  <si>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</si>
  <si>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</si>
  <si>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</si>
  <si>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</si>
  <si>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</si>
  <si>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</si>
  <si>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</si>
  <si>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</si>
  <si>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</si>
  <si>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</si>
  <si>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</si>
  <si>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</si>
  <si>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</si>
  <si>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</si>
  <si>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</si>
  <si>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</si>
  <si>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</si>
  <si>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</si>
  <si>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</si>
  <si>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</si>
  <si>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</si>
  <si>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</si>
  <si>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</si>
  <si>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</si>
  <si>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</si>
  <si>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</si>
  <si>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</si>
  <si>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</si>
  <si>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</si>
  <si>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</si>
  <si>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</si>
  <si>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</si>
  <si>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</si>
  <si>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</si>
  <si>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人件費</t>
  </si>
  <si>
    <t>役員報酬が前月と異なります。当月: 450,000円、前月平均: 459,091円（差額: -9,091円）。役員報酬は定期同額性（税務上の原則）を維持する必要があります。</t>
  </si>
  <si>
    <t>当月: 450,000円</t>
  </si>
  <si>
    <t>前月平均と同額の 459,091円 が正しいか確認してください</t>
  </si>
  <si>
    <t>freeeで確認</t>
  </si>
  <si>
    <t>消費税区分</t>
  </si>
  <si>
    <t>海外サービス「Microsoft 365」（インボイス未登録）の税区分が不適切です。2件（110,814円）。</t>
  </si>
  <si>
    <t>課対仕入10%</t>
  </si>
  <si>
    <t>対象外（インボイス未登録の国外事業者）</t>
  </si>
  <si>
    <t xml:space="preserve">　　2026-02-05  office365社員４人分</t>
  </si>
  <si>
    <t>98,947円</t>
  </si>
  <si>
    <t>明細を開く</t>
  </si>
  <si>
    <t xml:space="preserve">　　2026-02-02  office365桜井さん分</t>
  </si>
  <si>
    <t>11,867円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</si>
  <si>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</si>
  <si>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</si>
  <si>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</si>
  <si>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</si>
  <si>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2026-02-27 に同日・同額（145円）・同科目(ID:216135036)の取引が 3 件あります。重複計上の可能性があります。</t>
  </si>
  <si>
    <t>deal_id: 3317722515, 3317722422, 3317722317</t>
  </si>
  <si>
    <t>重複していないか確認してください</t>
  </si>
  <si>
    <t>2026-02-26 に同日・同額（145円）・同科目(ID:216135036)の取引が 2 件あります。重複計上の可能性があります。</t>
  </si>
  <si>
    <t>deal_id: 3314196790, 3314196731</t>
  </si>
  <si>
    <t>2026-02-25 に同日・同額（145円）・同科目(ID:216135036)の取引が 11 件あります。重複計上の可能性があります。</t>
  </si>
  <si>
    <t>deal_id: 3309591903, 3309591808, 3309591725, 3309591661, 3309591576, 3309591493, 3309591414, 3309591340, 3309591252, 3309591168, 3309591076</t>
  </si>
  <si>
    <t>2026-02-20 に同日・同額（800円）・同科目(ID:216135026)の取引が 2 件あります。重複計上の可能性があります。</t>
  </si>
  <si>
    <t>deal_id: 3416901686, 3416900547</t>
  </si>
  <si>
    <t>2026-02-16 に同日・同額（800円）・同科目(ID:216135026)の取引が 2 件あります。重複計上の可能性があります。</t>
  </si>
  <si>
    <t>deal_id: 3416894408, 3416893061</t>
  </si>
  <si>
    <t>現金・預金</t>
  </si>
  <si>
    <t>「PayPay銀行（API）」の残高が前月比116%増加しています（前月: 3,535,213円 → 当月: 7,620,048円）。</t>
  </si>
  <si>
    <t>7,620,048円</t>
  </si>
  <si>
    <t>大型入出金の内容を確認してください</t>
  </si>
  <si>
    <t>営業外・税金</t>
  </si>
  <si>
    <t>「未払法人税等」に70,000円の残高があります（期首3月から12ヶ月経過）。既に納付済みであれば消込処理が必要です。</t>
  </si>
  <si>
    <t>70,000円</t>
  </si>
  <si>
    <t>納付済みの場合は当座預金からの出金で消込してください</t>
  </si>
  <si>
    <t>「未払消費税等」に668,400円の残高があります（期首3月から12ヶ月経過）。既に納付済みであれば消込処理が必要です。</t>
  </si>
  <si>
    <t>668,400円</t>
  </si>
  <si>
    <t>法定福利費の比率が高すぎます。給与合計 1,247,000円 に対し 法定福利費 470,275円（37.7%）。正常値は概ね14〜15%です。</t>
  </si>
  <si>
    <t>37.7%（給与合計: 1,247,000円、法定福利費: 470,275円）</t>
  </si>
  <si>
    <t>法定福利費は社会保険対象の給与合計の14〜15%程度が正常です</t>
  </si>
  <si>
    <t>外注費</t>
  </si>
  <si>
    <t>「支払手数料」で士業取引先「あしたの会計事務所」への支払 71,060円があります。「預り金（源泉所得税（士業））」残高がゼロのため、未計上の可能性があります。源泉徴収（推定 7,255円 / 10.21%）の計上・納付を確認してください。</t>
  </si>
  <si>
    <t>支払額: 71,060円</t>
  </si>
  <si>
    <t>源泉所得税 約7,255円 を「預り金（源泉所得税（士業））」として計上し、翌月10日までに納付してください</t>
  </si>
  <si>
    <t>「支払手数料」で士業取引先「IPTech弁護士法人」への支払 110,000円があります。「預り金（源泉所得税（士業））」残高がゼロのため、未計上の可能性があります。源泉徴収（推定 11,231円 / 10.21%）の計上・納付を確認してください。</t>
  </si>
  <si>
    <t>支払額: 110,000円</t>
  </si>
  <si>
    <t>源泉所得税 約11,231円 を「預り金（源泉所得税（士業））」として計上し、翌月10日までに納付してください</t>
  </si>
  <si>
    <t>売上・売掛金</t>
  </si>
  <si>
    <t>売上高が前月平均比 321%増加しています（当月: 8,232,950円、前月平均: 1,953,530円）。</t>
  </si>
  <si>
    <t>当月: 8,232,950円</t>
  </si>
  <si>
    <t>季節要因・受注ピーク等の理由がなければ、売上の計上漏れや二重計上を確認してください</t>
  </si>
  <si>
    <t>売上高が前年同月比 229%増加しています（当月: 8,232,950円、前年同月推定: 2,502,884円）。</t>
  </si>
  <si>
    <t>顧客増減・単価変更・業務構成の変化等の背景を確認してください</t>
  </si>
  <si>
    <t>仕入・買掛金</t>
  </si>
  <si>
    <t>「仕入高」が前月平均比 100%減少しています（当月: 0円、前月平均: 181,501円）。</t>
  </si>
  <si>
    <t>当月: 0円</t>
  </si>
  <si>
    <t>季節変動・大口発注以外の原因がなければ、計上漏れや二重計上を確認してください</t>
  </si>
  <si>
    <t>「売上原価」が前月平均比 280%減少しています（当月: -344,709円、前月平均: 191,673円）。</t>
  </si>
  <si>
    <t>当月: -344,709円</t>
  </si>
  <si>
    <t>「未払金」の「TEAMアライアンス株式会社」残高が2ヶ月連続で同額（55,000円）です。支払が滞留している可能性があります。</t>
  </si>
  <si>
    <t>55,000円（前月比変動なし）</t>
  </si>
  <si>
    <t>支払期日を確認し、消込処理または支払を実施してください</t>
  </si>
  <si>
    <t>残高異常</t>
  </si>
  <si>
    <t>「売掛金」が前月比 67% 変動（4,151,620円 → 6,949,250円）。</t>
  </si>
  <si>
    <t>6,949,250円（前月: 4,151,620円、変動率: 67%）</t>
  </si>
  <si>
    <t>変動原因を確認してください</t>
  </si>
  <si>
    <t>「買掛金」が前月比 100% 変動（322,300円 → 0円）。</t>
  </si>
  <si>
    <t>0円（前月: 322,300円、変動率: 100%）</t>
  </si>
  <si>
    <t>「未払金」が前月比 74% 変動（641,360円 → 1,115,631円）。</t>
  </si>
  <si>
    <t>1,115,631円（前月: 641,360円、変動率: 74%）</t>
  </si>
  <si>
    <t>「預り金」が前月比 230% 変動（138,791円 → 457,598円）。 主な取引: 2026-02-15 283,610円 役員賞与、2026-02-15 137,250円 法定福利費、2026-02-15 137,250円 役員賞与 （他9件の取引あり）。</t>
  </si>
  <si>
    <t>457,598円（前月: 138,791円、変動率: 230%）</t>
  </si>
  <si>
    <t xml:space="preserve">　　2026-02-15  源泉所得税</t>
  </si>
  <si>
    <t>283,610円</t>
  </si>
  <si>
    <t>役員賞与</t>
  </si>
  <si>
    <t xml:space="preserve">　　2026-02-15  厚生年金保険料（預り分）</t>
  </si>
  <si>
    <t>137,250円</t>
  </si>
  <si>
    <t>法定福利費</t>
  </si>
  <si>
    <t xml:space="preserve">　　2026-02-15  健康保険料（預り分）</t>
  </si>
  <si>
    <t>127,270円</t>
  </si>
  <si>
    <t>期間配分</t>
  </si>
  <si>
    <t>「支払手数料」で以下の取引先への計上が当月ありません。計上漏れの可能性があります: 「アステック特許事務所」（前月平均: 68,773円/月）、「日本橋知的財産総合事務所」（前月平均: 15,000円/月）、「産業技術総合研究所」（前月平均: 10,680円/月）、「産総研」（前月平均: 6,400円/月）</t>
  </si>
  <si>
    <t>当月 計上なし</t>
  </si>
  <si>
    <t>アステック特許事務所: 約68,773円、日本橋知的財産総合事務所: 約15,000円、産業技術総合研究所: 約10,680円、産総研: 約6,400円</t>
  </si>
  <si>
    <t>食品系キーワードを含む取引1件に標準税率10%が設定されています。軽減税率8%の可能性があります。</t>
  </si>
  <si>
    <t>課対仕入10% × 1件</t>
  </si>
  <si>
    <t>課対仕入8%（軽減）に修正</t>
  </si>
  <si>
    <t xml:space="preserve">　　2026-02-13  展示会ジュース</t>
  </si>
  <si>
    <t>1,265円</t>
  </si>
  <si>
    <t>「支払手数料」に2種類の税区分が混在しています（課対仕入10%: 21件、対象外: 1件）。</t>
  </si>
  <si>
    <t>2種類混在</t>
  </si>
  <si>
    <t>税区分ごとの内訳を確認してください</t>
  </si>
  <si>
    <t xml:space="preserve">　　課対仕入10%（21件・計183,855円）</t>
  </si>
  <si>
    <t>183,855円</t>
  </si>
  <si>
    <t xml:space="preserve">　　対象外（1件・計1,860円）</t>
  </si>
  <si>
    <t>1,860円</t>
  </si>
  <si>
    <t>「雑収入」に2種類の税区分が混在しています（対象外: 1件、非課売上: 1件）。</t>
  </si>
  <si>
    <t xml:space="preserve">　　対象外（1件・計685,000円）</t>
  </si>
  <si>
    <t>685,000円</t>
  </si>
  <si>
    <t xml:space="preserve">　　非課売上（1件・計62,000円）</t>
  </si>
  <si>
    <t>62,000円</t>
  </si>
  <si>
    <t>「地代家賃」に2種類の税区分が混在しています（課対仕入10%: 3件、非課仕入: 1件）。</t>
  </si>
  <si>
    <t xml:space="preserve">　　課対仕入10%（3件・計131,510円）</t>
  </si>
  <si>
    <t>131,510円</t>
  </si>
  <si>
    <t xml:space="preserve">　　非課仕入（1件・計124,000円）</t>
  </si>
  <si>
    <t>124,000円</t>
  </si>
  <si>
    <t>源泉所得税</t>
  </si>
  <si>
    <t>預り金の残高が前月比で大幅に増加しています（138,791円 → 457,598円、増加318,807円）。源泉税の納付漏れの可能性があります。</t>
  </si>
  <si>
    <t>457,598円（前月: 138,791円）</t>
  </si>
  <si>
    <t>源泉所得税の納付状況を確認してください</t>
  </si>
  <si>
    <t>「雑収入」に1,437,346円が計上されています。内容を確認し、適切な科目で記録されているか確認してください。</t>
  </si>
  <si>
    <t>1,437,346円</t>
  </si>
  <si>
    <t>受取手数料・受取保険金等、適切な科目への振替を検討してください</t>
  </si>
  <si>
    <t>受取利息36,458円に対する源泉所得税（15.315%）の計上を確認してください。</t>
  </si>
  <si>
    <t>受取利息: 36,458円</t>
  </si>
  <si>
    <t>源泉税 約5,583円を「法人税・住民税及び事業税」または「仮払法人税等」で処理してください</t>
  </si>
  <si>
    <t>給料手当が前月平均比 48%増加しています（当月: 797,000円、前月平均: 537,455円）。</t>
  </si>
  <si>
    <t>当月: 797,000円</t>
  </si>
  <si>
    <t>入退社・昇給・賞与月などの理由がなければ内容を確認してください</t>
  </si>
  <si>
    <t>「役員賞与」が今月新たに計上されています（2,600,000円）。</t>
  </si>
  <si>
    <t>当月: 2,600,000円</t>
  </si>
  <si>
    <t>計上内容と金額の妥当性を確認してください</t>
  </si>
  <si>
    <t>「広告宣伝費」が前月平均比 8276%変動しています（当月: 43,259円、前月平均: 516円）。</t>
  </si>
  <si>
    <t>当月: 43,259円</t>
  </si>
  <si>
    <t>「租税公課」が前月平均比 956%変動しています（当月: 673,290円、前月平均: 63,764円）。</t>
  </si>
  <si>
    <t>当月: 673,290円</t>
  </si>
  <si>
    <t>「通信費」が前月平均比 566%変動しています（当月: 96,708円、前月平均: 14,531円）。</t>
  </si>
  <si>
    <t>当月: 96,708円</t>
  </si>
  <si>
    <t>「減価償却費」が前月平均比 50%変動しています（当月: 81,745円、前月平均: 54,488円）。</t>
  </si>
  <si>
    <t>当月: 81,745円</t>
  </si>
  <si>
    <t>「支払手数料」の取引先「あしたの会計事務所」が前月平均比 114% 変動しています（前月平均: 33,160円 → 当月: 71,060円）。期間配分の観点から確認を推奨します。</t>
  </si>
  <si>
    <t>当月: 71,060円（前月平均: 33,160円）</t>
  </si>
  <si>
    <t>一時的な金額増減か、契約変更等によるものか確認してください</t>
  </si>
  <si>
    <t>「支払手数料」の取引先「IPTech弁護士法人」が前月平均比 437% 変動しています（前月平均: 20,500円 → 当月: 110,000円）。期間配分の観点から確認を推奨します。</t>
  </si>
  <si>
    <t>当月: 110,000円（前月平均: 20,500円）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</si>
  <si>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</si>
  <si>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</si>
  <si>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</si>
  <si>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</si>
  <si>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</si>
  <si>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</si>
  <si>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</si>
  <si>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</si>
  <si>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</si>
  <si>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</si>
  <si>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</si>
  <si>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</si>
  <si>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</si>
  <si>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</si>
  <si>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PayPay銀行（API）</t>
  </si>
  <si>
    <t>115.5%</t>
  </si>
  <si>
    <t>△</t>
  </si>
  <si>
    <t>元帳を開く</t>
  </si>
  <si>
    <t>千葉銀行(柏の葉キャンパス支店)</t>
  </si>
  <si>
    <t>-14.7%</t>
  </si>
  <si>
    <t>千葉銀行(柏支店)</t>
  </si>
  <si>
    <t>-33.5%</t>
  </si>
  <si>
    <t>売掛金</t>
  </si>
  <si>
    <t>67.4%</t>
  </si>
  <si>
    <t>商品</t>
  </si>
  <si>
    <t>前渡金</t>
  </si>
  <si>
    <t>前払費用</t>
  </si>
  <si>
    <t>-28.2%</t>
  </si>
  <si>
    <t>未収還付法人税等</t>
  </si>
  <si>
    <t>未収入金</t>
  </si>
  <si>
    <t>1939.6%</t>
  </si>
  <si>
    <t>工具器具備品</t>
  </si>
  <si>
    <t>-100.0%</t>
  </si>
  <si>
    <t>ソフトウェア</t>
  </si>
  <si>
    <t>-2.5%</t>
  </si>
  <si>
    <t>敷金</t>
  </si>
  <si>
    <t>0.0%</t>
  </si>
  <si>
    <t>長期前払費用</t>
  </si>
  <si>
    <t>-3.7%</t>
  </si>
  <si>
    <t>保険積立金</t>
  </si>
  <si>
    <t>10.8%</t>
  </si>
  <si>
    <t>買掛金</t>
  </si>
  <si>
    <t>未払金</t>
  </si>
  <si>
    <t>73.9%</t>
  </si>
  <si>
    <t>freeeカード　ライト（Master）</t>
  </si>
  <si>
    <t>-30.2%</t>
  </si>
  <si>
    <t>立替経費(大森)</t>
  </si>
  <si>
    <t>未払法人税等</t>
  </si>
  <si>
    <t>未払消費税等</t>
  </si>
  <si>
    <t>預り金</t>
  </si>
  <si>
    <t>229.7%</t>
  </si>
  <si>
    <t>長期借入金</t>
  </si>
  <si>
    <t>-1.9%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</si>
  <si>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</si>
  <si>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</si>
  <si>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</si>
  <si>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</si>
  <si>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</si>
  <si>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</si>
  <si>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</si>
  <si>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</si>
  <si>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</si>
  <si>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</si>
  <si>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</si>
  <si>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</si>
  <si>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</si>
  <si>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</si>
  <si>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</si>
  <si>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</si>
  <si>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</si>
  <si>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</si>
  <si>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</si>
  <si>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</si>
  <si>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役員賞与</t>
  </si>
  <si>
    <t xml:space="preserve">  給料手当</t>
  </si>
  <si>
    <t xml:space="preserve">  賞与</t>
  </si>
  <si>
    <t xml:space="preserve">  法定福利費</t>
  </si>
  <si>
    <t xml:space="preserve">  福利厚生費</t>
  </si>
  <si>
    <t xml:space="preserve">  外注費</t>
  </si>
  <si>
    <t xml:space="preserve">  荷造運賃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</si>
  <si>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</si>
  <si>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</si>
  <si>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</si>
  <si>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</si>
  <si>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</si>
  <si>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</si>
  <si>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</si>
  <si>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支払手数料</t>
  </si>
  <si>
    <t xml:space="preserve">  地代家賃</t>
  </si>
  <si>
    <t xml:space="preserve">  リース料</t>
  </si>
  <si>
    <t xml:space="preserve">  租税公課</t>
  </si>
  <si>
    <t xml:space="preserve">  減価償却費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</si>
  <si>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</si>
  <si>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</si>
  <si>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</si>
  <si>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</si>
  <si>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</si>
  <si>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</si>
  <si>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</si>
  <si>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</si>
  <si>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</si>
  <si>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</si>
  <si>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</si>
  <si>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</si>
  <si>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</si>
  <si>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</si>
  <si>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期首商品棚卸高</t>
  </si>
  <si>
    <t xml:space="preserve">  仕入高</t>
  </si>
  <si>
    <t xml:space="preserve">  期末商品棚卸高</t>
  </si>
  <si>
    <t>取引先名</t>
  </si>
  <si>
    <t>残高</t>
  </si>
  <si>
    <t>滞留判定</t>
  </si>
  <si>
    <t>産総研柏センタ</t>
  </si>
  <si>
    <t>松戸年金事務所</t>
  </si>
  <si>
    <t>日本政策金融公庫</t>
  </si>
  <si>
    <t>住友重機械工業</t>
  </si>
  <si>
    <t>宇宙航空研究開発機構</t>
  </si>
  <si>
    <t>千葉銀行</t>
  </si>
  <si>
    <t>あしたの会計事務所</t>
  </si>
  <si>
    <t>TEAMアライアンス株式会社</t>
  </si>
  <si>
    <t>滞留</t>
  </si>
  <si>
    <t>筑波大学</t>
  </si>
  <si>
    <t>ソフトバンク株式会社</t>
  </si>
  <si>
    <t>千葉県産業振興センター</t>
  </si>
  <si>
    <t>三洋機工株式会社</t>
  </si>
  <si>
    <t>川崎重工業株式会社</t>
  </si>
  <si>
    <t>日本電計　横浜</t>
  </si>
  <si>
    <t>株式会社ニフコ</t>
  </si>
  <si>
    <t>鹿島建設株式会社　メカトロ</t>
  </si>
  <si>
    <t>(株)谷田部銘板製作所</t>
  </si>
  <si>
    <t>WIBU-SYSTEMS株式会社</t>
  </si>
  <si>
    <t>バルテック株式会社</t>
  </si>
  <si>
    <t>未選択</t>
  </si>
  <si>
    <t>安永情報設計</t>
  </si>
  <si>
    <t>産総研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</si>
</sst>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2" Type="http://schemas.openxmlformats.org/officeDocument/2006/relationships/hyperlink" Target="https://secure.freee.co.jp/reports/general_ledgers/show?name=Microsoft+365&amp;start_date=2026-02-01&amp;end_date=2026-02-28" TargetMode="External"/><Relationship Id="rId3" Type="http://schemas.openxmlformats.org/officeDocument/2006/relationships/hyperlink" Target="https://secure.freee.co.jp/reports/journals?deal_id=3267824407" TargetMode="External"/><Relationship Id="rId4" Type="http://schemas.openxmlformats.org/officeDocument/2006/relationships/hyperlink" Target="https://secure.freee.co.jp/reports/journals?deal_id=3267809007" TargetMode="External"/><Relationship Id="rId5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6" Type="http://schemas.openxmlformats.org/officeDocument/2006/relationships/hyperlink" Target="https://secure.freee.co.jp/reports/general_ledgers/show?name=PayPay%E9%8A%80%E8%A1%8C%EF%BC%88API%EF%BC%89&amp;start_date=2026-02-01&amp;end_date=2026-02-28" TargetMode="External"/><Relationship Id="rId7" Type="http://schemas.openxmlformats.org/officeDocument/2006/relationships/hyperlink" Target="https://secure.freee.co.jp/reports/general_ledgers/show?name=%E6%9C%AA%E6%89%95%E6%B3%95%E4%BA%BA%E7%A8%8E%E7%AD%89&amp;start_date=2026-02-01&amp;end_date=2026-02-28" TargetMode="External"/><Relationship Id="rId8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9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10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1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2" Type="http://schemas.openxmlformats.org/officeDocument/2006/relationships/hyperlink" Target="https://secure.freee.co.jp/reports/general_ledgers/show?name=%E4%BB%95%E5%85%A5%E9%AB%98&amp;start_date=2026-02-01&amp;end_date=2026-02-28" TargetMode="External"/><Relationship Id="rId13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14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5" Type="http://schemas.openxmlformats.org/officeDocument/2006/relationships/hyperlink" Target="https://secure.freee.co.jp/reports/general_ledgers/show?name=%E5%A3%B2%E6%8E%9B%E9%87%91&amp;start_date=2026-02-01&amp;end_date=2026-02-28&amp;fiscal_year_id=9716643" TargetMode="External"/><Relationship Id="rId16" Type="http://schemas.openxmlformats.org/officeDocument/2006/relationships/hyperlink" Target="https://secure.freee.co.jp/reports/general_ledgers/show?name=%E8%B2%B7%E6%8E%9B%E9%87%91&amp;start_date=2026-02-01&amp;end_date=2026-02-28&amp;fiscal_year_id=9716643" TargetMode="External"/><Relationship Id="rId17" Type="http://schemas.openxmlformats.org/officeDocument/2006/relationships/hyperlink" Target="https://secure.freee.co.jp/reports/general_ledgers/show?name=%E6%9C%AA%E6%89%95%E9%87%91&amp;start_date=2026-02-01&amp;end_date=2026-02-28&amp;fiscal_year_id=9716643" TargetMode="External"/><Relationship Id="rId18" Type="http://schemas.openxmlformats.org/officeDocument/2006/relationships/hyperlink" Target="https://secure.freee.co.jp/reports/general_ledgers/show?name=%E9%A0%90%E3%82%8A%E9%87%91&amp;start_date=2026-02-01&amp;end_date=2026-02-28&amp;fiscal_year_id=9716643" TargetMode="External"/><Relationship Id="rId19" Type="http://schemas.openxmlformats.org/officeDocument/2006/relationships/hyperlink" Target="https://secure.freee.co.jp/reports/journals?deal_id=3279665309" TargetMode="External"/><Relationship Id="rId20" Type="http://schemas.openxmlformats.org/officeDocument/2006/relationships/hyperlink" Target="https://secure.freee.co.jp/reports/journals?deal_id=3279665326" TargetMode="External"/><Relationship Id="rId21" Type="http://schemas.openxmlformats.org/officeDocument/2006/relationships/hyperlink" Target="https://secure.freee.co.jp/reports/journals?deal_id=3279665309" TargetMode="External"/><Relationship Id="rId22" Type="http://schemas.openxmlformats.org/officeDocument/2006/relationships/hyperlink" Target="https://secure.freee.co.jp/reports/journals?deal_id=3279665326" TargetMode="External"/><Relationship Id="rId23" Type="http://schemas.openxmlformats.org/officeDocument/2006/relationships/hyperlink" Target="https://secure.freee.co.jp/reports/journals?deal_id=3279665309" TargetMode="External"/><Relationship Id="rId24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25" Type="http://schemas.openxmlformats.org/officeDocument/2006/relationships/hyperlink" Target="https://secure.freee.co.jp/reports/journals?deal_id=3287110805" TargetMode="External"/><Relationship Id="rId26" Type="http://schemas.openxmlformats.org/officeDocument/2006/relationships/hyperlink" Target="https://secure.freee.co.jp/reports/general_ledgers/show?name=%E6%94%AF%E6%89%95%E6%89%8B%E6%95%B0%E6%96%99&amp;start_date=2026-02-01&amp;end_date=2026-02-28&amp;fiscal_year_id=9716643" TargetMode="External"/><Relationship Id="rId27" Type="http://schemas.openxmlformats.org/officeDocument/2006/relationships/hyperlink" Target="https://secure.freee.co.jp/reports/general_ledgers/show?name=%E6%94%AF%E6%89%95%E6%89%8B%E6%95%B0%E6%96%99&amp;start_date=2026-02-01&amp;end_date=2026-02-28&amp;fiscal_year_id=9716643&amp;tax_group_codes=34&amp;tax_rate=10&amp;tax_reduced=false" TargetMode="External"/><Relationship Id="rId28" Type="http://schemas.openxmlformats.org/officeDocument/2006/relationships/hyperlink" Target="https://secure.freee.co.jp/reports/general_ledgers/show?name=%E6%94%AF%E6%89%95%E6%89%8B%E6%95%B0%E6%96%99&amp;start_date=2026-02-01&amp;end_date=2026-02-28&amp;fiscal_year_id=9716643&amp;tax_group_codes=0" TargetMode="External"/><Relationship Id="rId29" Type="http://schemas.openxmlformats.org/officeDocument/2006/relationships/hyperlink" Target="https://secure.freee.co.jp/reports/general_ledgers/show?name=%E9%9B%91%E5%8F%8E%E5%85%A5&amp;start_date=2026-02-01&amp;end_date=2026-02-28&amp;fiscal_year_id=9716643" TargetMode="External"/><Relationship Id="rId30" Type="http://schemas.openxmlformats.org/officeDocument/2006/relationships/hyperlink" Target="https://secure.freee.co.jp/reports/general_ledgers/show?name=%E9%9B%91%E5%8F%8E%E5%85%A5&amp;start_date=2026-02-01&amp;end_date=2026-02-28&amp;fiscal_year_id=9716643&amp;tax_group_codes=0" TargetMode="External"/><Relationship Id="rId31" Type="http://schemas.openxmlformats.org/officeDocument/2006/relationships/hyperlink" Target="https://secure.freee.co.jp/reports/general_ledgers/show?name=%E9%9B%91%E5%8F%8E%E5%85%A5&amp;start_date=2026-02-01&amp;end_date=2026-02-28&amp;fiscal_year_id=9716643&amp;tax_group_codes=23" TargetMode="External"/><Relationship Id="rId32" Type="http://schemas.openxmlformats.org/officeDocument/2006/relationships/hyperlink" Target="https://secure.freee.co.jp/reports/general_ledgers/show?name=%E5%9C%B0%E4%BB%A3%E5%AE%B6%E8%B3%83&amp;start_date=2026-02-01&amp;end_date=2026-02-28&amp;fiscal_year_id=9716643" TargetMode="External"/><Relationship Id="rId33" Type="http://schemas.openxmlformats.org/officeDocument/2006/relationships/hyperlink" Target="https://secure.freee.co.jp/reports/general_ledgers/show?name=%E5%9C%B0%E4%BB%A3%E5%AE%B6%E8%B3%83&amp;start_date=2026-02-01&amp;end_date=2026-02-28&amp;fiscal_year_id=9716643&amp;tax_group_codes=34&amp;tax_rate=10&amp;tax_reduced=false" TargetMode="External"/><Relationship Id="rId34" Type="http://schemas.openxmlformats.org/officeDocument/2006/relationships/hyperlink" Target="https://secure.freee.co.jp/reports/general_ledgers/show?name=%E5%9C%B0%E4%BB%A3%E5%AE%B6%E8%B3%83&amp;start_date=2026-02-01&amp;end_date=2026-02-28&amp;fiscal_year_id=9716643&amp;tax_group_codes=37" TargetMode="External"/><Relationship Id="rId35" Type="http://schemas.openxmlformats.org/officeDocument/2006/relationships/hyperlink" Target="https://secure.freee.co.jp/reports/general_ledgers/show?name=%E9%A0%90%E3%82%8A%E9%87%91&amp;start_date=2026-02-01&amp;end_date=2026-02-28&amp;fiscal_year_id=9716643" TargetMode="External"/><Relationship Id="rId36" Type="http://schemas.openxmlformats.org/officeDocument/2006/relationships/hyperlink" Target="https://secure.freee.co.jp/reports/general_ledgers/show?name=%E9%9B%91%E5%8F%8E%E5%85%A5&amp;start_date=2026-02-01&amp;end_date=2026-02-28" TargetMode="External"/><Relationship Id="rId37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38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39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40" Type="http://schemas.openxmlformats.org/officeDocument/2006/relationships/hyperlink" Target="https://secure.freee.co.jp/reports/general_ledgers/show?name=%E9%80%9A%E4%BF%A1%E8%B2%BB&amp;start_date=2026-02-01&amp;end_date=2026-02-28" TargetMode="External"/><Relationship Id="rId41" Type="http://schemas.openxmlformats.org/officeDocument/2006/relationships/hyperlink" Target="https://secure.freee.co.jp/reports/general_ledgers/show?name=%E6%B8%9B%E4%BE%A1%E5%84%9F%E5%8D%B4%E8%B2%BB&amp;start_date=2026-02-01&amp;end_date=2026-02-28" TargetMode="External"/><Relationship Id="rId42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43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Microsoft+365&amp;start_date=2026-02-01&amp;end_date=2026-02-28" TargetMode="External"/><Relationship Id="rId2" Type="http://schemas.openxmlformats.org/officeDocument/2006/relationships/hyperlink" Target="https://secure.freee.co.jp/reports/journals?deal_id=3267824407" TargetMode="External"/><Relationship Id="rId3" Type="http://schemas.openxmlformats.org/officeDocument/2006/relationships/hyperlink" Target="https://secure.freee.co.jp/reports/journals?deal_id=3267809007" TargetMode="External"/><Relationship Id="rId4" Type="http://schemas.openxmlformats.org/officeDocument/2006/relationships/hyperlink" Target="https://secure.freee.co.jp/reports/journals?deal_id=3287110805" TargetMode="External"/><Relationship Id="rId5" Type="http://schemas.openxmlformats.org/officeDocument/2006/relationships/hyperlink" Target="https://secure.freee.co.jp/reports/general_ledgers/show?name=%E6%94%AF%E6%89%95%E6%89%8B%E6%95%B0%E6%96%99&amp;start_date=2026-02-01&amp;end_date=2026-02-28&amp;fiscal_year_id=9716643" TargetMode="External"/><Relationship Id="rId6" Type="http://schemas.openxmlformats.org/officeDocument/2006/relationships/hyperlink" Target="https://secure.freee.co.jp/reports/general_ledgers/show?name=%E6%94%AF%E6%89%95%E6%89%8B%E6%95%B0%E6%96%99&amp;start_date=2026-02-01&amp;end_date=2026-02-28&amp;fiscal_year_id=9716643&amp;tax_group_codes=34&amp;tax_rate=10&amp;tax_reduced=false" TargetMode="External"/><Relationship Id="rId7" Type="http://schemas.openxmlformats.org/officeDocument/2006/relationships/hyperlink" Target="https://secure.freee.co.jp/reports/general_ledgers/show?name=%E6%94%AF%E6%89%95%E6%89%8B%E6%95%B0%E6%96%99&amp;start_date=2026-02-01&amp;end_date=2026-02-28&amp;fiscal_year_id=9716643&amp;tax_group_codes=0" TargetMode="External"/><Relationship Id="rId8" Type="http://schemas.openxmlformats.org/officeDocument/2006/relationships/hyperlink" Target="https://secure.freee.co.jp/reports/general_ledgers/show?name=%E9%9B%91%E5%8F%8E%E5%85%A5&amp;start_date=2026-02-01&amp;end_date=2026-02-28&amp;fiscal_year_id=9716643" TargetMode="External"/><Relationship Id="rId9" Type="http://schemas.openxmlformats.org/officeDocument/2006/relationships/hyperlink" Target="https://secure.freee.co.jp/reports/general_ledgers/show?name=%E9%9B%91%E5%8F%8E%E5%85%A5&amp;start_date=2026-02-01&amp;end_date=2026-02-28&amp;fiscal_year_id=9716643&amp;tax_group_codes=0" TargetMode="External"/><Relationship Id="rId10" Type="http://schemas.openxmlformats.org/officeDocument/2006/relationships/hyperlink" Target="https://secure.freee.co.jp/reports/general_ledgers/show?name=%E9%9B%91%E5%8F%8E%E5%85%A5&amp;start_date=2026-02-01&amp;end_date=2026-02-28&amp;fiscal_year_id=9716643&amp;tax_group_codes=23" TargetMode="External"/><Relationship Id="rId11" Type="http://schemas.openxmlformats.org/officeDocument/2006/relationships/hyperlink" Target="https://secure.freee.co.jp/reports/general_ledgers/show?name=%E5%9C%B0%E4%BB%A3%E5%AE%B6%E8%B3%83&amp;start_date=2026-02-01&amp;end_date=2026-02-28&amp;fiscal_year_id=9716643" TargetMode="External"/><Relationship Id="rId12" Type="http://schemas.openxmlformats.org/officeDocument/2006/relationships/hyperlink" Target="https://secure.freee.co.jp/reports/general_ledgers/show?name=%E5%9C%B0%E4%BB%A3%E5%AE%B6%E8%B3%83&amp;start_date=2026-02-01&amp;end_date=2026-02-28&amp;fiscal_year_id=9716643&amp;tax_group_codes=34&amp;tax_rate=10&amp;tax_reduced=false" TargetMode="External"/><Relationship Id="rId13" Type="http://schemas.openxmlformats.org/officeDocument/2006/relationships/hyperlink" Target="https://secure.freee.co.jp/reports/general_ledgers/show?name=%E5%9C%B0%E4%BB%A3%E5%AE%B6%E8%B3%83&amp;start_date=2026-02-01&amp;end_date=2026-02-28&amp;fiscal_year_id=9716643&amp;tax_group_codes=37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9%A0%90%E3%82%8A%E9%87%91&amp;start_date=2026-02-01&amp;end_date=2026-02-28&amp;fiscal_year_id=971664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PayPay%E9%8A%80%E8%A1%8C%EF%BC%88API%EF%BC%89&amp;start_date=2026-02-01&amp;end_date=2026-02-28" TargetMode="External"/><Relationship Id="rId2" Type="http://schemas.openxmlformats.org/officeDocument/2006/relationships/hyperlink" Target="https://secure.freee.co.jp/reports/general_ledgers/show?name=%E5%A3%B2%E6%8E%9B%E9%87%91&amp;start_date=2026-02-01&amp;end_date=2026-02-28&amp;fiscal_year_id=9716643" TargetMode="External"/><Relationship Id="rId3" Type="http://schemas.openxmlformats.org/officeDocument/2006/relationships/hyperlink" Target="https://secure.freee.co.jp/reports/general_ledgers/show?name=%E8%B2%B7%E6%8E%9B%E9%87%91&amp;start_date=2026-02-01&amp;end_date=2026-02-28&amp;fiscal_year_id=9716643" TargetMode="External"/><Relationship Id="rId4" Type="http://schemas.openxmlformats.org/officeDocument/2006/relationships/hyperlink" Target="https://secure.freee.co.jp/reports/general_ledgers/show?name=%E6%9C%AA%E6%89%95%E9%87%91&amp;start_date=2026-02-01&amp;end_date=2026-02-28&amp;fiscal_year_id=9716643" TargetMode="External"/><Relationship Id="rId5" Type="http://schemas.openxmlformats.org/officeDocument/2006/relationships/hyperlink" Target="https://secure.freee.co.jp/reports/general_ledgers/show?name=%E9%A0%90%E3%82%8A%E9%87%91&amp;start_date=2026-02-01&amp;end_date=2026-02-28&amp;fiscal_year_id=9716643" TargetMode="External"/><Relationship Id="rId6" Type="http://schemas.openxmlformats.org/officeDocument/2006/relationships/hyperlink" Target="https://secure.freee.co.jp/reports/journals?deal_id=3279665309" TargetMode="External"/><Relationship Id="rId7" Type="http://schemas.openxmlformats.org/officeDocument/2006/relationships/hyperlink" Target="https://secure.freee.co.jp/reports/journals?deal_id=3279665326" TargetMode="External"/><Relationship Id="rId8" Type="http://schemas.openxmlformats.org/officeDocument/2006/relationships/hyperlink" Target="https://secure.freee.co.jp/reports/journals?deal_id=3279665309" TargetMode="External"/><Relationship Id="rId9" Type="http://schemas.openxmlformats.org/officeDocument/2006/relationships/hyperlink" Target="https://secure.freee.co.jp/reports/journals?deal_id=3279665326" TargetMode="External"/><Relationship Id="rId10" Type="http://schemas.openxmlformats.org/officeDocument/2006/relationships/hyperlink" Target="https://secure.freee.co.jp/reports/journals?deal_id=327966530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2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3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4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5" Type="http://schemas.openxmlformats.org/officeDocument/2006/relationships/hyperlink" Target="https://secure.freee.co.jp/reports/general_ledgers/show?name=%E4%BB%95%E5%85%A5%E9%AB%98&amp;start_date=2026-02-01&amp;end_date=2026-02-28" TargetMode="External"/><Relationship Id="rId6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7" Type="http://schemas.openxmlformats.org/officeDocument/2006/relationships/hyperlink" Target="https://secure.freee.co.jp/reports/general_ledgers/show?name=%E6%9C%AA%E6%89%95%E9%87%91&amp;start_date=2026-02-01&amp;end_date=2026-02-28" TargetMode="External"/><Relationship Id="rId8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9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10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11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12" Type="http://schemas.openxmlformats.org/officeDocument/2006/relationships/hyperlink" Target="https://secure.freee.co.jp/reports/general_ledgers/show?name=%E9%80%9A%E4%BF%A1%E8%B2%BB&amp;start_date=2026-02-01&amp;end_date=2026-02-28" TargetMode="External"/><Relationship Id="rId13" Type="http://schemas.openxmlformats.org/officeDocument/2006/relationships/hyperlink" Target="https://secure.freee.co.jp/reports/general_ledgers/show?name=%E6%B8%9B%E4%BE%A1%E5%84%9F%E5%8D%B4%E8%B2%BB&amp;start_date=2026-02-01&amp;end_date=2026-02-28" TargetMode="External"/><Relationship Id="rId14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5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6%9C%AA%E6%89%95%E6%B3%95%E4%BA%BA%E7%A8%8E%E7%AD%89&amp;start_date=2026-02-01&amp;end_date=2026-02-28" TargetMode="External"/><Relationship Id="rId3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4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PayPay%E9%8A%80%E8%A1%8C%EF%BC%88API%EF%BC%89&amp;start_date=2025-03-01&amp;end_date=2026-02-28&amp;fiscal_year_id=9716643" TargetMode="External"/><Relationship Id="rId2" Type="http://schemas.openxmlformats.org/officeDocument/2006/relationships/hyperlink" Target="https://secure.freee.co.jp/reports/general_ledgers/show?name=%E5%8D%83%E8%91%89%E9%8A%80%E8%A1%8C%28%E6%9F%8F%E3%81%AE%E8%91%89%E3%82%AD%E3%83%A3%E3%83%B3%E3%83%91%E3%82%B9%E6%94%AF%E5%BA%97%29&amp;start_date=2025-03-01&amp;end_date=2026-02-28&amp;fiscal_year_id=9716643" TargetMode="External"/><Relationship Id="rId3" Type="http://schemas.openxmlformats.org/officeDocument/2006/relationships/hyperlink" Target="https://secure.freee.co.jp/reports/general_ledgers/show?name=%E5%8D%83%E8%91%89%E9%8A%80%E8%A1%8C%28%E6%9F%8F%E6%94%AF%E5%BA%97%29&amp;start_date=2025-03-01&amp;end_date=2026-02-28&amp;fiscal_year_id=9716643" TargetMode="External"/><Relationship Id="rId4" Type="http://schemas.openxmlformats.org/officeDocument/2006/relationships/hyperlink" Target="https://secure.freee.co.jp/reports/general_ledgers/show?name=%E5%A3%B2%E6%8E%9B%E9%87%91&amp;start_date=2025-03-01&amp;end_date=2026-02-28&amp;fiscal_year_id=9716643" TargetMode="External"/><Relationship Id="rId5" Type="http://schemas.openxmlformats.org/officeDocument/2006/relationships/hyperlink" Target="https://secure.freee.co.jp/reports/general_ledgers/show?name=%E5%95%86%E5%93%81&amp;start_date=2025-03-01&amp;end_date=2026-02-28&amp;fiscal_year_id=9716643" TargetMode="External"/><Relationship Id="rId6" Type="http://schemas.openxmlformats.org/officeDocument/2006/relationships/hyperlink" Target="https://secure.freee.co.jp/reports/journals?start_date=2024-03-01&amp;end_date=2026-02-28&amp;name=%E5%89%8D%E6%B8%A1%E9%87%91" TargetMode="External"/><Relationship Id="rId7" Type="http://schemas.openxmlformats.org/officeDocument/2006/relationships/hyperlink" Target="https://secure.freee.co.jp/reports/general_ledgers/show?name=%E5%89%8D%E6%89%95%E8%B2%BB%E7%94%A8&amp;start_date=2025-03-01&amp;end_date=2026-02-28&amp;fiscal_year_id=9716643" TargetMode="External"/><Relationship Id="rId8" Type="http://schemas.openxmlformats.org/officeDocument/2006/relationships/hyperlink" Target="https://secure.freee.co.jp/reports/journals?start_date=2024-03-01&amp;end_date=2026-02-28&amp;name=%E6%9C%AA%E5%8F%8E%E9%82%84%E4%BB%98%E6%B3%95%E4%BA%BA%E7%A8%8E%E7%AD%89" TargetMode="External"/><Relationship Id="rId9" Type="http://schemas.openxmlformats.org/officeDocument/2006/relationships/hyperlink" Target="https://secure.freee.co.jp/reports/general_ledgers/show?name=%E6%9C%AA%E5%8F%8E%E5%85%A5%E9%87%91&amp;start_date=2025-03-01&amp;end_date=2026-02-28&amp;fiscal_year_id=9716643" TargetMode="External"/><Relationship Id="rId10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16643" TargetMode="External"/><Relationship Id="rId11" Type="http://schemas.openxmlformats.org/officeDocument/2006/relationships/hyperlink" Target="https://secure.freee.co.jp/reports/general_ledgers/show?name=%E3%82%BD%E3%83%95%E3%83%88%E3%82%A6%E3%82%A7%E3%82%A2&amp;start_date=2025-03-01&amp;end_date=2026-02-28&amp;fiscal_year_id=9716643" TargetMode="External"/><Relationship Id="rId12" Type="http://schemas.openxmlformats.org/officeDocument/2006/relationships/hyperlink" Target="https://secure.freee.co.jp/reports/journals?start_date=2020-03-01&amp;end_date=2026-02-28&amp;name=%E6%95%B7%E9%87%91" TargetMode="External"/><Relationship Id="rId13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16643" TargetMode="External"/><Relationship Id="rId14" Type="http://schemas.openxmlformats.org/officeDocument/2006/relationships/hyperlink" Target="https://secure.freee.co.jp/reports/general_ledgers/show?name=%E4%BF%9D%E9%99%BA%E7%A9%8D%E7%AB%8B%E9%87%91&amp;start_date=2025-03-01&amp;end_date=2026-02-28&amp;fiscal_year_id=9716643" TargetMode="External"/><Relationship Id="rId15" Type="http://schemas.openxmlformats.org/officeDocument/2006/relationships/hyperlink" Target="https://secure.freee.co.jp/reports/general_ledgers/show?name=%E8%B2%B7%E6%8E%9B%E9%87%91&amp;start_date=2025-03-01&amp;end_date=2026-02-28&amp;fiscal_year_id=9716643" TargetMode="External"/><Relationship Id="rId16" Type="http://schemas.openxmlformats.org/officeDocument/2006/relationships/hyperlink" Target="https://secure.freee.co.jp/reports/general_ledgers/show?name=%E6%9C%AA%E6%89%95%E9%87%91&amp;start_date=2025-03-01&amp;end_date=2026-02-28&amp;fiscal_year_id=9716643" TargetMode="External"/><Relationship Id="rId17" Type="http://schemas.openxmlformats.org/officeDocument/2006/relationships/hyperlink" Target="https://secure.freee.co.jp/reports/general_ledgers/show?name=freee%E3%82%AB%E3%83%BC%E3%83%89%E3%80%80%E3%83%A9%E3%82%A4%E3%83%88%EF%BC%88Master%EF%BC%89&amp;start_date=2025-03-01&amp;end_date=2026-02-28&amp;fiscal_year_id=9716643" TargetMode="External"/><Relationship Id="rId18" Type="http://schemas.openxmlformats.org/officeDocument/2006/relationships/hyperlink" Target="https://secure.freee.co.jp/reports/general_ledgers/show?name=%E7%AB%8B%E6%9B%BF%E7%B5%8C%E8%B2%BB%28%E5%A4%A7%E6%A3%AE%29&amp;start_date=2025-03-01&amp;end_date=2026-02-28&amp;fiscal_year_id=9716643" TargetMode="External"/><Relationship Id="rId19" Type="http://schemas.openxmlformats.org/officeDocument/2006/relationships/hyperlink" Target="https://secure.freee.co.jp/reports/general_ledgers/show?name=%E6%9C%AA%E6%89%95%E6%B3%95%E4%BA%BA%E7%A8%8E%E7%AD%89&amp;start_date=2025-03-01&amp;end_date=2026-02-28&amp;fiscal_year_id=9716643" TargetMode="External"/><Relationship Id="rId20" Type="http://schemas.openxmlformats.org/officeDocument/2006/relationships/hyperlink" Target="https://secure.freee.co.jp/reports/general_ledgers/show?name=%E6%9C%AA%E6%89%95%E6%B6%88%E8%B2%BB%E7%A8%8E%E7%AD%89&amp;start_date=2025-03-01&amp;end_date=2026-02-28&amp;fiscal_year_id=9716643" TargetMode="External"/><Relationship Id="rId21" Type="http://schemas.openxmlformats.org/officeDocument/2006/relationships/hyperlink" Target="https://secure.freee.co.jp/reports/general_ledgers/show?name=%E9%A0%90%E3%82%8A%E9%87%91&amp;start_date=2025-03-01&amp;end_date=2026-02-28&amp;fiscal_year_id=9716643" TargetMode="External"/><Relationship Id="rId22" Type="http://schemas.openxmlformats.org/officeDocument/2006/relationships/hyperlink" Target="https://secure.freee.co.jp/reports/general_ledgers/show?name=%E9%95%B7%E6%9C%9F%E5%80%9F%E5%85%A5%E9%87%91&amp;start_date=2025-03-01&amp;end_date=2026-02-28&amp;fiscal_year_id=9716643" TargetMode="External"/><Relationship Id="rId23" Type="http://schemas.openxmlformats.org/officeDocument/2006/relationships/hyperlink" Target="https://secure.freee.co.jp/reports/journals?start_date=2020-03-01&amp;end_date=2026-02-28&amp;name=%E8%B3%87%E6%9C%AC%E9%87%91" TargetMode="External"/><Relationship Id="rId24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16643" TargetMode="External"/><Relationship Id="rId2" Type="http://schemas.openxmlformats.org/officeDocument/2006/relationships/hyperlink" Target="https://secure.freee.co.jp/reports/general_ledgers/show?name=%E5%BD%B9%E5%93%A1%E8%B3%9E%E4%B8%8E&amp;start_date=2025-03-01&amp;end_date=2026-02-28&amp;fiscal_year_id=9716643" TargetMode="External"/><Relationship Id="rId3" Type="http://schemas.openxmlformats.org/officeDocument/2006/relationships/hyperlink" Target="https://secure.freee.co.jp/reports/general_ledgers/show?name=%E7%B5%A6%E6%96%99%E6%89%8B%E5%BD%93&amp;start_date=2025-03-01&amp;end_date=2026-02-28&amp;fiscal_year_id=9716643" TargetMode="External"/><Relationship Id="rId4" Type="http://schemas.openxmlformats.org/officeDocument/2006/relationships/hyperlink" Target="https://secure.freee.co.jp/reports/general_ledgers/show?name=%E8%B3%9E%E4%B8%8E&amp;start_date=2025-03-01&amp;end_date=2026-02-28&amp;fiscal_year_id=9716643" TargetMode="External"/><Relationship Id="rId5" Type="http://schemas.openxmlformats.org/officeDocument/2006/relationships/hyperlink" Target="https://secure.freee.co.jp/reports/general_ledgers/show?name=%E6%B3%95%E5%AE%9A%E7%A6%8F%E5%88%A9%E8%B2%BB&amp;start_date=2025-03-01&amp;end_date=2026-02-28&amp;fiscal_year_id=9716643" TargetMode="External"/><Relationship Id="rId6" Type="http://schemas.openxmlformats.org/officeDocument/2006/relationships/hyperlink" Target="https://secure.freee.co.jp/reports/general_ledgers/show?name=%E7%A6%8F%E5%88%A9%E5%8E%9A%E7%94%9F%E8%B2%BB&amp;start_date=2025-03-01&amp;end_date=2026-02-28&amp;fiscal_year_id=9716643" TargetMode="External"/><Relationship Id="rId7" Type="http://schemas.openxmlformats.org/officeDocument/2006/relationships/hyperlink" Target="https://secure.freee.co.jp/reports/general_ledgers/show?name=%E5%A4%96%E6%B3%A8%E8%B2%BB&amp;start_date=2025-03-01&amp;end_date=2026-02-28&amp;fiscal_year_id=9716643" TargetMode="External"/><Relationship Id="rId8" Type="http://schemas.openxmlformats.org/officeDocument/2006/relationships/hyperlink" Target="https://secure.freee.co.jp/reports/general_ledgers/show?name=%E8%8D%B7%E9%80%A0%E9%81%8B%E8%B3%83&amp;start_date=2025-03-01&amp;end_date=2026-02-28&amp;fiscal_year_id=9716643" TargetMode="External"/><Relationship Id="rId9" Type="http://schemas.openxmlformats.org/officeDocument/2006/relationships/hyperlink" Target="https://secure.freee.co.jp/reports/general_ledgers/show?name=%E5%BA%83%E5%91%8A%E5%AE%A3%E4%BC%9D%E8%B2%BB&amp;start_date=2025-03-01&amp;end_date=2026-02-28&amp;fiscal_year_id=9716643" TargetMode="External"/><Relationship Id="rId10" Type="http://schemas.openxmlformats.org/officeDocument/2006/relationships/hyperlink" Target="https://secure.freee.co.jp/reports/general_ledgers/show?name=%E4%BA%A4%E9%9A%9B%E8%B2%BB&amp;start_date=2025-03-01&amp;end_date=2026-02-28&amp;fiscal_year_id=9716643" TargetMode="External"/><Relationship Id="rId11" Type="http://schemas.openxmlformats.org/officeDocument/2006/relationships/hyperlink" Target="https://secure.freee.co.jp/reports/general_ledgers/show?name=%E4%BC%9A%E8%AD%B0%E8%B2%BB&amp;start_date=2025-03-01&amp;end_date=2026-02-28&amp;fiscal_year_id=9716643" TargetMode="External"/><Relationship Id="rId12" Type="http://schemas.openxmlformats.org/officeDocument/2006/relationships/hyperlink" Target="https://secure.freee.co.jp/reports/general_ledgers/show?name=%E6%97%85%E8%B2%BB%E4%BA%A4%E9%80%9A%E8%B2%BB&amp;start_date=2025-03-01&amp;end_date=2026-02-28&amp;fiscal_year_id=9716643" TargetMode="External"/><Relationship Id="rId13" Type="http://schemas.openxmlformats.org/officeDocument/2006/relationships/hyperlink" Target="https://secure.freee.co.jp/reports/general_ledgers/show?name=%E9%80%9A%E4%BF%A1%E8%B2%BB&amp;start_date=2025-03-01&amp;end_date=2026-02-28&amp;fiscal_year_id=9716643" TargetMode="External"/><Relationship Id="rId14" Type="http://schemas.openxmlformats.org/officeDocument/2006/relationships/hyperlink" Target="https://secure.freee.co.jp/reports/general_ledgers/show?name=%E6%B6%88%E8%80%97%E5%93%81%E8%B2%BB&amp;start_date=2025-03-01&amp;end_date=2026-02-28&amp;fiscal_year_id=9716643" TargetMode="External"/><Relationship Id="rId15" Type="http://schemas.openxmlformats.org/officeDocument/2006/relationships/hyperlink" Target="https://secure.freee.co.jp/reports/general_ledgers/show?name=%E6%B0%B4%E9%81%93%E5%85%89%E7%86%B1%E8%B2%BB&amp;start_date=2025-03-01&amp;end_date=2026-02-28&amp;fiscal_year_id=9716643" TargetMode="External"/><Relationship Id="rId16" Type="http://schemas.openxmlformats.org/officeDocument/2006/relationships/hyperlink" Target="https://secure.freee.co.jp/reports/general_ledgers/show?name=%E6%94%AF%E6%89%95%E6%89%8B%E6%95%B0%E6%96%99&amp;start_date=2025-03-01&amp;end_date=2026-02-28&amp;fiscal_year_id=9716643" TargetMode="External"/><Relationship Id="rId17" Type="http://schemas.openxmlformats.org/officeDocument/2006/relationships/hyperlink" Target="https://secure.freee.co.jp/reports/general_ledgers/show?name=%E5%9C%B0%E4%BB%A3%E5%AE%B6%E8%B3%83&amp;start_date=2025-03-01&amp;end_date=2026-02-28&amp;fiscal_year_id=9716643" TargetMode="External"/><Relationship Id="rId18" Type="http://schemas.openxmlformats.org/officeDocument/2006/relationships/hyperlink" Target="https://secure.freee.co.jp/reports/general_ledgers/show?name=%E3%83%AA%E3%83%BC%E3%82%B9%E6%96%99&amp;start_date=2025-03-01&amp;end_date=2026-02-28&amp;fiscal_year_id=9716643" TargetMode="External"/><Relationship Id="rId19" Type="http://schemas.openxmlformats.org/officeDocument/2006/relationships/hyperlink" Target="https://secure.freee.co.jp/reports/general_ledgers/show?name=%E7%A7%9F%E7%A8%8E%E5%85%AC%E8%AA%B2&amp;start_date=2025-03-01&amp;end_date=2026-02-28&amp;fiscal_year_id=9716643" TargetMode="External"/><Relationship Id="rId20" Type="http://schemas.openxmlformats.org/officeDocument/2006/relationships/hyperlink" Target="https://secure.freee.co.jp/reports/general_ledgers/show?name=%E6%B8%9B%E4%BE%A1%E5%84%9F%E5%8D%B4%E8%B2%BB&amp;start_date=2025-03-01&amp;end_date=2026-02-28&amp;fiscal_year_id=9716643" TargetMode="External"/><Relationship Id="rId21" Type="http://schemas.openxmlformats.org/officeDocument/2006/relationships/hyperlink" Target="https://secure.freee.co.jp/reports/general_ledgers/show?name=%E5%8F%97%E5%8F%96%E5%88%A9%E6%81%AF&amp;start_date=2025-03-01&amp;end_date=2026-02-28&amp;fiscal_year_id=9716643" TargetMode="External"/><Relationship Id="rId22" Type="http://schemas.openxmlformats.org/officeDocument/2006/relationships/hyperlink" Target="https://secure.freee.co.jp/reports/general_ledgers/show?name=%E9%9B%91%E5%8F%8E%E5%85%A5&amp;start_date=2025-03-01&amp;end_date=2026-02-28&amp;fiscal_year_id=9716643" TargetMode="External"/><Relationship Id="rId23" Type="http://schemas.openxmlformats.org/officeDocument/2006/relationships/hyperlink" Target="https://secure.freee.co.jp/reports/general_ledgers/show?name=%E6%94%AF%E6%89%95%E5%88%A9%E6%81%AF&amp;start_date=2025-03-01&amp;end_date=2026-02-28&amp;fiscal_year_id=9716643" TargetMode="External"/><Relationship Id="rId24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16643" TargetMode="External"/><Relationship Id="rId25" Type="http://schemas.openxmlformats.org/officeDocument/2006/relationships/hyperlink" Target="https://secure.freee.co.jp/reports/general_ledgers/show?name=%E6%9C%9F%E9%A6%96%E5%95%86%E5%93%81%E6%A3%9A%E5%8D%B8%E9%AB%98&amp;start_date=2025-03-01&amp;end_date=2026-02-28&amp;fiscal_year_id=9716643" TargetMode="External"/><Relationship Id="rId26" Type="http://schemas.openxmlformats.org/officeDocument/2006/relationships/hyperlink" Target="https://secure.freee.co.jp/reports/general_ledgers/show?name=%E4%BB%95%E5%85%A5%E9%AB%98&amp;start_date=2025-03-01&amp;end_date=2026-02-28&amp;fiscal_year_id=9716643" TargetMode="External"/><Relationship Id="rId27" Type="http://schemas.openxmlformats.org/officeDocument/2006/relationships/hyperlink" Target="https://secure.freee.co.jp/reports/general_ledgers/show?name=%E6%9C%9F%E6%9C%AB%E5%95%86%E5%93%81%E6%A3%9A%E5%8D%B8%E9%AB%98&amp;start_date=2025-03-01&amp;end_date=2026-02-28&amp;fiscal_year_id=97166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2</v>
      </c>
      <c r="C9" s="8">
        <v>27</v>
      </c>
      <c r="D9" s="9">
        <v>10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>
        <v>1</v>
      </c>
      <c r="C14" s="11">
        <v>4</v>
      </c>
      <c r="D14" s="11" t="s">
        <v>18</v>
      </c>
      <c r="E14" s="11">
        <v>5</v>
      </c>
    </row>
    <row r="15" spans="1:5" x14ac:dyDescent="0.25">
      <c r="A15" s="10" t="s">
        <v>19</v>
      </c>
      <c r="B15" s="11" t="s">
        <v>18</v>
      </c>
      <c r="C15" s="11">
        <v>1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 t="s">
        <v>18</v>
      </c>
      <c r="C17" s="11">
        <v>5</v>
      </c>
      <c r="D17" s="11" t="s">
        <v>18</v>
      </c>
      <c r="E17" s="11">
        <v>5</v>
      </c>
    </row>
    <row r="18" spans="1:5" x14ac:dyDescent="0.25">
      <c r="A18" s="10" t="s">
        <v>22</v>
      </c>
      <c r="B18" s="11">
        <v>1</v>
      </c>
      <c r="C18" s="11">
        <v>9</v>
      </c>
      <c r="D18" s="11">
        <v>8</v>
      </c>
      <c r="E18" s="11">
        <v>18</v>
      </c>
    </row>
    <row r="19" spans="1:5" x14ac:dyDescent="0.25">
      <c r="A19" s="10" t="s">
        <v>23</v>
      </c>
      <c r="B19" s="11" t="s">
        <v>18</v>
      </c>
      <c r="C19" s="11">
        <v>8</v>
      </c>
      <c r="D19" s="11">
        <v>2</v>
      </c>
      <c r="E19" s="11">
        <v>10</v>
      </c>
    </row>
    <row r="20" spans="1:5" x14ac:dyDescent="0.25">
      <c r="A20" s="12" t="s">
        <v>16</v>
      </c>
      <c r="B20" s="13">
        <v>2</v>
      </c>
      <c r="C20" s="13">
        <v>27</v>
      </c>
      <c r="D20" s="13">
        <v>10</v>
      </c>
      <c r="E20" s="13">
        <v>39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5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1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4" t="s">
        <v>50</v>
      </c>
      <c r="B35" s="14" t="s">
        <v>51</v>
      </c>
      <c r="C35" s="15" t="s">
        <v>30</v>
      </c>
      <c r="D35" s="15">
        <v>1</v>
      </c>
    </row>
    <row r="36" spans="1:4" x14ac:dyDescent="0.25">
      <c r="A36" s="14" t="s">
        <v>52</v>
      </c>
      <c r="B36" s="14" t="s">
        <v>53</v>
      </c>
      <c r="C36" s="15" t="s">
        <v>30</v>
      </c>
      <c r="D36" s="15">
        <v>1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35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35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35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2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0" t="s">
        <v>98</v>
      </c>
      <c r="B59" s="10" t="s">
        <v>99</v>
      </c>
      <c r="C59" s="11" t="s">
        <v>35</v>
      </c>
      <c r="D59" s="11">
        <v>0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2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0" t="s">
        <v>110</v>
      </c>
      <c r="B65" s="10" t="s">
        <v>111</v>
      </c>
      <c r="C65" s="11" t="s">
        <v>35</v>
      </c>
      <c r="D65" s="11">
        <v>0</v>
      </c>
    </row>
    <row r="66" spans="1:4" x14ac:dyDescent="0.25">
      <c r="A66" s="10" t="s">
        <v>112</v>
      </c>
      <c r="B66" s="10" t="s">
        <v>113</v>
      </c>
      <c r="C66" s="11" t="s">
        <v>35</v>
      </c>
      <c r="D66" s="11">
        <v>0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4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35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1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2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4" t="s">
        <v>142</v>
      </c>
      <c r="B81" s="14" t="s">
        <v>143</v>
      </c>
      <c r="C81" s="15" t="s">
        <v>30</v>
      </c>
      <c r="D81" s="15">
        <v>1</v>
      </c>
    </row>
    <row r="82" spans="1:4" x14ac:dyDescent="0.25">
      <c r="A82" s="14" t="s">
        <v>144</v>
      </c>
      <c r="B82" s="14" t="s">
        <v>145</v>
      </c>
      <c r="C82" s="15" t="s">
        <v>30</v>
      </c>
      <c r="D82" s="15">
        <v>1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3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84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142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9" t="s">
        <v>6</v>
      </c>
      <c r="B4" s="19" t="s">
        <v>6</v>
      </c>
      <c r="C4" s="19" t="s">
        <v>6</v>
      </c>
      <c r="D4" s="20" t="s">
        <v>185</v>
      </c>
      <c r="E4" s="19" t="s">
        <v>186</v>
      </c>
      <c r="F4" s="20" t="s">
        <v>6</v>
      </c>
      <c r="G4" s="21" t="s">
        <v>187</v>
      </c>
    </row>
    <row r="5" spans="1:7" x14ac:dyDescent="0.25">
      <c r="A5" s="19" t="s">
        <v>6</v>
      </c>
      <c r="B5" s="19" t="s">
        <v>6</v>
      </c>
      <c r="C5" s="19" t="s">
        <v>6</v>
      </c>
      <c r="D5" s="20" t="s">
        <v>188</v>
      </c>
      <c r="E5" s="19" t="s">
        <v>189</v>
      </c>
      <c r="F5" s="20" t="s">
        <v>6</v>
      </c>
      <c r="G5" s="21" t="s">
        <v>187</v>
      </c>
    </row>
    <row r="6" spans="1:7" x14ac:dyDescent="0.25">
      <c r="A6" s="14" t="s">
        <v>14</v>
      </c>
      <c r="B6" s="14" t="s">
        <v>28</v>
      </c>
      <c r="C6" s="14" t="s">
        <v>190</v>
      </c>
      <c r="D6" s="22" t="s">
        <v>191</v>
      </c>
      <c r="E6" s="14" t="s">
        <v>192</v>
      </c>
      <c r="F6" s="22" t="s">
        <v>193</v>
      </c>
      <c r="G6" s="23" t="s">
        <v>180</v>
      </c>
    </row>
    <row r="7" spans="1:7" x14ac:dyDescent="0.25">
      <c r="A7" s="14" t="s">
        <v>14</v>
      </c>
      <c r="B7" s="14" t="s">
        <v>31</v>
      </c>
      <c r="C7" s="14" t="s">
        <v>190</v>
      </c>
      <c r="D7" s="22" t="s">
        <v>194</v>
      </c>
      <c r="E7" s="14" t="s">
        <v>195</v>
      </c>
      <c r="F7" s="22" t="s">
        <v>196</v>
      </c>
      <c r="G7" s="14" t="s">
        <v>6</v>
      </c>
    </row>
    <row r="8" spans="1:7" x14ac:dyDescent="0.25">
      <c r="A8" s="14" t="s">
        <v>14</v>
      </c>
      <c r="B8" s="14" t="s">
        <v>31</v>
      </c>
      <c r="C8" s="14" t="s">
        <v>190</v>
      </c>
      <c r="D8" s="22" t="s">
        <v>197</v>
      </c>
      <c r="E8" s="14" t="s">
        <v>198</v>
      </c>
      <c r="F8" s="22" t="s">
        <v>196</v>
      </c>
      <c r="G8" s="14" t="s">
        <v>6</v>
      </c>
    </row>
    <row r="9" spans="1:7" x14ac:dyDescent="0.25">
      <c r="A9" s="14" t="s">
        <v>14</v>
      </c>
      <c r="B9" s="14" t="s">
        <v>31</v>
      </c>
      <c r="C9" s="14" t="s">
        <v>190</v>
      </c>
      <c r="D9" s="22" t="s">
        <v>199</v>
      </c>
      <c r="E9" s="14" t="s">
        <v>200</v>
      </c>
      <c r="F9" s="22" t="s">
        <v>196</v>
      </c>
      <c r="G9" s="14" t="s">
        <v>6</v>
      </c>
    </row>
    <row r="10" spans="1:7" x14ac:dyDescent="0.25">
      <c r="A10" s="14" t="s">
        <v>14</v>
      </c>
      <c r="B10" s="14" t="s">
        <v>31</v>
      </c>
      <c r="C10" s="14" t="s">
        <v>190</v>
      </c>
      <c r="D10" s="22" t="s">
        <v>201</v>
      </c>
      <c r="E10" s="14" t="s">
        <v>202</v>
      </c>
      <c r="F10" s="22" t="s">
        <v>196</v>
      </c>
      <c r="G10" s="14" t="s">
        <v>6</v>
      </c>
    </row>
    <row r="11" spans="1:7" x14ac:dyDescent="0.25">
      <c r="A11" s="14" t="s">
        <v>14</v>
      </c>
      <c r="B11" s="14" t="s">
        <v>31</v>
      </c>
      <c r="C11" s="14" t="s">
        <v>190</v>
      </c>
      <c r="D11" s="22" t="s">
        <v>203</v>
      </c>
      <c r="E11" s="14" t="s">
        <v>204</v>
      </c>
      <c r="F11" s="22" t="s">
        <v>196</v>
      </c>
      <c r="G11" s="14" t="s">
        <v>6</v>
      </c>
    </row>
    <row r="12" spans="1:7" x14ac:dyDescent="0.25">
      <c r="A12" s="14" t="s">
        <v>14</v>
      </c>
      <c r="B12" s="14" t="s">
        <v>42</v>
      </c>
      <c r="C12" s="14" t="s">
        <v>205</v>
      </c>
      <c r="D12" s="22" t="s">
        <v>206</v>
      </c>
      <c r="E12" s="14" t="s">
        <v>207</v>
      </c>
      <c r="F12" s="22" t="s">
        <v>208</v>
      </c>
      <c r="G12" s="23" t="s">
        <v>180</v>
      </c>
    </row>
    <row r="13" spans="1:7" x14ac:dyDescent="0.25">
      <c r="A13" s="14" t="s">
        <v>14</v>
      </c>
      <c r="B13" s="14" t="s">
        <v>50</v>
      </c>
      <c r="C13" s="14" t="s">
        <v>209</v>
      </c>
      <c r="D13" s="22" t="s">
        <v>210</v>
      </c>
      <c r="E13" s="14" t="s">
        <v>211</v>
      </c>
      <c r="F13" s="22" t="s">
        <v>212</v>
      </c>
      <c r="G13" s="23" t="s">
        <v>180</v>
      </c>
    </row>
    <row r="14" spans="1:7" x14ac:dyDescent="0.25">
      <c r="A14" s="14" t="s">
        <v>14</v>
      </c>
      <c r="B14" s="14" t="s">
        <v>52</v>
      </c>
      <c r="C14" s="14" t="s">
        <v>209</v>
      </c>
      <c r="D14" s="22" t="s">
        <v>213</v>
      </c>
      <c r="E14" s="14" t="s">
        <v>214</v>
      </c>
      <c r="F14" s="22" t="s">
        <v>212</v>
      </c>
      <c r="G14" s="23" t="s">
        <v>180</v>
      </c>
    </row>
    <row r="15" spans="1:7" x14ac:dyDescent="0.25">
      <c r="A15" s="14" t="s">
        <v>14</v>
      </c>
      <c r="B15" s="14" t="s">
        <v>86</v>
      </c>
      <c r="C15" s="14" t="s">
        <v>176</v>
      </c>
      <c r="D15" s="22" t="s">
        <v>215</v>
      </c>
      <c r="E15" s="14" t="s">
        <v>216</v>
      </c>
      <c r="F15" s="22" t="s">
        <v>217</v>
      </c>
      <c r="G15" s="23" t="s">
        <v>180</v>
      </c>
    </row>
    <row r="16" spans="1:7" x14ac:dyDescent="0.25">
      <c r="A16" s="14" t="s">
        <v>14</v>
      </c>
      <c r="B16" s="14" t="s">
        <v>92</v>
      </c>
      <c r="C16" s="14" t="s">
        <v>218</v>
      </c>
      <c r="D16" s="22" t="s">
        <v>219</v>
      </c>
      <c r="E16" s="14" t="s">
        <v>220</v>
      </c>
      <c r="F16" s="22" t="s">
        <v>221</v>
      </c>
      <c r="G16" s="23" t="s">
        <v>180</v>
      </c>
    </row>
    <row r="17" spans="1:7" x14ac:dyDescent="0.25">
      <c r="A17" s="14" t="s">
        <v>14</v>
      </c>
      <c r="B17" s="14" t="s">
        <v>92</v>
      </c>
      <c r="C17" s="14" t="s">
        <v>218</v>
      </c>
      <c r="D17" s="22" t="s">
        <v>222</v>
      </c>
      <c r="E17" s="14" t="s">
        <v>223</v>
      </c>
      <c r="F17" s="22" t="s">
        <v>224</v>
      </c>
      <c r="G17" s="23" t="s">
        <v>180</v>
      </c>
    </row>
    <row r="18" spans="1:7" x14ac:dyDescent="0.25">
      <c r="A18" s="14" t="s">
        <v>14</v>
      </c>
      <c r="B18" s="14" t="s">
        <v>96</v>
      </c>
      <c r="C18" s="14" t="s">
        <v>225</v>
      </c>
      <c r="D18" s="22" t="s">
        <v>226</v>
      </c>
      <c r="E18" s="14" t="s">
        <v>227</v>
      </c>
      <c r="F18" s="22" t="s">
        <v>228</v>
      </c>
      <c r="G18" s="14" t="s">
        <v>6</v>
      </c>
    </row>
    <row r="19" spans="1:7" x14ac:dyDescent="0.25">
      <c r="A19" s="14" t="s">
        <v>14</v>
      </c>
      <c r="B19" s="14" t="s">
        <v>96</v>
      </c>
      <c r="C19" s="14" t="s">
        <v>225</v>
      </c>
      <c r="D19" s="22" t="s">
        <v>229</v>
      </c>
      <c r="E19" s="14" t="s">
        <v>227</v>
      </c>
      <c r="F19" s="22" t="s">
        <v>230</v>
      </c>
      <c r="G19" s="14" t="s">
        <v>6</v>
      </c>
    </row>
    <row r="20" spans="1:7" x14ac:dyDescent="0.25">
      <c r="A20" s="14" t="s">
        <v>14</v>
      </c>
      <c r="B20" s="14" t="s">
        <v>102</v>
      </c>
      <c r="C20" s="14" t="s">
        <v>231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102</v>
      </c>
      <c r="C21" s="14" t="s">
        <v>231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104</v>
      </c>
      <c r="C22" s="14" t="s">
        <v>231</v>
      </c>
      <c r="D22" s="22" t="s">
        <v>237</v>
      </c>
      <c r="E22" s="14" t="s">
        <v>238</v>
      </c>
      <c r="F22" s="22" t="s">
        <v>239</v>
      </c>
      <c r="G22" s="23" t="s">
        <v>180</v>
      </c>
    </row>
    <row r="23" spans="1:7" x14ac:dyDescent="0.25">
      <c r="A23" s="14" t="s">
        <v>14</v>
      </c>
      <c r="B23" s="14" t="s">
        <v>116</v>
      </c>
      <c r="C23" s="14" t="s">
        <v>240</v>
      </c>
      <c r="D23" s="22" t="s">
        <v>241</v>
      </c>
      <c r="E23" s="14" t="s">
        <v>242</v>
      </c>
      <c r="F23" s="22" t="s">
        <v>243</v>
      </c>
      <c r="G23" s="23" t="s">
        <v>180</v>
      </c>
    </row>
    <row r="24" spans="1:7" x14ac:dyDescent="0.25">
      <c r="A24" s="14" t="s">
        <v>14</v>
      </c>
      <c r="B24" s="14" t="s">
        <v>116</v>
      </c>
      <c r="C24" s="14" t="s">
        <v>240</v>
      </c>
      <c r="D24" s="22" t="s">
        <v>244</v>
      </c>
      <c r="E24" s="14" t="s">
        <v>245</v>
      </c>
      <c r="F24" s="22" t="s">
        <v>243</v>
      </c>
      <c r="G24" s="23" t="s">
        <v>180</v>
      </c>
    </row>
    <row r="25" spans="1:7" x14ac:dyDescent="0.25">
      <c r="A25" s="14" t="s">
        <v>14</v>
      </c>
      <c r="B25" s="14" t="s">
        <v>116</v>
      </c>
      <c r="C25" s="14" t="s">
        <v>240</v>
      </c>
      <c r="D25" s="22" t="s">
        <v>246</v>
      </c>
      <c r="E25" s="14" t="s">
        <v>247</v>
      </c>
      <c r="F25" s="22" t="s">
        <v>243</v>
      </c>
      <c r="G25" s="23" t="s">
        <v>180</v>
      </c>
    </row>
    <row r="26" spans="1:7" x14ac:dyDescent="0.25">
      <c r="A26" s="14" t="s">
        <v>14</v>
      </c>
      <c r="B26" s="14" t="s">
        <v>116</v>
      </c>
      <c r="C26" s="14" t="s">
        <v>240</v>
      </c>
      <c r="D26" s="22" t="s">
        <v>248</v>
      </c>
      <c r="E26" s="14" t="s">
        <v>249</v>
      </c>
      <c r="F26" s="22" t="s">
        <v>243</v>
      </c>
      <c r="G26" s="23" t="s">
        <v>180</v>
      </c>
    </row>
    <row r="27" spans="1:7" x14ac:dyDescent="0.25">
      <c r="A27" s="19" t="s">
        <v>6</v>
      </c>
      <c r="B27" s="19" t="s">
        <v>6</v>
      </c>
      <c r="C27" s="19" t="s">
        <v>6</v>
      </c>
      <c r="D27" s="20" t="s">
        <v>250</v>
      </c>
      <c r="E27" s="19" t="s">
        <v>251</v>
      </c>
      <c r="F27" s="20" t="s">
        <v>252</v>
      </c>
      <c r="G27" s="21" t="s">
        <v>187</v>
      </c>
    </row>
    <row r="28" spans="1:7" x14ac:dyDescent="0.25">
      <c r="A28" s="19" t="s">
        <v>6</v>
      </c>
      <c r="B28" s="19" t="s">
        <v>6</v>
      </c>
      <c r="C28" s="19" t="s">
        <v>6</v>
      </c>
      <c r="D28" s="20" t="s">
        <v>253</v>
      </c>
      <c r="E28" s="19" t="s">
        <v>254</v>
      </c>
      <c r="F28" s="20" t="s">
        <v>255</v>
      </c>
      <c r="G28" s="21" t="s">
        <v>187</v>
      </c>
    </row>
    <row r="29" spans="1:7" x14ac:dyDescent="0.25">
      <c r="A29" s="19" t="s">
        <v>6</v>
      </c>
      <c r="B29" s="19" t="s">
        <v>6</v>
      </c>
      <c r="C29" s="19" t="s">
        <v>6</v>
      </c>
      <c r="D29" s="20" t="s">
        <v>253</v>
      </c>
      <c r="E29" s="19" t="s">
        <v>254</v>
      </c>
      <c r="F29" s="20" t="s">
        <v>252</v>
      </c>
      <c r="G29" s="21" t="s">
        <v>187</v>
      </c>
    </row>
    <row r="30" spans="1:7" x14ac:dyDescent="0.25">
      <c r="A30" s="19" t="s">
        <v>6</v>
      </c>
      <c r="B30" s="19" t="s">
        <v>6</v>
      </c>
      <c r="C30" s="19" t="s">
        <v>6</v>
      </c>
      <c r="D30" s="20" t="s">
        <v>256</v>
      </c>
      <c r="E30" s="19" t="s">
        <v>257</v>
      </c>
      <c r="F30" s="20" t="s">
        <v>255</v>
      </c>
      <c r="G30" s="21" t="s">
        <v>187</v>
      </c>
    </row>
    <row r="31" spans="1:7" x14ac:dyDescent="0.25">
      <c r="A31" s="19" t="s">
        <v>6</v>
      </c>
      <c r="B31" s="19" t="s">
        <v>6</v>
      </c>
      <c r="C31" s="19" t="s">
        <v>6</v>
      </c>
      <c r="D31" s="20" t="s">
        <v>256</v>
      </c>
      <c r="E31" s="19" t="s">
        <v>257</v>
      </c>
      <c r="F31" s="20" t="s">
        <v>252</v>
      </c>
      <c r="G31" s="21" t="s">
        <v>187</v>
      </c>
    </row>
    <row r="32" spans="1:7" x14ac:dyDescent="0.25">
      <c r="A32" s="14" t="s">
        <v>14</v>
      </c>
      <c r="B32" s="14" t="s">
        <v>126</v>
      </c>
      <c r="C32" s="14" t="s">
        <v>258</v>
      </c>
      <c r="D32" s="22" t="s">
        <v>259</v>
      </c>
      <c r="E32" s="14" t="s">
        <v>260</v>
      </c>
      <c r="F32" s="22" t="s">
        <v>261</v>
      </c>
      <c r="G32" s="23" t="s">
        <v>180</v>
      </c>
    </row>
    <row r="33" spans="1:7" x14ac:dyDescent="0.25">
      <c r="A33" s="14" t="s">
        <v>14</v>
      </c>
      <c r="B33" s="14" t="s">
        <v>144</v>
      </c>
      <c r="C33" s="14" t="s">
        <v>181</v>
      </c>
      <c r="D33" s="22" t="s">
        <v>262</v>
      </c>
      <c r="E33" s="14" t="s">
        <v>263</v>
      </c>
      <c r="F33" s="22" t="s">
        <v>264</v>
      </c>
      <c r="G33" s="14" t="s">
        <v>6</v>
      </c>
    </row>
    <row r="34" spans="1:7" x14ac:dyDescent="0.25">
      <c r="A34" s="19" t="s">
        <v>6</v>
      </c>
      <c r="B34" s="19" t="s">
        <v>6</v>
      </c>
      <c r="C34" s="19" t="s">
        <v>6</v>
      </c>
      <c r="D34" s="20" t="s">
        <v>265</v>
      </c>
      <c r="E34" s="19" t="s">
        <v>266</v>
      </c>
      <c r="F34" s="20" t="s">
        <v>6</v>
      </c>
      <c r="G34" s="21" t="s">
        <v>187</v>
      </c>
    </row>
    <row r="35" spans="1:7" x14ac:dyDescent="0.25">
      <c r="A35" s="14" t="s">
        <v>14</v>
      </c>
      <c r="B35" s="14" t="s">
        <v>146</v>
      </c>
      <c r="C35" s="14" t="s">
        <v>181</v>
      </c>
      <c r="D35" s="22" t="s">
        <v>267</v>
      </c>
      <c r="E35" s="14" t="s">
        <v>268</v>
      </c>
      <c r="F35" s="22" t="s">
        <v>269</v>
      </c>
      <c r="G35" s="23" t="s">
        <v>180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270</v>
      </c>
      <c r="E36" s="19" t="s">
        <v>271</v>
      </c>
      <c r="F36" s="20" t="s">
        <v>6</v>
      </c>
      <c r="G36" s="21" t="s">
        <v>187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272</v>
      </c>
      <c r="E37" s="19" t="s">
        <v>273</v>
      </c>
      <c r="F37" s="20" t="s">
        <v>6</v>
      </c>
      <c r="G37" s="21" t="s">
        <v>187</v>
      </c>
    </row>
    <row r="38" spans="1:7" x14ac:dyDescent="0.25">
      <c r="A38" s="14" t="s">
        <v>14</v>
      </c>
      <c r="B38" s="14" t="s">
        <v>146</v>
      </c>
      <c r="C38" s="14" t="s">
        <v>181</v>
      </c>
      <c r="D38" s="22" t="s">
        <v>274</v>
      </c>
      <c r="E38" s="14" t="s">
        <v>268</v>
      </c>
      <c r="F38" s="22" t="s">
        <v>269</v>
      </c>
      <c r="G38" s="23" t="s">
        <v>180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275</v>
      </c>
      <c r="E39" s="19" t="s">
        <v>276</v>
      </c>
      <c r="F39" s="20" t="s">
        <v>6</v>
      </c>
      <c r="G39" s="21" t="s">
        <v>187</v>
      </c>
    </row>
    <row r="40" spans="1:7" x14ac:dyDescent="0.25">
      <c r="A40" s="19" t="s">
        <v>6</v>
      </c>
      <c r="B40" s="19" t="s">
        <v>6</v>
      </c>
      <c r="C40" s="19" t="s">
        <v>6</v>
      </c>
      <c r="D40" s="20" t="s">
        <v>277</v>
      </c>
      <c r="E40" s="19" t="s">
        <v>278</v>
      </c>
      <c r="F40" s="20" t="s">
        <v>6</v>
      </c>
      <c r="G40" s="21" t="s">
        <v>187</v>
      </c>
    </row>
    <row r="41" spans="1:7" x14ac:dyDescent="0.25">
      <c r="A41" s="14" t="s">
        <v>14</v>
      </c>
      <c r="B41" s="14" t="s">
        <v>146</v>
      </c>
      <c r="C41" s="14" t="s">
        <v>181</v>
      </c>
      <c r="D41" s="22" t="s">
        <v>279</v>
      </c>
      <c r="E41" s="14" t="s">
        <v>268</v>
      </c>
      <c r="F41" s="22" t="s">
        <v>269</v>
      </c>
      <c r="G41" s="23" t="s">
        <v>180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280</v>
      </c>
      <c r="E42" s="19" t="s">
        <v>281</v>
      </c>
      <c r="F42" s="20" t="s">
        <v>6</v>
      </c>
      <c r="G42" s="21" t="s">
        <v>187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282</v>
      </c>
      <c r="E43" s="19" t="s">
        <v>283</v>
      </c>
      <c r="F43" s="20" t="s">
        <v>6</v>
      </c>
      <c r="G43" s="21" t="s">
        <v>187</v>
      </c>
    </row>
    <row r="44" spans="1:7" x14ac:dyDescent="0.25">
      <c r="A44" s="14" t="s">
        <v>14</v>
      </c>
      <c r="B44" s="14" t="s">
        <v>158</v>
      </c>
      <c r="C44" s="14" t="s">
        <v>284</v>
      </c>
      <c r="D44" s="22" t="s">
        <v>285</v>
      </c>
      <c r="E44" s="14" t="s">
        <v>286</v>
      </c>
      <c r="F44" s="22" t="s">
        <v>287</v>
      </c>
      <c r="G44" s="23" t="s">
        <v>180</v>
      </c>
    </row>
    <row r="45" spans="1:7" x14ac:dyDescent="0.25">
      <c r="A45" s="24" t="s">
        <v>15</v>
      </c>
      <c r="B45" s="24" t="s">
        <v>54</v>
      </c>
      <c r="C45" s="24" t="s">
        <v>209</v>
      </c>
      <c r="D45" s="25" t="s">
        <v>288</v>
      </c>
      <c r="E45" s="24" t="s">
        <v>289</v>
      </c>
      <c r="F45" s="25" t="s">
        <v>290</v>
      </c>
      <c r="G45" s="26" t="s">
        <v>180</v>
      </c>
    </row>
    <row r="46" spans="1:7" x14ac:dyDescent="0.25">
      <c r="A46" s="24" t="s">
        <v>15</v>
      </c>
      <c r="B46" s="24" t="s">
        <v>56</v>
      </c>
      <c r="C46" s="24" t="s">
        <v>209</v>
      </c>
      <c r="D46" s="25" t="s">
        <v>291</v>
      </c>
      <c r="E46" s="24" t="s">
        <v>292</v>
      </c>
      <c r="F46" s="25" t="s">
        <v>293</v>
      </c>
      <c r="G46" s="24" t="s">
        <v>6</v>
      </c>
    </row>
    <row r="47" spans="1:7" x14ac:dyDescent="0.25">
      <c r="A47" s="24" t="s">
        <v>15</v>
      </c>
      <c r="B47" s="24" t="s">
        <v>90</v>
      </c>
      <c r="C47" s="24" t="s">
        <v>176</v>
      </c>
      <c r="D47" s="25" t="s">
        <v>294</v>
      </c>
      <c r="E47" s="24" t="s">
        <v>295</v>
      </c>
      <c r="F47" s="25" t="s">
        <v>296</v>
      </c>
      <c r="G47" s="24" t="s">
        <v>6</v>
      </c>
    </row>
    <row r="48" spans="1:7" x14ac:dyDescent="0.25">
      <c r="A48" s="24" t="s">
        <v>15</v>
      </c>
      <c r="B48" s="24" t="s">
        <v>108</v>
      </c>
      <c r="C48" s="24" t="s">
        <v>231</v>
      </c>
      <c r="D48" s="25" t="s">
        <v>297</v>
      </c>
      <c r="E48" s="24" t="s">
        <v>298</v>
      </c>
      <c r="F48" s="25" t="s">
        <v>299</v>
      </c>
      <c r="G48" s="26" t="s">
        <v>180</v>
      </c>
    </row>
    <row r="49" spans="1:7" x14ac:dyDescent="0.25">
      <c r="A49" s="24" t="s">
        <v>15</v>
      </c>
      <c r="B49" s="24" t="s">
        <v>108</v>
      </c>
      <c r="C49" s="24" t="s">
        <v>231</v>
      </c>
      <c r="D49" s="25" t="s">
        <v>300</v>
      </c>
      <c r="E49" s="24" t="s">
        <v>301</v>
      </c>
      <c r="F49" s="25" t="s">
        <v>299</v>
      </c>
      <c r="G49" s="26" t="s">
        <v>180</v>
      </c>
    </row>
    <row r="50" spans="1:7" x14ac:dyDescent="0.25">
      <c r="A50" s="24" t="s">
        <v>15</v>
      </c>
      <c r="B50" s="24" t="s">
        <v>108</v>
      </c>
      <c r="C50" s="24" t="s">
        <v>231</v>
      </c>
      <c r="D50" s="25" t="s">
        <v>302</v>
      </c>
      <c r="E50" s="24" t="s">
        <v>303</v>
      </c>
      <c r="F50" s="25" t="s">
        <v>299</v>
      </c>
      <c r="G50" s="26" t="s">
        <v>180</v>
      </c>
    </row>
    <row r="51" spans="1:7" x14ac:dyDescent="0.25">
      <c r="A51" s="24" t="s">
        <v>15</v>
      </c>
      <c r="B51" s="24" t="s">
        <v>108</v>
      </c>
      <c r="C51" s="24" t="s">
        <v>231</v>
      </c>
      <c r="D51" s="25" t="s">
        <v>304</v>
      </c>
      <c r="E51" s="24" t="s">
        <v>305</v>
      </c>
      <c r="F51" s="25" t="s">
        <v>299</v>
      </c>
      <c r="G51" s="26" t="s">
        <v>180</v>
      </c>
    </row>
    <row r="52" spans="1:7" x14ac:dyDescent="0.25">
      <c r="A52" s="24" t="s">
        <v>15</v>
      </c>
      <c r="B52" s="24" t="s">
        <v>108</v>
      </c>
      <c r="C52" s="24" t="s">
        <v>231</v>
      </c>
      <c r="D52" s="25" t="s">
        <v>306</v>
      </c>
      <c r="E52" s="24" t="s">
        <v>307</v>
      </c>
      <c r="F52" s="25" t="s">
        <v>299</v>
      </c>
      <c r="G52" s="26" t="s">
        <v>180</v>
      </c>
    </row>
    <row r="53" spans="1:7" x14ac:dyDescent="0.25">
      <c r="A53" s="24" t="s">
        <v>15</v>
      </c>
      <c r="B53" s="24" t="s">
        <v>128</v>
      </c>
      <c r="C53" s="24" t="s">
        <v>258</v>
      </c>
      <c r="D53" s="25" t="s">
        <v>308</v>
      </c>
      <c r="E53" s="24" t="s">
        <v>309</v>
      </c>
      <c r="F53" s="25" t="s">
        <v>310</v>
      </c>
      <c r="G53" s="26" t="s">
        <v>180</v>
      </c>
    </row>
    <row r="54" spans="1:7" x14ac:dyDescent="0.25">
      <c r="A54" s="24" t="s">
        <v>15</v>
      </c>
      <c r="B54" s="24" t="s">
        <v>128</v>
      </c>
      <c r="C54" s="24" t="s">
        <v>258</v>
      </c>
      <c r="D54" s="25" t="s">
        <v>311</v>
      </c>
      <c r="E54" s="24" t="s">
        <v>312</v>
      </c>
      <c r="F54" s="25" t="s">
        <v>310</v>
      </c>
      <c r="G54" s="26" t="s">
        <v>180</v>
      </c>
    </row>
  </sheetData>
  <autoFilter ref="A1:G54"/>
  <hyperlinks>
    <hyperlink ref="G2" r:id="rId1"/>
    <hyperlink ref="G3" r:id="rId2"/>
    <hyperlink ref="G4" r:id="rId3"/>
    <hyperlink ref="G5" r:id="rId4"/>
    <hyperlink ref="G6" r:id="rId5"/>
    <hyperlink ref="G12" r:id="rId6"/>
    <hyperlink ref="G13" r:id="rId7"/>
    <hyperlink ref="G14" r:id="rId8"/>
    <hyperlink ref="G15" r:id="rId9"/>
    <hyperlink ref="G16" r:id="rId10"/>
    <hyperlink ref="G17" r:id="rId11"/>
    <hyperlink ref="G20" r:id="rId12"/>
    <hyperlink ref="G21" r:id="rId13"/>
    <hyperlink ref="G22" r:id="rId14"/>
    <hyperlink ref="G23" r:id="rId15"/>
    <hyperlink ref="G24" r:id="rId16"/>
    <hyperlink ref="G25" r:id="rId17"/>
    <hyperlink ref="G26" r:id="rId18"/>
    <hyperlink ref="G27" r:id="rId19"/>
    <hyperlink ref="G28" r:id="rId20"/>
    <hyperlink ref="G29" r:id="rId21"/>
    <hyperlink ref="G30" r:id="rId22"/>
    <hyperlink ref="G31" r:id="rId23"/>
    <hyperlink ref="G32" r:id="rId24"/>
    <hyperlink ref="G34" r:id="rId25"/>
    <hyperlink ref="G35" r:id="rId26"/>
    <hyperlink ref="G36" r:id="rId27"/>
    <hyperlink ref="G37" r:id="rId28"/>
    <hyperlink ref="G38" r:id="rId29"/>
    <hyperlink ref="G39" r:id="rId30"/>
    <hyperlink ref="G40" r:id="rId31"/>
    <hyperlink ref="G41" r:id="rId32"/>
    <hyperlink ref="G42" r:id="rId33"/>
    <hyperlink ref="G43" r:id="rId34"/>
    <hyperlink ref="G44" r:id="rId35"/>
    <hyperlink ref="G45" r:id="rId36"/>
    <hyperlink ref="G48" r:id="rId37"/>
    <hyperlink ref="G49" r:id="rId38"/>
    <hyperlink ref="G50" r:id="rId39"/>
    <hyperlink ref="G51" r:id="rId40"/>
    <hyperlink ref="G52" r:id="rId41"/>
    <hyperlink ref="G53" r:id="rId42"/>
    <hyperlink ref="G54" r:id="rId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313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142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185</v>
      </c>
      <c r="D6" s="19" t="s">
        <v>186</v>
      </c>
      <c r="E6" s="20" t="s">
        <v>6</v>
      </c>
      <c r="F6" s="21" t="s">
        <v>187</v>
      </c>
    </row>
    <row r="7" spans="1:6" x14ac:dyDescent="0.25">
      <c r="A7" s="19" t="s">
        <v>6</v>
      </c>
      <c r="B7" s="19" t="s">
        <v>6</v>
      </c>
      <c r="C7" s="20" t="s">
        <v>188</v>
      </c>
      <c r="D7" s="19" t="s">
        <v>189</v>
      </c>
      <c r="E7" s="20" t="s">
        <v>6</v>
      </c>
      <c r="F7" s="21" t="s">
        <v>187</v>
      </c>
    </row>
    <row r="8" spans="1:6" x14ac:dyDescent="0.25">
      <c r="A8" s="14" t="s">
        <v>14</v>
      </c>
      <c r="B8" s="14" t="s">
        <v>144</v>
      </c>
      <c r="C8" s="22" t="s">
        <v>262</v>
      </c>
      <c r="D8" s="14" t="s">
        <v>263</v>
      </c>
      <c r="E8" s="22" t="s">
        <v>264</v>
      </c>
      <c r="F8" s="14" t="s">
        <v>6</v>
      </c>
    </row>
    <row r="9" spans="1:6" x14ac:dyDescent="0.25">
      <c r="A9" s="19" t="s">
        <v>6</v>
      </c>
      <c r="B9" s="19" t="s">
        <v>6</v>
      </c>
      <c r="C9" s="20" t="s">
        <v>265</v>
      </c>
      <c r="D9" s="19" t="s">
        <v>266</v>
      </c>
      <c r="E9" s="20" t="s">
        <v>6</v>
      </c>
      <c r="F9" s="21" t="s">
        <v>187</v>
      </c>
    </row>
    <row r="10" spans="1:6" x14ac:dyDescent="0.25">
      <c r="A10" s="14" t="s">
        <v>14</v>
      </c>
      <c r="B10" s="14" t="s">
        <v>146</v>
      </c>
      <c r="C10" s="22" t="s">
        <v>267</v>
      </c>
      <c r="D10" s="14" t="s">
        <v>268</v>
      </c>
      <c r="E10" s="22" t="s">
        <v>269</v>
      </c>
      <c r="F10" s="23" t="s">
        <v>180</v>
      </c>
    </row>
    <row r="11" spans="1:6" x14ac:dyDescent="0.25">
      <c r="A11" s="19" t="s">
        <v>6</v>
      </c>
      <c r="B11" s="19" t="s">
        <v>6</v>
      </c>
      <c r="C11" s="20" t="s">
        <v>270</v>
      </c>
      <c r="D11" s="19" t="s">
        <v>271</v>
      </c>
      <c r="E11" s="20" t="s">
        <v>6</v>
      </c>
      <c r="F11" s="21" t="s">
        <v>187</v>
      </c>
    </row>
    <row r="12" spans="1:6" x14ac:dyDescent="0.25">
      <c r="A12" s="19" t="s">
        <v>6</v>
      </c>
      <c r="B12" s="19" t="s">
        <v>6</v>
      </c>
      <c r="C12" s="20" t="s">
        <v>272</v>
      </c>
      <c r="D12" s="19" t="s">
        <v>273</v>
      </c>
      <c r="E12" s="20" t="s">
        <v>6</v>
      </c>
      <c r="F12" s="21" t="s">
        <v>187</v>
      </c>
    </row>
    <row r="13" spans="1:6" x14ac:dyDescent="0.25">
      <c r="A13" s="14" t="s">
        <v>14</v>
      </c>
      <c r="B13" s="14" t="s">
        <v>146</v>
      </c>
      <c r="C13" s="22" t="s">
        <v>274</v>
      </c>
      <c r="D13" s="14" t="s">
        <v>268</v>
      </c>
      <c r="E13" s="22" t="s">
        <v>269</v>
      </c>
      <c r="F13" s="23" t="s">
        <v>180</v>
      </c>
    </row>
    <row r="14" spans="1:6" x14ac:dyDescent="0.25">
      <c r="A14" s="19" t="s">
        <v>6</v>
      </c>
      <c r="B14" s="19" t="s">
        <v>6</v>
      </c>
      <c r="C14" s="20" t="s">
        <v>275</v>
      </c>
      <c r="D14" s="19" t="s">
        <v>276</v>
      </c>
      <c r="E14" s="20" t="s">
        <v>6</v>
      </c>
      <c r="F14" s="21" t="s">
        <v>187</v>
      </c>
    </row>
    <row r="15" spans="1:6" x14ac:dyDescent="0.25">
      <c r="A15" s="19" t="s">
        <v>6</v>
      </c>
      <c r="B15" s="19" t="s">
        <v>6</v>
      </c>
      <c r="C15" s="20" t="s">
        <v>277</v>
      </c>
      <c r="D15" s="19" t="s">
        <v>278</v>
      </c>
      <c r="E15" s="20" t="s">
        <v>6</v>
      </c>
      <c r="F15" s="21" t="s">
        <v>187</v>
      </c>
    </row>
    <row r="16" spans="1:6" x14ac:dyDescent="0.25">
      <c r="A16" s="14" t="s">
        <v>14</v>
      </c>
      <c r="B16" s="14" t="s">
        <v>146</v>
      </c>
      <c r="C16" s="22" t="s">
        <v>279</v>
      </c>
      <c r="D16" s="14" t="s">
        <v>268</v>
      </c>
      <c r="E16" s="22" t="s">
        <v>269</v>
      </c>
      <c r="F16" s="23" t="s">
        <v>180</v>
      </c>
    </row>
    <row r="17" spans="1:6" x14ac:dyDescent="0.25">
      <c r="A17" s="19" t="s">
        <v>6</v>
      </c>
      <c r="B17" s="19" t="s">
        <v>6</v>
      </c>
      <c r="C17" s="20" t="s">
        <v>280</v>
      </c>
      <c r="D17" s="19" t="s">
        <v>281</v>
      </c>
      <c r="E17" s="20" t="s">
        <v>6</v>
      </c>
      <c r="F17" s="21" t="s">
        <v>187</v>
      </c>
    </row>
    <row r="18" spans="1:6" x14ac:dyDescent="0.25">
      <c r="A18" s="19" t="s">
        <v>6</v>
      </c>
      <c r="B18" s="19" t="s">
        <v>6</v>
      </c>
      <c r="C18" s="20" t="s">
        <v>282</v>
      </c>
      <c r="D18" s="19" t="s">
        <v>283</v>
      </c>
      <c r="E18" s="20" t="s">
        <v>6</v>
      </c>
      <c r="F18" s="21" t="s">
        <v>187</v>
      </c>
    </row>
  </sheetData>
  <autoFilter ref="A4:F18"/>
  <mergeCells count="1">
    <mergeCell ref="A1:F1"/>
  </mergeCells>
  <hyperlinks>
    <hyperlink ref="F5" r:id="rId1"/>
    <hyperlink ref="F6" r:id="rId2"/>
    <hyperlink ref="F7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314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158</v>
      </c>
      <c r="C5" s="22" t="s">
        <v>285</v>
      </c>
      <c r="D5" s="14" t="s">
        <v>286</v>
      </c>
      <c r="E5" s="22" t="s">
        <v>287</v>
      </c>
      <c r="F5" s="23" t="s">
        <v>180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315</v>
      </c>
    </row>
    <row r="4" spans="1:1" x14ac:dyDescent="0.25">
      <c r="A4" s="29" t="s">
        <v>316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317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42</v>
      </c>
      <c r="C5" s="22" t="s">
        <v>206</v>
      </c>
      <c r="D5" s="14" t="s">
        <v>207</v>
      </c>
      <c r="E5" s="22" t="s">
        <v>208</v>
      </c>
      <c r="F5" s="23" t="s">
        <v>180</v>
      </c>
    </row>
    <row r="6" spans="1:6" x14ac:dyDescent="0.25">
      <c r="A6" s="14" t="s">
        <v>14</v>
      </c>
      <c r="B6" s="14" t="s">
        <v>116</v>
      </c>
      <c r="C6" s="22" t="s">
        <v>241</v>
      </c>
      <c r="D6" s="14" t="s">
        <v>242</v>
      </c>
      <c r="E6" s="22" t="s">
        <v>243</v>
      </c>
      <c r="F6" s="23" t="s">
        <v>180</v>
      </c>
    </row>
    <row r="7" spans="1:6" x14ac:dyDescent="0.25">
      <c r="A7" s="14" t="s">
        <v>14</v>
      </c>
      <c r="B7" s="14" t="s">
        <v>116</v>
      </c>
      <c r="C7" s="22" t="s">
        <v>244</v>
      </c>
      <c r="D7" s="14" t="s">
        <v>245</v>
      </c>
      <c r="E7" s="22" t="s">
        <v>243</v>
      </c>
      <c r="F7" s="23" t="s">
        <v>180</v>
      </c>
    </row>
    <row r="8" spans="1:6" x14ac:dyDescent="0.25">
      <c r="A8" s="14" t="s">
        <v>14</v>
      </c>
      <c r="B8" s="14" t="s">
        <v>116</v>
      </c>
      <c r="C8" s="22" t="s">
        <v>246</v>
      </c>
      <c r="D8" s="14" t="s">
        <v>247</v>
      </c>
      <c r="E8" s="22" t="s">
        <v>243</v>
      </c>
      <c r="F8" s="23" t="s">
        <v>180</v>
      </c>
    </row>
    <row r="9" spans="1:6" x14ac:dyDescent="0.25">
      <c r="A9" s="14" t="s">
        <v>14</v>
      </c>
      <c r="B9" s="14" t="s">
        <v>116</v>
      </c>
      <c r="C9" s="22" t="s">
        <v>248</v>
      </c>
      <c r="D9" s="14" t="s">
        <v>249</v>
      </c>
      <c r="E9" s="22" t="s">
        <v>243</v>
      </c>
      <c r="F9" s="23" t="s">
        <v>180</v>
      </c>
    </row>
    <row r="10" spans="1:6" x14ac:dyDescent="0.25">
      <c r="A10" s="19" t="s">
        <v>6</v>
      </c>
      <c r="B10" s="19" t="s">
        <v>6</v>
      </c>
      <c r="C10" s="20" t="s">
        <v>250</v>
      </c>
      <c r="D10" s="19" t="s">
        <v>251</v>
      </c>
      <c r="E10" s="20" t="s">
        <v>252</v>
      </c>
      <c r="F10" s="21" t="s">
        <v>187</v>
      </c>
    </row>
    <row r="11" spans="1:6" x14ac:dyDescent="0.25">
      <c r="A11" s="19" t="s">
        <v>6</v>
      </c>
      <c r="B11" s="19" t="s">
        <v>6</v>
      </c>
      <c r="C11" s="20" t="s">
        <v>253</v>
      </c>
      <c r="D11" s="19" t="s">
        <v>254</v>
      </c>
      <c r="E11" s="20" t="s">
        <v>255</v>
      </c>
      <c r="F11" s="21" t="s">
        <v>187</v>
      </c>
    </row>
    <row r="12" spans="1:6" x14ac:dyDescent="0.25">
      <c r="A12" s="19" t="s">
        <v>6</v>
      </c>
      <c r="B12" s="19" t="s">
        <v>6</v>
      </c>
      <c r="C12" s="20" t="s">
        <v>253</v>
      </c>
      <c r="D12" s="19" t="s">
        <v>254</v>
      </c>
      <c r="E12" s="20" t="s">
        <v>252</v>
      </c>
      <c r="F12" s="21" t="s">
        <v>187</v>
      </c>
    </row>
    <row r="13" spans="1:6" x14ac:dyDescent="0.25">
      <c r="A13" s="19" t="s">
        <v>6</v>
      </c>
      <c r="B13" s="19" t="s">
        <v>6</v>
      </c>
      <c r="C13" s="20" t="s">
        <v>256</v>
      </c>
      <c r="D13" s="19" t="s">
        <v>257</v>
      </c>
      <c r="E13" s="20" t="s">
        <v>255</v>
      </c>
      <c r="F13" s="21" t="s">
        <v>187</v>
      </c>
    </row>
    <row r="14" spans="1:6" x14ac:dyDescent="0.25">
      <c r="A14" s="19" t="s">
        <v>6</v>
      </c>
      <c r="B14" s="19" t="s">
        <v>6</v>
      </c>
      <c r="C14" s="20" t="s">
        <v>256</v>
      </c>
      <c r="D14" s="19" t="s">
        <v>257</v>
      </c>
      <c r="E14" s="20" t="s">
        <v>252</v>
      </c>
      <c r="F14" s="21" t="s">
        <v>187</v>
      </c>
    </row>
  </sheetData>
  <autoFilter ref="A4:F14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318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86</v>
      </c>
      <c r="C6" s="22" t="s">
        <v>215</v>
      </c>
      <c r="D6" s="14" t="s">
        <v>216</v>
      </c>
      <c r="E6" s="22" t="s">
        <v>217</v>
      </c>
      <c r="F6" s="23" t="s">
        <v>180</v>
      </c>
    </row>
    <row r="7" spans="1:6" x14ac:dyDescent="0.25">
      <c r="A7" s="14" t="s">
        <v>14</v>
      </c>
      <c r="B7" s="14" t="s">
        <v>92</v>
      </c>
      <c r="C7" s="22" t="s">
        <v>219</v>
      </c>
      <c r="D7" s="14" t="s">
        <v>220</v>
      </c>
      <c r="E7" s="22" t="s">
        <v>221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222</v>
      </c>
      <c r="D8" s="14" t="s">
        <v>223</v>
      </c>
      <c r="E8" s="22" t="s">
        <v>224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226</v>
      </c>
      <c r="D9" s="14" t="s">
        <v>227</v>
      </c>
      <c r="E9" s="22" t="s">
        <v>228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229</v>
      </c>
      <c r="D10" s="14" t="s">
        <v>227</v>
      </c>
      <c r="E10" s="22" t="s">
        <v>230</v>
      </c>
      <c r="F10" s="14" t="s">
        <v>6</v>
      </c>
    </row>
    <row r="11" spans="1:6" x14ac:dyDescent="0.25">
      <c r="A11" s="14" t="s">
        <v>14</v>
      </c>
      <c r="B11" s="14" t="s">
        <v>102</v>
      </c>
      <c r="C11" s="22" t="s">
        <v>232</v>
      </c>
      <c r="D11" s="14" t="s">
        <v>233</v>
      </c>
      <c r="E11" s="22" t="s">
        <v>234</v>
      </c>
      <c r="F11" s="23" t="s">
        <v>180</v>
      </c>
    </row>
    <row r="12" spans="1:6" x14ac:dyDescent="0.25">
      <c r="A12" s="14" t="s">
        <v>14</v>
      </c>
      <c r="B12" s="14" t="s">
        <v>102</v>
      </c>
      <c r="C12" s="22" t="s">
        <v>235</v>
      </c>
      <c r="D12" s="14" t="s">
        <v>236</v>
      </c>
      <c r="E12" s="22" t="s">
        <v>234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237</v>
      </c>
      <c r="D13" s="14" t="s">
        <v>238</v>
      </c>
      <c r="E13" s="22" t="s">
        <v>239</v>
      </c>
      <c r="F13" s="23" t="s">
        <v>180</v>
      </c>
    </row>
    <row r="14" spans="1:6" x14ac:dyDescent="0.25">
      <c r="A14" s="14" t="s">
        <v>14</v>
      </c>
      <c r="B14" s="14" t="s">
        <v>126</v>
      </c>
      <c r="C14" s="22" t="s">
        <v>259</v>
      </c>
      <c r="D14" s="14" t="s">
        <v>260</v>
      </c>
      <c r="E14" s="22" t="s">
        <v>261</v>
      </c>
      <c r="F14" s="23" t="s">
        <v>180</v>
      </c>
    </row>
    <row r="15" spans="1:6" x14ac:dyDescent="0.25">
      <c r="A15" s="24" t="s">
        <v>15</v>
      </c>
      <c r="B15" s="24" t="s">
        <v>90</v>
      </c>
      <c r="C15" s="25" t="s">
        <v>294</v>
      </c>
      <c r="D15" s="24" t="s">
        <v>295</v>
      </c>
      <c r="E15" s="25" t="s">
        <v>296</v>
      </c>
      <c r="F15" s="24" t="s">
        <v>6</v>
      </c>
    </row>
    <row r="16" spans="1:6" x14ac:dyDescent="0.25">
      <c r="A16" s="24" t="s">
        <v>15</v>
      </c>
      <c r="B16" s="24" t="s">
        <v>108</v>
      </c>
      <c r="C16" s="25" t="s">
        <v>297</v>
      </c>
      <c r="D16" s="24" t="s">
        <v>298</v>
      </c>
      <c r="E16" s="25" t="s">
        <v>299</v>
      </c>
      <c r="F16" s="26" t="s">
        <v>180</v>
      </c>
    </row>
    <row r="17" spans="1:6" x14ac:dyDescent="0.25">
      <c r="A17" s="24" t="s">
        <v>15</v>
      </c>
      <c r="B17" s="24" t="s">
        <v>108</v>
      </c>
      <c r="C17" s="25" t="s">
        <v>300</v>
      </c>
      <c r="D17" s="24" t="s">
        <v>301</v>
      </c>
      <c r="E17" s="25" t="s">
        <v>299</v>
      </c>
      <c r="F17" s="26" t="s">
        <v>180</v>
      </c>
    </row>
    <row r="18" spans="1:6" x14ac:dyDescent="0.25">
      <c r="A18" s="24" t="s">
        <v>15</v>
      </c>
      <c r="B18" s="24" t="s">
        <v>108</v>
      </c>
      <c r="C18" s="25" t="s">
        <v>302</v>
      </c>
      <c r="D18" s="24" t="s">
        <v>303</v>
      </c>
      <c r="E18" s="25" t="s">
        <v>299</v>
      </c>
      <c r="F18" s="26" t="s">
        <v>180</v>
      </c>
    </row>
    <row r="19" spans="1:6" x14ac:dyDescent="0.25">
      <c r="A19" s="24" t="s">
        <v>15</v>
      </c>
      <c r="B19" s="24" t="s">
        <v>108</v>
      </c>
      <c r="C19" s="25" t="s">
        <v>304</v>
      </c>
      <c r="D19" s="24" t="s">
        <v>305</v>
      </c>
      <c r="E19" s="25" t="s">
        <v>299</v>
      </c>
      <c r="F19" s="26" t="s">
        <v>180</v>
      </c>
    </row>
    <row r="20" spans="1:6" x14ac:dyDescent="0.25">
      <c r="A20" s="24" t="s">
        <v>15</v>
      </c>
      <c r="B20" s="24" t="s">
        <v>108</v>
      </c>
      <c r="C20" s="25" t="s">
        <v>306</v>
      </c>
      <c r="D20" s="24" t="s">
        <v>307</v>
      </c>
      <c r="E20" s="25" t="s">
        <v>299</v>
      </c>
      <c r="F20" s="26" t="s">
        <v>180</v>
      </c>
    </row>
    <row r="21" spans="1:6" x14ac:dyDescent="0.25">
      <c r="A21" s="24" t="s">
        <v>15</v>
      </c>
      <c r="B21" s="24" t="s">
        <v>128</v>
      </c>
      <c r="C21" s="25" t="s">
        <v>308</v>
      </c>
      <c r="D21" s="24" t="s">
        <v>309</v>
      </c>
      <c r="E21" s="25" t="s">
        <v>310</v>
      </c>
      <c r="F21" s="26" t="s">
        <v>180</v>
      </c>
    </row>
    <row r="22" spans="1:6" x14ac:dyDescent="0.25">
      <c r="A22" s="24" t="s">
        <v>15</v>
      </c>
      <c r="B22" s="24" t="s">
        <v>128</v>
      </c>
      <c r="C22" s="25" t="s">
        <v>311</v>
      </c>
      <c r="D22" s="24" t="s">
        <v>312</v>
      </c>
      <c r="E22" s="25" t="s">
        <v>310</v>
      </c>
      <c r="F22" s="26" t="s">
        <v>180</v>
      </c>
    </row>
  </sheetData>
  <autoFilter ref="A4:F22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6" r:id="rId9"/>
    <hyperlink ref="F17" r:id="rId10"/>
    <hyperlink ref="F18" r:id="rId11"/>
    <hyperlink ref="F19" r:id="rId12"/>
    <hyperlink ref="F20" r:id="rId13"/>
    <hyperlink ref="F21" r:id="rId14"/>
    <hyperlink ref="F22" r:id="rId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319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28</v>
      </c>
      <c r="C5" s="22" t="s">
        <v>191</v>
      </c>
      <c r="D5" s="14" t="s">
        <v>192</v>
      </c>
      <c r="E5" s="22" t="s">
        <v>193</v>
      </c>
      <c r="F5" s="23" t="s">
        <v>180</v>
      </c>
    </row>
    <row r="6" spans="1:6" x14ac:dyDescent="0.25">
      <c r="A6" s="14" t="s">
        <v>14</v>
      </c>
      <c r="B6" s="14" t="s">
        <v>31</v>
      </c>
      <c r="C6" s="22" t="s">
        <v>194</v>
      </c>
      <c r="D6" s="14" t="s">
        <v>195</v>
      </c>
      <c r="E6" s="22" t="s">
        <v>196</v>
      </c>
      <c r="F6" s="14" t="s">
        <v>6</v>
      </c>
    </row>
    <row r="7" spans="1:6" x14ac:dyDescent="0.25">
      <c r="A7" s="14" t="s">
        <v>14</v>
      </c>
      <c r="B7" s="14" t="s">
        <v>31</v>
      </c>
      <c r="C7" s="22" t="s">
        <v>197</v>
      </c>
      <c r="D7" s="14" t="s">
        <v>198</v>
      </c>
      <c r="E7" s="22" t="s">
        <v>196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199</v>
      </c>
      <c r="D8" s="14" t="s">
        <v>200</v>
      </c>
      <c r="E8" s="22" t="s">
        <v>196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201</v>
      </c>
      <c r="D9" s="14" t="s">
        <v>202</v>
      </c>
      <c r="E9" s="22" t="s">
        <v>196</v>
      </c>
      <c r="F9" s="14" t="s">
        <v>6</v>
      </c>
    </row>
    <row r="10" spans="1:6" x14ac:dyDescent="0.25">
      <c r="A10" s="14" t="s">
        <v>14</v>
      </c>
      <c r="B10" s="14" t="s">
        <v>31</v>
      </c>
      <c r="C10" s="22" t="s">
        <v>203</v>
      </c>
      <c r="D10" s="14" t="s">
        <v>204</v>
      </c>
      <c r="E10" s="22" t="s">
        <v>196</v>
      </c>
      <c r="F10" s="14" t="s">
        <v>6</v>
      </c>
    </row>
    <row r="11" spans="1:6" x14ac:dyDescent="0.25">
      <c r="A11" s="14" t="s">
        <v>14</v>
      </c>
      <c r="B11" s="14" t="s">
        <v>50</v>
      </c>
      <c r="C11" s="22" t="s">
        <v>210</v>
      </c>
      <c r="D11" s="14" t="s">
        <v>211</v>
      </c>
      <c r="E11" s="22" t="s">
        <v>212</v>
      </c>
      <c r="F11" s="23" t="s">
        <v>180</v>
      </c>
    </row>
    <row r="12" spans="1:6" x14ac:dyDescent="0.25">
      <c r="A12" s="14" t="s">
        <v>14</v>
      </c>
      <c r="B12" s="14" t="s">
        <v>52</v>
      </c>
      <c r="C12" s="22" t="s">
        <v>213</v>
      </c>
      <c r="D12" s="14" t="s">
        <v>214</v>
      </c>
      <c r="E12" s="22" t="s">
        <v>212</v>
      </c>
      <c r="F12" s="23" t="s">
        <v>180</v>
      </c>
    </row>
    <row r="13" spans="1:6" x14ac:dyDescent="0.25">
      <c r="A13" s="24" t="s">
        <v>15</v>
      </c>
      <c r="B13" s="24" t="s">
        <v>54</v>
      </c>
      <c r="C13" s="25" t="s">
        <v>288</v>
      </c>
      <c r="D13" s="24" t="s">
        <v>289</v>
      </c>
      <c r="E13" s="25" t="s">
        <v>290</v>
      </c>
      <c r="F13" s="26" t="s">
        <v>180</v>
      </c>
    </row>
    <row r="14" spans="1:6" x14ac:dyDescent="0.25">
      <c r="A14" s="24" t="s">
        <v>15</v>
      </c>
      <c r="B14" s="24" t="s">
        <v>56</v>
      </c>
      <c r="C14" s="25" t="s">
        <v>291</v>
      </c>
      <c r="D14" s="24" t="s">
        <v>292</v>
      </c>
      <c r="E14" s="25" t="s">
        <v>293</v>
      </c>
      <c r="F14" s="24" t="s">
        <v>6</v>
      </c>
    </row>
  </sheetData>
  <autoFilter ref="A4:F14"/>
  <mergeCells count="1">
    <mergeCell ref="A1:F1"/>
  </mergeCells>
  <hyperlinks>
    <hyperlink ref="F5" r:id="rId1"/>
    <hyperlink ref="F11" r:id="rId2"/>
    <hyperlink ref="F12" r:id="rId3"/>
    <hyperlink ref="F13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320</v>
      </c>
      <c r="B1" s="5" t="s">
        <v>321</v>
      </c>
      <c r="C1" s="5" t="s">
        <v>322</v>
      </c>
      <c r="D1" s="5" t="s">
        <v>323</v>
      </c>
      <c r="E1" s="5" t="s">
        <v>324</v>
      </c>
      <c r="F1" s="5" t="s">
        <v>325</v>
      </c>
      <c r="G1" s="5" t="s">
        <v>326</v>
      </c>
    </row>
    <row r="2" spans="1:7" x14ac:dyDescent="0.25">
      <c r="A2" s="10" t="s">
        <v>327</v>
      </c>
      <c r="B2" s="30">
        <v>7620048</v>
      </c>
      <c r="C2" s="30">
        <v>3535213</v>
      </c>
      <c r="D2" s="31">
        <v>4084835</v>
      </c>
      <c r="E2" s="32" t="s">
        <v>328</v>
      </c>
      <c r="F2" s="10" t="s">
        <v>329</v>
      </c>
      <c r="G2" s="33" t="s">
        <v>330</v>
      </c>
    </row>
    <row r="3" spans="1:7" x14ac:dyDescent="0.25">
      <c r="A3" s="10" t="s">
        <v>331</v>
      </c>
      <c r="B3" s="30">
        <v>4928360</v>
      </c>
      <c r="C3" s="30">
        <v>5776077</v>
      </c>
      <c r="D3" s="30">
        <v>-847717</v>
      </c>
      <c r="E3" s="32" t="s">
        <v>332</v>
      </c>
      <c r="F3" s="10" t="s">
        <v>6</v>
      </c>
      <c r="G3" s="33" t="s">
        <v>330</v>
      </c>
    </row>
    <row r="4" spans="1:7" x14ac:dyDescent="0.25">
      <c r="A4" s="10" t="s">
        <v>333</v>
      </c>
      <c r="B4" s="30">
        <v>7456051</v>
      </c>
      <c r="C4" s="30">
        <v>11218836</v>
      </c>
      <c r="D4" s="30">
        <v>-3762785</v>
      </c>
      <c r="E4" s="32" t="s">
        <v>334</v>
      </c>
      <c r="F4" s="10" t="s">
        <v>6</v>
      </c>
      <c r="G4" s="33" t="s">
        <v>330</v>
      </c>
    </row>
    <row r="5" spans="1:7" x14ac:dyDescent="0.25">
      <c r="A5" s="10" t="s">
        <v>335</v>
      </c>
      <c r="B5" s="30">
        <v>6949250</v>
      </c>
      <c r="C5" s="30">
        <v>4151620</v>
      </c>
      <c r="D5" s="31">
        <v>2797630</v>
      </c>
      <c r="E5" s="32" t="s">
        <v>336</v>
      </c>
      <c r="F5" s="10" t="s">
        <v>329</v>
      </c>
      <c r="G5" s="33" t="s">
        <v>330</v>
      </c>
    </row>
    <row r="6" spans="1:7" x14ac:dyDescent="0.25">
      <c r="A6" s="10" t="s">
        <v>337</v>
      </c>
      <c r="B6" s="30">
        <v>344709</v>
      </c>
      <c r="C6" s="30">
        <v>0</v>
      </c>
      <c r="D6" s="30">
        <v>344709</v>
      </c>
      <c r="E6" s="32" t="s">
        <v>6</v>
      </c>
      <c r="F6" s="10" t="s">
        <v>6</v>
      </c>
      <c r="G6" s="33" t="s">
        <v>330</v>
      </c>
    </row>
    <row r="7" spans="1:7" x14ac:dyDescent="0.25">
      <c r="A7" s="10" t="s">
        <v>338</v>
      </c>
      <c r="B7" s="30">
        <v>0</v>
      </c>
      <c r="C7" s="30">
        <v>0</v>
      </c>
      <c r="D7" s="30">
        <v>0</v>
      </c>
      <c r="E7" s="32" t="s">
        <v>6</v>
      </c>
      <c r="F7" s="10" t="s">
        <v>6</v>
      </c>
      <c r="G7" s="33" t="s">
        <v>330</v>
      </c>
    </row>
    <row r="8" spans="1:7" x14ac:dyDescent="0.25">
      <c r="A8" s="10" t="s">
        <v>339</v>
      </c>
      <c r="B8" s="30">
        <v>125970</v>
      </c>
      <c r="C8" s="30">
        <v>175470</v>
      </c>
      <c r="D8" s="30">
        <v>-49500</v>
      </c>
      <c r="E8" s="32" t="s">
        <v>340</v>
      </c>
      <c r="F8" s="10" t="s">
        <v>6</v>
      </c>
      <c r="G8" s="33" t="s">
        <v>330</v>
      </c>
    </row>
    <row r="9" spans="1:7" x14ac:dyDescent="0.25">
      <c r="A9" s="10" t="s">
        <v>341</v>
      </c>
      <c r="B9" s="30">
        <v>0</v>
      </c>
      <c r="C9" s="30">
        <v>0</v>
      </c>
      <c r="D9" s="30">
        <v>0</v>
      </c>
      <c r="E9" s="32" t="s">
        <v>6</v>
      </c>
      <c r="F9" s="10" t="s">
        <v>6</v>
      </c>
      <c r="G9" s="33" t="s">
        <v>330</v>
      </c>
    </row>
    <row r="10" spans="1:7" x14ac:dyDescent="0.25">
      <c r="A10" s="10" t="s">
        <v>342</v>
      </c>
      <c r="B10" s="30">
        <v>720316</v>
      </c>
      <c r="C10" s="30">
        <v>35316</v>
      </c>
      <c r="D10" s="31">
        <v>685000</v>
      </c>
      <c r="E10" s="32" t="s">
        <v>343</v>
      </c>
      <c r="F10" s="10" t="s">
        <v>329</v>
      </c>
      <c r="G10" s="33" t="s">
        <v>330</v>
      </c>
    </row>
    <row r="11" spans="1:7" x14ac:dyDescent="0.25">
      <c r="A11" s="10" t="s">
        <v>344</v>
      </c>
      <c r="B11" s="30">
        <v>0</v>
      </c>
      <c r="C11" s="30">
        <v>50310</v>
      </c>
      <c r="D11" s="31">
        <v>-50310</v>
      </c>
      <c r="E11" s="32" t="s">
        <v>345</v>
      </c>
      <c r="F11" s="10" t="s">
        <v>329</v>
      </c>
      <c r="G11" s="33" t="s">
        <v>330</v>
      </c>
    </row>
    <row r="12" spans="1:7" x14ac:dyDescent="0.25">
      <c r="A12" s="10" t="s">
        <v>346</v>
      </c>
      <c r="B12" s="30">
        <v>1210907</v>
      </c>
      <c r="C12" s="30">
        <v>1242342</v>
      </c>
      <c r="D12" s="30">
        <v>-31435</v>
      </c>
      <c r="E12" s="32" t="s">
        <v>347</v>
      </c>
      <c r="F12" s="10" t="s">
        <v>6</v>
      </c>
      <c r="G12" s="33" t="s">
        <v>330</v>
      </c>
    </row>
    <row r="13" spans="1:7" x14ac:dyDescent="0.25">
      <c r="A13" s="10" t="s">
        <v>348</v>
      </c>
      <c r="B13" s="30">
        <v>100000</v>
      </c>
      <c r="C13" s="30">
        <v>100000</v>
      </c>
      <c r="D13" s="30">
        <v>0</v>
      </c>
      <c r="E13" s="32" t="s">
        <v>349</v>
      </c>
      <c r="F13" s="10" t="s">
        <v>6</v>
      </c>
      <c r="G13" s="33" t="s">
        <v>330</v>
      </c>
    </row>
    <row r="14" spans="1:7" x14ac:dyDescent="0.25">
      <c r="A14" s="10" t="s">
        <v>350</v>
      </c>
      <c r="B14" s="30">
        <v>390088</v>
      </c>
      <c r="C14" s="30">
        <v>405044</v>
      </c>
      <c r="D14" s="30">
        <v>-14956</v>
      </c>
      <c r="E14" s="32" t="s">
        <v>351</v>
      </c>
      <c r="F14" s="10" t="s">
        <v>6</v>
      </c>
      <c r="G14" s="33" t="s">
        <v>330</v>
      </c>
    </row>
    <row r="15" spans="1:7" x14ac:dyDescent="0.25">
      <c r="A15" s="10" t="s">
        <v>352</v>
      </c>
      <c r="B15" s="30">
        <v>7385000</v>
      </c>
      <c r="C15" s="30">
        <v>6665000</v>
      </c>
      <c r="D15" s="30">
        <v>720000</v>
      </c>
      <c r="E15" s="32" t="s">
        <v>353</v>
      </c>
      <c r="F15" s="10" t="s">
        <v>6</v>
      </c>
      <c r="G15" s="33" t="s">
        <v>330</v>
      </c>
    </row>
    <row r="16" spans="1:7" x14ac:dyDescent="0.25">
      <c r="A16" s="10" t="s">
        <v>354</v>
      </c>
      <c r="B16" s="30">
        <v>0</v>
      </c>
      <c r="C16" s="30">
        <v>322300</v>
      </c>
      <c r="D16" s="31">
        <v>-322300</v>
      </c>
      <c r="E16" s="32" t="s">
        <v>345</v>
      </c>
      <c r="F16" s="10" t="s">
        <v>329</v>
      </c>
      <c r="G16" s="33" t="s">
        <v>330</v>
      </c>
    </row>
    <row r="17" spans="1:7" x14ac:dyDescent="0.25">
      <c r="A17" s="10" t="s">
        <v>355</v>
      </c>
      <c r="B17" s="30">
        <v>1115631</v>
      </c>
      <c r="C17" s="30">
        <v>641360</v>
      </c>
      <c r="D17" s="31">
        <v>474271</v>
      </c>
      <c r="E17" s="32" t="s">
        <v>356</v>
      </c>
      <c r="F17" s="10" t="s">
        <v>329</v>
      </c>
      <c r="G17" s="33" t="s">
        <v>330</v>
      </c>
    </row>
    <row r="18" spans="1:7" x14ac:dyDescent="0.25">
      <c r="A18" s="10" t="s">
        <v>357</v>
      </c>
      <c r="B18" s="30">
        <v>38528</v>
      </c>
      <c r="C18" s="30">
        <v>55212</v>
      </c>
      <c r="D18" s="30">
        <v>-16684</v>
      </c>
      <c r="E18" s="32" t="s">
        <v>358</v>
      </c>
      <c r="F18" s="10" t="s">
        <v>6</v>
      </c>
      <c r="G18" s="33" t="s">
        <v>330</v>
      </c>
    </row>
    <row r="19" spans="1:7" x14ac:dyDescent="0.25">
      <c r="A19" s="10" t="s">
        <v>359</v>
      </c>
      <c r="B19" s="30">
        <v>0</v>
      </c>
      <c r="C19" s="30">
        <v>31818</v>
      </c>
      <c r="D19" s="31">
        <v>-31818</v>
      </c>
      <c r="E19" s="32" t="s">
        <v>345</v>
      </c>
      <c r="F19" s="10" t="s">
        <v>329</v>
      </c>
      <c r="G19" s="33" t="s">
        <v>330</v>
      </c>
    </row>
    <row r="20" spans="1:7" x14ac:dyDescent="0.25">
      <c r="A20" s="10" t="s">
        <v>360</v>
      </c>
      <c r="B20" s="30">
        <v>70000</v>
      </c>
      <c r="C20" s="30">
        <v>0</v>
      </c>
      <c r="D20" s="30">
        <v>70000</v>
      </c>
      <c r="E20" s="32" t="s">
        <v>6</v>
      </c>
      <c r="F20" s="10" t="s">
        <v>6</v>
      </c>
      <c r="G20" s="33" t="s">
        <v>330</v>
      </c>
    </row>
    <row r="21" spans="1:7" x14ac:dyDescent="0.25">
      <c r="A21" s="10" t="s">
        <v>361</v>
      </c>
      <c r="B21" s="30">
        <v>668400</v>
      </c>
      <c r="C21" s="30">
        <v>0</v>
      </c>
      <c r="D21" s="30">
        <v>668400</v>
      </c>
      <c r="E21" s="32" t="s">
        <v>6</v>
      </c>
      <c r="F21" s="10" t="s">
        <v>6</v>
      </c>
      <c r="G21" s="33" t="s">
        <v>330</v>
      </c>
    </row>
    <row r="22" spans="1:7" x14ac:dyDescent="0.25">
      <c r="A22" s="10" t="s">
        <v>362</v>
      </c>
      <c r="B22" s="30">
        <v>457598</v>
      </c>
      <c r="C22" s="30">
        <v>138791</v>
      </c>
      <c r="D22" s="31">
        <v>318807</v>
      </c>
      <c r="E22" s="32" t="s">
        <v>363</v>
      </c>
      <c r="F22" s="10" t="s">
        <v>329</v>
      </c>
      <c r="G22" s="33" t="s">
        <v>330</v>
      </c>
    </row>
    <row r="23" spans="1:7" x14ac:dyDescent="0.25">
      <c r="A23" s="10" t="s">
        <v>364</v>
      </c>
      <c r="B23" s="30">
        <v>21131000</v>
      </c>
      <c r="C23" s="30">
        <v>21551000</v>
      </c>
      <c r="D23" s="30">
        <v>-420000</v>
      </c>
      <c r="E23" s="32" t="s">
        <v>365</v>
      </c>
      <c r="F23" s="10" t="s">
        <v>6</v>
      </c>
      <c r="G23" s="33" t="s">
        <v>330</v>
      </c>
    </row>
    <row r="24" spans="1:7" x14ac:dyDescent="0.25">
      <c r="A24" s="10" t="s">
        <v>366</v>
      </c>
      <c r="B24" s="30">
        <v>2500000</v>
      </c>
      <c r="C24" s="30">
        <v>2500000</v>
      </c>
      <c r="D24" s="30">
        <v>0</v>
      </c>
      <c r="E24" s="32" t="s">
        <v>349</v>
      </c>
      <c r="F24" s="10" t="s">
        <v>6</v>
      </c>
      <c r="G24" s="33" t="s">
        <v>330</v>
      </c>
    </row>
    <row r="25" spans="1:7" x14ac:dyDescent="0.25">
      <c r="A25" s="10" t="s">
        <v>367</v>
      </c>
      <c r="B25" s="30">
        <v>12359034</v>
      </c>
      <c r="C25" s="30">
        <v>12359034</v>
      </c>
      <c r="D25" s="30">
        <v>0</v>
      </c>
      <c r="E25" s="32" t="s">
        <v>349</v>
      </c>
      <c r="F25" s="10" t="s">
        <v>6</v>
      </c>
      <c r="G25" s="33" t="s">
        <v>330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4" t="s">
        <v>368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ht="22" customHeight="1" spans="1:15" x14ac:dyDescent="0.25">
      <c r="A3" s="5" t="s">
        <v>320</v>
      </c>
      <c r="B3" s="5" t="s">
        <v>369</v>
      </c>
      <c r="C3" s="5" t="s">
        <v>370</v>
      </c>
      <c r="D3" s="5" t="s">
        <v>371</v>
      </c>
      <c r="E3" s="5" t="s">
        <v>372</v>
      </c>
      <c r="F3" s="5" t="s">
        <v>373</v>
      </c>
      <c r="G3" s="5" t="s">
        <v>374</v>
      </c>
      <c r="H3" s="5" t="s">
        <v>375</v>
      </c>
      <c r="I3" s="5" t="s">
        <v>376</v>
      </c>
      <c r="J3" s="5" t="s">
        <v>377</v>
      </c>
      <c r="K3" s="5" t="s">
        <v>378</v>
      </c>
      <c r="L3" s="5" t="s">
        <v>379</v>
      </c>
      <c r="M3" s="35" t="s">
        <v>380</v>
      </c>
      <c r="N3" s="5" t="s">
        <v>381</v>
      </c>
      <c r="O3" s="5" t="s">
        <v>326</v>
      </c>
    </row>
    <row r="4" spans="1:15" x14ac:dyDescent="0.25">
      <c r="A4" s="10" t="s">
        <v>382</v>
      </c>
      <c r="B4" s="30">
        <v>1232000</v>
      </c>
      <c r="C4" s="30">
        <v>1661000</v>
      </c>
      <c r="D4" s="30">
        <v>2533960</v>
      </c>
      <c r="E4" s="30">
        <v>1005400</v>
      </c>
      <c r="F4" s="36">
        <v>0</v>
      </c>
      <c r="G4" s="30">
        <v>2678060</v>
      </c>
      <c r="H4" s="30">
        <v>2033790</v>
      </c>
      <c r="I4" s="30">
        <v>37400</v>
      </c>
      <c r="J4" s="30">
        <v>1056000</v>
      </c>
      <c r="K4" s="30">
        <v>6478670</v>
      </c>
      <c r="L4" s="30">
        <v>2772550</v>
      </c>
      <c r="M4" s="37">
        <v>8232950</v>
      </c>
      <c r="N4" s="38">
        <f>SUM(B4:M4)</f>
        <v>29721780</v>
      </c>
      <c r="O4" s="39"/>
    </row>
    <row r="5" spans="1:15" x14ac:dyDescent="0.25">
      <c r="A5" s="10" t="s">
        <v>383</v>
      </c>
      <c r="B5" s="30">
        <v>218321</v>
      </c>
      <c r="C5" s="30">
        <v>4373</v>
      </c>
      <c r="D5" s="30">
        <v>29373</v>
      </c>
      <c r="E5" s="30">
        <v>438291</v>
      </c>
      <c r="F5" s="30">
        <v>66000</v>
      </c>
      <c r="G5" s="30">
        <v>364650</v>
      </c>
      <c r="H5" s="30">
        <v>248340</v>
      </c>
      <c r="I5" s="36">
        <v>0</v>
      </c>
      <c r="J5" s="30">
        <v>4178</v>
      </c>
      <c r="K5" s="30">
        <v>386028</v>
      </c>
      <c r="L5" s="30">
        <v>348851</v>
      </c>
      <c r="M5" s="37">
        <v>-344709</v>
      </c>
      <c r="N5" s="38">
        <f>SUM(B5:M5)</f>
        <v>1763696</v>
      </c>
      <c r="O5" s="39"/>
    </row>
    <row r="6" spans="1:15" x14ac:dyDescent="0.25">
      <c r="A6" s="40" t="s">
        <v>384</v>
      </c>
      <c r="B6" s="41">
        <v>1013679</v>
      </c>
      <c r="C6" s="41">
        <v>1656627</v>
      </c>
      <c r="D6" s="41">
        <v>2504587</v>
      </c>
      <c r="E6" s="41">
        <v>567109</v>
      </c>
      <c r="F6" s="41">
        <v>-66000</v>
      </c>
      <c r="G6" s="41">
        <v>2313410</v>
      </c>
      <c r="H6" s="41">
        <v>1785450</v>
      </c>
      <c r="I6" s="41">
        <v>37400</v>
      </c>
      <c r="J6" s="41">
        <v>1051822</v>
      </c>
      <c r="K6" s="41">
        <v>6092642</v>
      </c>
      <c r="L6" s="41">
        <v>2423699</v>
      </c>
      <c r="M6" s="41">
        <v>8577659</v>
      </c>
      <c r="N6" s="41">
        <f>SUM(B6:M6)</f>
        <v>27958084</v>
      </c>
      <c r="O6" s="42"/>
    </row>
    <row r="7" spans="1:15" x14ac:dyDescent="0.25">
      <c r="A7" s="10" t="s">
        <v>385</v>
      </c>
      <c r="B7" s="30">
        <f>HYPERLINK("https://secure.freee.co.jp/reports/general_ledgers/show?name=%E5%BD%B9%E5%93%A1%E5%A0%B1%E9%85%AC&amp;start_date=2025-03-01&amp;end_date=2025-03-31&amp;fiscal_year_id=9716643",500000)</f>
        <v>500000</v>
      </c>
      <c r="C7" s="30">
        <f>HYPERLINK("https://secure.freee.co.jp/reports/general_ledgers/show?name=%E5%BD%B9%E5%93%A1%E5%A0%B1%E9%85%AC&amp;start_date=2025-04-01&amp;end_date=2025-04-30&amp;fiscal_year_id=9716643",500000)</f>
        <v>500000</v>
      </c>
      <c r="D7" s="30">
        <f>HYPERLINK("https://secure.freee.co.jp/reports/general_ledgers/show?name=%E5%BD%B9%E5%93%A1%E5%A0%B1%E9%85%AC&amp;start_date=2025-05-01&amp;end_date=2025-05-31&amp;fiscal_year_id=9716643",450000)</f>
        <v>450000</v>
      </c>
      <c r="E7" s="30">
        <f>HYPERLINK("https://secure.freee.co.jp/reports/general_ledgers/show?name=%E5%BD%B9%E5%93%A1%E5%A0%B1%E9%85%AC&amp;start_date=2025-06-01&amp;end_date=2025-06-30&amp;fiscal_year_id=9716643",450000)</f>
        <v>450000</v>
      </c>
      <c r="F7" s="30">
        <f>HYPERLINK("https://secure.freee.co.jp/reports/general_ledgers/show?name=%E5%BD%B9%E5%93%A1%E5%A0%B1%E9%85%AC&amp;start_date=2025-07-01&amp;end_date=2025-07-31&amp;fiscal_year_id=9716643",450000)</f>
        <v>450000</v>
      </c>
      <c r="G7" s="30">
        <f>HYPERLINK("https://secure.freee.co.jp/reports/general_ledgers/show?name=%E5%BD%B9%E5%93%A1%E5%A0%B1%E9%85%AC&amp;start_date=2025-08-01&amp;end_date=2025-08-31&amp;fiscal_year_id=9716643",450000)</f>
        <v>450000</v>
      </c>
      <c r="H7" s="30">
        <f>HYPERLINK("https://secure.freee.co.jp/reports/general_ledgers/show?name=%E5%BD%B9%E5%93%A1%E5%A0%B1%E9%85%AC&amp;start_date=2025-09-01&amp;end_date=2025-09-30&amp;fiscal_year_id=9716643",450000)</f>
        <v>450000</v>
      </c>
      <c r="I7" s="30">
        <f>HYPERLINK("https://secure.freee.co.jp/reports/general_ledgers/show?name=%E5%BD%B9%E5%93%A1%E5%A0%B1%E9%85%AC&amp;start_date=2025-10-01&amp;end_date=2025-10-31&amp;fiscal_year_id=9716643",450000)</f>
        <v>450000</v>
      </c>
      <c r="J7" s="30">
        <f>HYPERLINK("https://secure.freee.co.jp/reports/general_ledgers/show?name=%E5%BD%B9%E5%93%A1%E5%A0%B1%E9%85%AC&amp;start_date=2025-11-01&amp;end_date=2025-11-30&amp;fiscal_year_id=9716643",450000)</f>
        <v>450000</v>
      </c>
      <c r="K7" s="30">
        <f>HYPERLINK("https://secure.freee.co.jp/reports/general_ledgers/show?name=%E5%BD%B9%E5%93%A1%E5%A0%B1%E9%85%AC&amp;start_date=2025-12-01&amp;end_date=2025-12-31&amp;fiscal_year_id=9716643",450000)</f>
        <v>450000</v>
      </c>
      <c r="L7" s="30">
        <f>HYPERLINK("https://secure.freee.co.jp/reports/general_ledgers/show?name=%E5%BD%B9%E5%93%A1%E5%A0%B1%E9%85%AC&amp;start_date=2026-01-01&amp;end_date=2026-01-31&amp;fiscal_year_id=9716643",450000)</f>
        <v>450000</v>
      </c>
      <c r="M7" s="37">
        <f>HYPERLINK("https://secure.freee.co.jp/reports/general_ledgers/show?name=%E5%BD%B9%E5%93%A1%E5%A0%B1%E9%85%AC&amp;start_date=2026-02-01&amp;end_date=2026-02-28&amp;fiscal_year_id=9716643",450000)</f>
        <v>450000</v>
      </c>
      <c r="N7" s="38">
        <f>SUM(B7:M7)</f>
        <v>5500000</v>
      </c>
      <c r="O7" s="33" t="s">
        <v>326</v>
      </c>
    </row>
    <row r="8" spans="1:15" x14ac:dyDescent="0.25">
      <c r="A8" s="10" t="s">
        <v>386</v>
      </c>
      <c r="B8" s="36">
        <v>0</v>
      </c>
      <c r="C8" s="36">
        <v>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7">
        <f>HYPERLINK("https://secure.freee.co.jp/reports/general_ledgers/show?name=%E5%BD%B9%E5%93%A1%E8%B3%9E%E4%B8%8E&amp;start_date=2026-02-01&amp;end_date=2026-02-28&amp;fiscal_year_id=9716643",2600000)</f>
        <v>2600000</v>
      </c>
      <c r="N8" s="38">
        <f>SUM(B8:M8)</f>
        <v>2600000</v>
      </c>
      <c r="O8" s="33" t="s">
        <v>326</v>
      </c>
    </row>
    <row r="9" spans="1:15" x14ac:dyDescent="0.25">
      <c r="A9" s="10" t="s">
        <v>387</v>
      </c>
      <c r="B9" s="30">
        <f>HYPERLINK("https://secure.freee.co.jp/reports/general_ledgers/show?name=%E7%B5%A6%E6%96%99%E6%89%8B%E5%BD%93&amp;start_date=2025-03-01&amp;end_date=2025-03-31&amp;fiscal_year_id=9716643",386600)</f>
        <v>386600</v>
      </c>
      <c r="C9" s="30">
        <f>HYPERLINK("https://secure.freee.co.jp/reports/general_ledgers/show?name=%E7%B5%A6%E6%96%99%E6%89%8B%E5%BD%93&amp;start_date=2025-04-01&amp;end_date=2025-04-30&amp;fiscal_year_id=9716643",447000)</f>
        <v>447000</v>
      </c>
      <c r="D9" s="30">
        <f>HYPERLINK("https://secure.freee.co.jp/reports/general_ledgers/show?name=%E7%B5%A6%E6%96%99%E6%89%8B%E5%BD%93&amp;start_date=2025-05-01&amp;end_date=2025-05-31&amp;fiscal_year_id=9716643",447000)</f>
        <v>447000</v>
      </c>
      <c r="E9" s="30">
        <f>HYPERLINK("https://secure.freee.co.jp/reports/general_ledgers/show?name=%E7%B5%A6%E6%96%99%E6%89%8B%E5%BD%93&amp;start_date=2025-06-01&amp;end_date=2025-06-30&amp;fiscal_year_id=9716643",447000)</f>
        <v>447000</v>
      </c>
      <c r="F9" s="30">
        <f>HYPERLINK("https://secure.freee.co.jp/reports/general_ledgers/show?name=%E7%B5%A6%E6%96%99%E6%89%8B%E5%BD%93&amp;start_date=2025-07-01&amp;end_date=2025-07-31&amp;fiscal_year_id=9716643",447000)</f>
        <v>447000</v>
      </c>
      <c r="G9" s="30">
        <f>HYPERLINK("https://secure.freee.co.jp/reports/general_ledgers/show?name=%E7%B5%A6%E6%96%99%E6%89%8B%E5%BD%93&amp;start_date=2025-08-01&amp;end_date=2025-08-31&amp;fiscal_year_id=9716643",447000)</f>
        <v>447000</v>
      </c>
      <c r="H9" s="30">
        <f>HYPERLINK("https://secure.freee.co.jp/reports/general_ledgers/show?name=%E7%B5%A6%E6%96%99%E6%89%8B%E5%BD%93&amp;start_date=2025-09-01&amp;end_date=2025-09-30&amp;fiscal_year_id=9716643",447000)</f>
        <v>447000</v>
      </c>
      <c r="I9" s="30">
        <f>HYPERLINK("https://secure.freee.co.jp/reports/general_ledgers/show?name=%E7%B5%A6%E6%96%99%E6%89%8B%E5%BD%93&amp;start_date=2025-10-01&amp;end_date=2025-10-31&amp;fiscal_year_id=9716643",447000)</f>
        <v>447000</v>
      </c>
      <c r="J9" s="31">
        <f>HYPERLINK("https://secure.freee.co.jp/reports/general_ledgers/show?name=%E7%B5%A6%E6%96%99%E6%89%8B%E5%BD%93&amp;start_date=2025-11-01&amp;end_date=2025-11-30&amp;fiscal_year_id=9716643",797000)</f>
        <v>797000</v>
      </c>
      <c r="K9" s="30">
        <f>HYPERLINK("https://secure.freee.co.jp/reports/general_ledgers/show?name=%E7%B5%A6%E6%96%99%E6%89%8B%E5%BD%93&amp;start_date=2025-12-01&amp;end_date=2025-12-31&amp;fiscal_year_id=9716643",797000)</f>
        <v>797000</v>
      </c>
      <c r="L9" s="30">
        <f>HYPERLINK("https://secure.freee.co.jp/reports/general_ledgers/show?name=%E7%B5%A6%E6%96%99%E6%89%8B%E5%BD%93&amp;start_date=2026-01-01&amp;end_date=2026-01-31&amp;fiscal_year_id=9716643",802400)</f>
        <v>802400</v>
      </c>
      <c r="M9" s="37">
        <f>HYPERLINK("https://secure.freee.co.jp/reports/general_ledgers/show?name=%E7%B5%A6%E6%96%99%E6%89%8B%E5%BD%93&amp;start_date=2026-02-01&amp;end_date=2026-02-28&amp;fiscal_year_id=9716643",797000)</f>
        <v>797000</v>
      </c>
      <c r="N9" s="38">
        <f>SUM(B9:M9)</f>
        <v>6709000</v>
      </c>
      <c r="O9" s="33" t="s">
        <v>326</v>
      </c>
    </row>
    <row r="10" spans="1:15" x14ac:dyDescent="0.25">
      <c r="A10" s="10" t="s">
        <v>388</v>
      </c>
      <c r="B10" s="36">
        <v>0</v>
      </c>
      <c r="C10" s="36">
        <v>0</v>
      </c>
      <c r="D10" s="36">
        <v>0</v>
      </c>
      <c r="E10" s="36">
        <v>0</v>
      </c>
      <c r="F10" s="30">
        <f>HYPERLINK("https://secure.freee.co.jp/reports/general_ledgers/show?name=%E8%B3%9E%E4%B8%8E&amp;start_date=2025-07-01&amp;end_date=2025-07-31&amp;fiscal_year_id=9716643",380000)</f>
        <v>380000</v>
      </c>
      <c r="G10" s="43">
        <v>0</v>
      </c>
      <c r="H10" s="36">
        <v>0</v>
      </c>
      <c r="I10" s="36">
        <v>0</v>
      </c>
      <c r="J10" s="36">
        <v>0</v>
      </c>
      <c r="K10" s="36">
        <v>0</v>
      </c>
      <c r="L10" s="30">
        <f>HYPERLINK("https://secure.freee.co.jp/reports/general_ledgers/show?name=%E8%B3%9E%E4%B8%8E&amp;start_date=2026-01-01&amp;end_date=2026-01-31&amp;fiscal_year_id=9716643",1300000)</f>
        <v>1300000</v>
      </c>
      <c r="M10" s="43">
        <v>0</v>
      </c>
      <c r="N10" s="38">
        <f>SUM(B10:M10)</f>
        <v>1680000</v>
      </c>
      <c r="O10" s="33" t="s">
        <v>326</v>
      </c>
    </row>
    <row r="11" spans="1:15" x14ac:dyDescent="0.25">
      <c r="A11" s="10" t="s">
        <v>389</v>
      </c>
      <c r="B11" s="30">
        <f>HYPERLINK("https://secure.freee.co.jp/reports/general_ledgers/show?name=%E6%B3%95%E5%AE%9A%E7%A6%8F%E5%88%A9%E8%B2%BB&amp;start_date=2025-03-01&amp;end_date=2025-03-31&amp;fiscal_year_id=9716643",128487)</f>
        <v>128487</v>
      </c>
      <c r="C11" s="30">
        <f>HYPERLINK("https://secure.freee.co.jp/reports/general_ledgers/show?name=%E6%B3%95%E5%AE%9A%E7%A6%8F%E5%88%A9%E8%B2%BB&amp;start_date=2025-04-01&amp;end_date=2025-04-30&amp;fiscal_year_id=9716643",128410)</f>
        <v>128410</v>
      </c>
      <c r="D11" s="30">
        <f>HYPERLINK("https://secure.freee.co.jp/reports/general_ledgers/show?name=%E6%B3%95%E5%AE%9A%E7%A6%8F%E5%88%A9%E8%B2%BB&amp;start_date=2025-05-01&amp;end_date=2025-05-31&amp;fiscal_year_id=9716643",128410)</f>
        <v>128410</v>
      </c>
      <c r="E11" s="31">
        <f>HYPERLINK("https://secure.freee.co.jp/reports/general_ledgers/show?name=%E6%B3%95%E5%AE%9A%E7%A6%8F%E5%88%A9%E8%B2%BB&amp;start_date=2025-06-01&amp;end_date=2025-06-30&amp;fiscal_year_id=9716643",264442)</f>
        <v>264442</v>
      </c>
      <c r="F11" s="30">
        <f>HYPERLINK("https://secure.freee.co.jp/reports/general_ledgers/show?name=%E6%B3%95%E5%AE%9A%E7%A6%8F%E5%88%A9%E8%B2%BB&amp;start_date=2025-07-01&amp;end_date=2025-07-31&amp;fiscal_year_id=9716643",176755)</f>
        <v>176755</v>
      </c>
      <c r="G11" s="30">
        <f>HYPERLINK("https://secure.freee.co.jp/reports/general_ledgers/show?name=%E6%B3%95%E5%AE%9A%E7%A6%8F%E5%88%A9%E8%B2%BB&amp;start_date=2025-08-01&amp;end_date=2025-08-31&amp;fiscal_year_id=9716643",136010)</f>
        <v>136010</v>
      </c>
      <c r="H11" s="30">
        <f>HYPERLINK("https://secure.freee.co.jp/reports/general_ledgers/show?name=%E6%B3%95%E5%AE%9A%E7%A6%8F%E5%88%A9%E8%B2%BB&amp;start_date=2025-09-01&amp;end_date=2025-09-30&amp;fiscal_year_id=9716643",126890)</f>
        <v>126890</v>
      </c>
      <c r="I11" s="30">
        <f>HYPERLINK("https://secure.freee.co.jp/reports/general_ledgers/show?name=%E6%B3%95%E5%AE%9A%E7%A6%8F%E5%88%A9%E8%B2%BB&amp;start_date=2025-10-01&amp;end_date=2025-10-31&amp;fiscal_year_id=9716643",126890)</f>
        <v>126890</v>
      </c>
      <c r="J11" s="30">
        <f>HYPERLINK("https://secure.freee.co.jp/reports/general_ledgers/show?name=%E6%B3%95%E5%AE%9A%E7%A6%8F%E5%88%A9%E8%B2%BB&amp;start_date=2025-11-01&amp;end_date=2025-11-30&amp;fiscal_year_id=9716643",179685)</f>
        <v>179685</v>
      </c>
      <c r="K11" s="30">
        <f>HYPERLINK("https://secure.freee.co.jp/reports/general_ledgers/show?name=%E6%B3%95%E5%AE%9A%E7%A6%8F%E5%88%A9%E8%B2%BB&amp;start_date=2025-12-01&amp;end_date=2025-12-31&amp;fiscal_year_id=9716643",179685)</f>
        <v>179685</v>
      </c>
      <c r="L11" s="31">
        <f>HYPERLINK("https://secure.freee.co.jp/reports/general_ledgers/show?name=%E6%B3%95%E5%AE%9A%E7%A6%8F%E5%88%A9%E8%B2%BB&amp;start_date=2026-01-01&amp;end_date=2026-01-31&amp;fiscal_year_id=9716643",348163)</f>
        <v>348163</v>
      </c>
      <c r="M11" s="37">
        <f>HYPERLINK("https://secure.freee.co.jp/reports/general_ledgers/show?name=%E6%B3%95%E5%AE%9A%E7%A6%8F%E5%88%A9%E8%B2%BB&amp;start_date=2026-02-01&amp;end_date=2026-02-28&amp;fiscal_year_id=9716643",470275)</f>
        <v>470275</v>
      </c>
      <c r="N11" s="38">
        <f>SUM(B11:M11)</f>
        <v>2394102</v>
      </c>
      <c r="O11" s="33" t="s">
        <v>326</v>
      </c>
    </row>
    <row r="12" spans="1:15" x14ac:dyDescent="0.25">
      <c r="A12" s="10" t="s">
        <v>390</v>
      </c>
      <c r="B12" s="30">
        <f>HYPERLINK("https://secure.freee.co.jp/reports/general_ledgers/show?name=%E7%A6%8F%E5%88%A9%E5%8E%9A%E7%94%9F%E8%B2%BB&amp;start_date=2025-03-01&amp;end_date=2025-03-31&amp;fiscal_year_id=9716643",14223)</f>
        <v>14223</v>
      </c>
      <c r="C12" s="43">
        <v>0</v>
      </c>
      <c r="D12" s="30">
        <f>HYPERLINK("https://secure.freee.co.jp/reports/general_ledgers/show?name=%E7%A6%8F%E5%88%A9%E5%8E%9A%E7%94%9F%E8%B2%BB&amp;start_date=2025-05-01&amp;end_date=2025-05-31&amp;fiscal_year_id=9716643",2259)</f>
        <v>2259</v>
      </c>
      <c r="E12" s="43">
        <v>0</v>
      </c>
      <c r="F12" s="30">
        <f>HYPERLINK("https://secure.freee.co.jp/reports/general_ledgers/show?name=%E7%A6%8F%E5%88%A9%E5%8E%9A%E7%94%9F%E8%B2%BB&amp;start_date=2025-07-01&amp;end_date=2025-07-31&amp;fiscal_year_id=9716643",1748)</f>
        <v>1748</v>
      </c>
      <c r="G12" s="43">
        <v>0</v>
      </c>
      <c r="H12" s="30">
        <f>HYPERLINK("https://secure.freee.co.jp/reports/general_ledgers/show?name=%E7%A6%8F%E5%88%A9%E5%8E%9A%E7%94%9F%E8%B2%BB&amp;start_date=2025-09-01&amp;end_date=2025-09-30&amp;fiscal_year_id=9716643",2055)</f>
        <v>2055</v>
      </c>
      <c r="I12" s="30">
        <f>HYPERLINK("https://secure.freee.co.jp/reports/general_ledgers/show?name=%E7%A6%8F%E5%88%A9%E5%8E%9A%E7%94%9F%E8%B2%BB&amp;start_date=2025-10-01&amp;end_date=2025-10-31&amp;fiscal_year_id=9716643",1081)</f>
        <v>1081</v>
      </c>
      <c r="J12" s="43">
        <v>0</v>
      </c>
      <c r="K12" s="36">
        <v>0</v>
      </c>
      <c r="L12" s="30">
        <f>HYPERLINK("https://secure.freee.co.jp/reports/general_ledgers/show?name=%E7%A6%8F%E5%88%A9%E5%8E%9A%E7%94%9F%E8%B2%BB&amp;start_date=2026-01-01&amp;end_date=2026-01-31&amp;fiscal_year_id=9716643",14419)</f>
        <v>14419</v>
      </c>
      <c r="M12" s="43">
        <v>0</v>
      </c>
      <c r="N12" s="38">
        <f>SUM(B12:M12)</f>
        <v>35785</v>
      </c>
      <c r="O12" s="33" t="s">
        <v>326</v>
      </c>
    </row>
    <row r="13" spans="1:15" x14ac:dyDescent="0.25">
      <c r="A13" s="10" t="s">
        <v>391</v>
      </c>
      <c r="B13" s="30">
        <f>HYPERLINK("https://secure.freee.co.jp/reports/general_ledgers/show?name=%E5%A4%96%E6%B3%A8%E8%B2%BB&amp;start_date=2025-03-01&amp;end_date=2025-03-31&amp;fiscal_year_id=9716643",135000)</f>
        <v>135000</v>
      </c>
      <c r="C13" s="30">
        <f>HYPERLINK("https://secure.freee.co.jp/reports/general_ledgers/show?name=%E5%A4%96%E6%B3%A8%E8%B2%BB&amp;start_date=2025-04-01&amp;end_date=2025-04-30&amp;fiscal_year_id=9716643",105000)</f>
        <v>105000</v>
      </c>
      <c r="D13" s="30">
        <f>HYPERLINK("https://secure.freee.co.jp/reports/general_ledgers/show?name=%E5%A4%96%E6%B3%A8%E8%B2%BB&amp;start_date=2025-05-01&amp;end_date=2025-05-31&amp;fiscal_year_id=9716643",105000)</f>
        <v>105000</v>
      </c>
      <c r="E13" s="30">
        <f>HYPERLINK("https://secure.freee.co.jp/reports/general_ledgers/show?name=%E5%A4%96%E6%B3%A8%E8%B2%BB&amp;start_date=2025-06-01&amp;end_date=2025-06-30&amp;fiscal_year_id=9716643",105000)</f>
        <v>105000</v>
      </c>
      <c r="F13" s="30">
        <f>HYPERLINK("https://secure.freee.co.jp/reports/general_ledgers/show?name=%E5%A4%96%E6%B3%A8%E8%B2%BB&amp;start_date=2025-07-01&amp;end_date=2025-07-31&amp;fiscal_year_id=9716643",105000)</f>
        <v>105000</v>
      </c>
      <c r="G13" s="30">
        <f>HYPERLINK("https://secure.freee.co.jp/reports/general_ledgers/show?name=%E5%A4%96%E6%B3%A8%E8%B2%BB&amp;start_date=2025-08-01&amp;end_date=2025-08-31&amp;fiscal_year_id=9716643",105000)</f>
        <v>105000</v>
      </c>
      <c r="H13" s="30">
        <f>HYPERLINK("https://secure.freee.co.jp/reports/general_ledgers/show?name=%E5%A4%96%E6%B3%A8%E8%B2%BB&amp;start_date=2025-09-01&amp;end_date=2025-09-30&amp;fiscal_year_id=9716643",105000)</f>
        <v>105000</v>
      </c>
      <c r="I13" s="30">
        <f>HYPERLINK("https://secure.freee.co.jp/reports/general_ledgers/show?name=%E5%A4%96%E6%B3%A8%E8%B2%BB&amp;start_date=2025-10-01&amp;end_date=2025-10-31&amp;fiscal_year_id=9716643",105000)</f>
        <v>105000</v>
      </c>
      <c r="J13" s="30">
        <f>HYPERLINK("https://secure.freee.co.jp/reports/general_ledgers/show?name=%E5%A4%96%E6%B3%A8%E8%B2%BB&amp;start_date=2025-11-01&amp;end_date=2025-11-30&amp;fiscal_year_id=9716643",105000)</f>
        <v>105000</v>
      </c>
      <c r="K13" s="30">
        <f>HYPERLINK("https://secure.freee.co.jp/reports/general_ledgers/show?name=%E5%A4%96%E6%B3%A8%E8%B2%BB&amp;start_date=2025-12-01&amp;end_date=2025-12-31&amp;fiscal_year_id=9716643",105000)</f>
        <v>105000</v>
      </c>
      <c r="L13" s="31">
        <f>HYPERLINK("https://secure.freee.co.jp/reports/general_ledgers/show?name=%E5%A4%96%E6%B3%A8%E8%B2%BB&amp;start_date=2026-01-01&amp;end_date=2026-01-31&amp;fiscal_year_id=9716643",275500)</f>
        <v>275500</v>
      </c>
      <c r="M13" s="31">
        <f>HYPERLINK("https://secure.freee.co.jp/reports/general_ledgers/show?name=%E5%A4%96%E6%B3%A8%E8%B2%BB&amp;start_date=2026-02-01&amp;end_date=2026-02-28&amp;fiscal_year_id=9716643",105000)</f>
        <v>105000</v>
      </c>
      <c r="N13" s="38">
        <f>SUM(B13:M13)</f>
        <v>1460500</v>
      </c>
      <c r="O13" s="33" t="s">
        <v>326</v>
      </c>
    </row>
    <row r="14" spans="1:15" x14ac:dyDescent="0.25">
      <c r="A14" s="10" t="s">
        <v>392</v>
      </c>
      <c r="B14" s="30">
        <f>HYPERLINK("https://secure.freee.co.jp/reports/general_ledgers/show?name=%E8%8D%B7%E9%80%A0%E9%81%8B%E8%B3%83&amp;start_date=2025-03-01&amp;end_date=2025-03-31&amp;fiscal_year_id=9716643",3630)</f>
        <v>3630</v>
      </c>
      <c r="C14" s="31">
        <f>HYPERLINK("https://secure.freee.co.jp/reports/general_ledgers/show?name=%E8%8D%B7%E9%80%A0%E9%81%8B%E8%B3%83&amp;start_date=2025-04-01&amp;end_date=2025-04-30&amp;fiscal_year_id=9716643",5932)</f>
        <v>5932</v>
      </c>
      <c r="D14" s="31">
        <f>HYPERLINK("https://secure.freee.co.jp/reports/general_ledgers/show?name=%E8%8D%B7%E9%80%A0%E9%81%8B%E8%B3%83&amp;start_date=2025-05-01&amp;end_date=2025-05-31&amp;fiscal_year_id=9716643",2345)</f>
        <v>2345</v>
      </c>
      <c r="E14" s="31">
        <f>HYPERLINK("https://secure.freee.co.jp/reports/general_ledgers/show?name=%E8%8D%B7%E9%80%A0%E9%81%8B%E8%B3%83&amp;start_date=2025-06-01&amp;end_date=2025-06-30&amp;fiscal_year_id=9716643",8360)</f>
        <v>8360</v>
      </c>
      <c r="F14" s="43">
        <v>0</v>
      </c>
      <c r="G14" s="30">
        <f>HYPERLINK("https://secure.freee.co.jp/reports/general_ledgers/show?name=%E8%8D%B7%E9%80%A0%E9%81%8B%E8%B3%83&amp;start_date=2025-08-01&amp;end_date=2025-08-31&amp;fiscal_year_id=9716643",10349)</f>
        <v>10349</v>
      </c>
      <c r="H14" s="31">
        <f>HYPERLINK("https://secure.freee.co.jp/reports/general_ledgers/show?name=%E8%8D%B7%E9%80%A0%E9%81%8B%E8%B3%83&amp;start_date=2025-09-01&amp;end_date=2025-09-30&amp;fiscal_year_id=9716643",3438)</f>
        <v>3438</v>
      </c>
      <c r="I14" s="31">
        <f>HYPERLINK("https://secure.freee.co.jp/reports/general_ledgers/show?name=%E8%8D%B7%E9%80%A0%E9%81%8B%E8%B3%83&amp;start_date=2025-10-01&amp;end_date=2025-10-31&amp;fiscal_year_id=9716643",430)</f>
        <v>430</v>
      </c>
      <c r="J14" s="30">
        <f>HYPERLINK("https://secure.freee.co.jp/reports/general_ledgers/show?name=%E8%8D%B7%E9%80%A0%E9%81%8B%E8%B3%83&amp;start_date=2025-11-01&amp;end_date=2025-11-30&amp;fiscal_year_id=9716643",600)</f>
        <v>600</v>
      </c>
      <c r="K14" s="31">
        <f>HYPERLINK("https://secure.freee.co.jp/reports/general_ledgers/show?name=%E8%8D%B7%E9%80%A0%E9%81%8B%E8%B3%83&amp;start_date=2025-12-01&amp;end_date=2025-12-31&amp;fiscal_year_id=9716643",1188)</f>
        <v>1188</v>
      </c>
      <c r="L14" s="31">
        <f>HYPERLINK("https://secure.freee.co.jp/reports/general_ledgers/show?name=%E8%8D%B7%E9%80%A0%E9%81%8B%E8%B3%83&amp;start_date=2026-01-01&amp;end_date=2026-01-31&amp;fiscal_year_id=9716643",3748)</f>
        <v>3748</v>
      </c>
      <c r="M14" s="37">
        <f>HYPERLINK("https://secure.freee.co.jp/reports/general_ledgers/show?name=%E8%8D%B7%E9%80%A0%E9%81%8B%E8%B3%83&amp;start_date=2026-02-01&amp;end_date=2026-02-28&amp;fiscal_year_id=9716643",4198)</f>
        <v>4198</v>
      </c>
      <c r="N14" s="38">
        <f>SUM(B14:M14)</f>
        <v>44218</v>
      </c>
      <c r="O14" s="33" t="s">
        <v>326</v>
      </c>
    </row>
    <row r="15" spans="1:15" x14ac:dyDescent="0.25">
      <c r="A15" s="10" t="s">
        <v>393</v>
      </c>
      <c r="B15" s="36">
        <v>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0">
        <f>HYPERLINK("https://secure.freee.co.jp/reports/general_ledgers/show?name=%E5%BA%83%E5%91%8A%E5%AE%A3%E4%BC%9D%E8%B2%BB&amp;start_date=2025-10-01&amp;end_date=2025-10-31&amp;fiscal_year_id=9716643",3789)</f>
        <v>3789</v>
      </c>
      <c r="J15" s="43">
        <v>0</v>
      </c>
      <c r="K15" s="30">
        <f>HYPERLINK("https://secure.freee.co.jp/reports/general_ledgers/show?name=%E5%BA%83%E5%91%8A%E5%AE%A3%E4%BC%9D%E8%B2%BB&amp;start_date=2025-12-01&amp;end_date=2025-12-31&amp;fiscal_year_id=9716643",1892)</f>
        <v>1892</v>
      </c>
      <c r="L15" s="43">
        <v>0</v>
      </c>
      <c r="M15" s="37">
        <f>HYPERLINK("https://secure.freee.co.jp/reports/general_ledgers/show?name=%E5%BA%83%E5%91%8A%E5%AE%A3%E4%BC%9D%E8%B2%BB&amp;start_date=2026-02-01&amp;end_date=2026-02-28&amp;fiscal_year_id=9716643",43259)</f>
        <v>43259</v>
      </c>
      <c r="N15" s="38">
        <f>SUM(B15:M15)</f>
        <v>48940</v>
      </c>
      <c r="O15" s="33" t="s">
        <v>326</v>
      </c>
    </row>
    <row r="16" spans="1:15" x14ac:dyDescent="0.25">
      <c r="A16" s="10" t="s">
        <v>394</v>
      </c>
      <c r="B16" s="36">
        <v>0</v>
      </c>
      <c r="C16" s="36">
        <v>0</v>
      </c>
      <c r="D16" s="36">
        <v>0</v>
      </c>
      <c r="E16" s="30">
        <f>HYPERLINK("https://secure.freee.co.jp/reports/general_ledgers/show?name=%E4%BA%A4%E9%9A%9B%E8%B2%BB&amp;start_date=2025-06-01&amp;end_date=2025-06-30&amp;fiscal_year_id=9716643",14300)</f>
        <v>14300</v>
      </c>
      <c r="F16" s="43">
        <v>0</v>
      </c>
      <c r="G16" s="36">
        <v>0</v>
      </c>
      <c r="H16" s="36">
        <v>0</v>
      </c>
      <c r="I16" s="36">
        <v>0</v>
      </c>
      <c r="J16" s="36">
        <v>0</v>
      </c>
      <c r="K16" s="30">
        <f>HYPERLINK("https://secure.freee.co.jp/reports/general_ledgers/show?name=%E4%BA%A4%E9%9A%9B%E8%B2%BB&amp;start_date=2025-12-01&amp;end_date=2025-12-31&amp;fiscal_year_id=9716643",5576)</f>
        <v>5576</v>
      </c>
      <c r="L16" s="31">
        <f>HYPERLINK("https://secure.freee.co.jp/reports/general_ledgers/show?name=%E4%BA%A4%E9%9A%9B%E8%B2%BB&amp;start_date=2026-01-01&amp;end_date=2026-01-31&amp;fiscal_year_id=9716643",2160)</f>
        <v>2160</v>
      </c>
      <c r="M16" s="37">
        <f>HYPERLINK("https://secure.freee.co.jp/reports/general_ledgers/show?name=%E4%BA%A4%E9%9A%9B%E8%B2%BB&amp;start_date=2026-02-01&amp;end_date=2026-02-28&amp;fiscal_year_id=9716643",1265)</f>
        <v>1265</v>
      </c>
      <c r="N16" s="38">
        <f>SUM(B16:M16)</f>
        <v>23301</v>
      </c>
      <c r="O16" s="33" t="s">
        <v>326</v>
      </c>
    </row>
    <row r="17" spans="1:15" x14ac:dyDescent="0.25">
      <c r="A17" s="10" t="s">
        <v>395</v>
      </c>
      <c r="B17" s="30">
        <f>HYPERLINK("https://secure.freee.co.jp/reports/general_ledgers/show?name=%E4%BC%9A%E8%AD%B0%E8%B2%BB&amp;start_date=2025-03-01&amp;end_date=2025-03-31&amp;fiscal_year_id=9716643",2270)</f>
        <v>2270</v>
      </c>
      <c r="C17" s="43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44">
        <v>0</v>
      </c>
      <c r="N17" s="38">
        <f>SUM(B17:M17)</f>
        <v>2270</v>
      </c>
      <c r="O17" s="33" t="s">
        <v>326</v>
      </c>
    </row>
    <row r="18" spans="1:15" x14ac:dyDescent="0.25">
      <c r="A18" s="10" t="s">
        <v>396</v>
      </c>
      <c r="B18" s="30">
        <f>HYPERLINK("https://secure.freee.co.jp/reports/general_ledgers/show?name=%E6%97%85%E8%B2%BB%E4%BA%A4%E9%80%9A%E8%B2%BB&amp;start_date=2025-03-01&amp;end_date=2025-03-31&amp;fiscal_year_id=9716643",11330)</f>
        <v>11330</v>
      </c>
      <c r="C18" s="30">
        <f>HYPERLINK("https://secure.freee.co.jp/reports/general_ledgers/show?name=%E6%97%85%E8%B2%BB%E4%BA%A4%E9%80%9A%E8%B2%BB&amp;start_date=2025-04-01&amp;end_date=2025-04-30&amp;fiscal_year_id=9716643",14394)</f>
        <v>14394</v>
      </c>
      <c r="D18" s="30">
        <f>HYPERLINK("https://secure.freee.co.jp/reports/general_ledgers/show?name=%E6%97%85%E8%B2%BB%E4%BA%A4%E9%80%9A%E8%B2%BB&amp;start_date=2025-05-01&amp;end_date=2025-05-31&amp;fiscal_year_id=9716643",11043)</f>
        <v>11043</v>
      </c>
      <c r="E18" s="31">
        <f>HYPERLINK("https://secure.freee.co.jp/reports/general_ledgers/show?name=%E6%97%85%E8%B2%BB%E4%BA%A4%E9%80%9A%E8%B2%BB&amp;start_date=2025-06-01&amp;end_date=2025-06-30&amp;fiscal_year_id=9716643",16700)</f>
        <v>16700</v>
      </c>
      <c r="F18" s="31">
        <f>HYPERLINK("https://secure.freee.co.jp/reports/general_ledgers/show?name=%E6%97%85%E8%B2%BB%E4%BA%A4%E9%80%9A%E8%B2%BB&amp;start_date=2025-07-01&amp;end_date=2025-07-31&amp;fiscal_year_id=9716643",61300)</f>
        <v>61300</v>
      </c>
      <c r="G18" s="31">
        <f>HYPERLINK("https://secure.freee.co.jp/reports/general_ledgers/show?name=%E6%97%85%E8%B2%BB%E4%BA%A4%E9%80%9A%E8%B2%BB&amp;start_date=2025-08-01&amp;end_date=2025-08-31&amp;fiscal_year_id=9716643",16212)</f>
        <v>16212</v>
      </c>
      <c r="H18" s="30">
        <f>HYPERLINK("https://secure.freee.co.jp/reports/general_ledgers/show?name=%E6%97%85%E8%B2%BB%E4%BA%A4%E9%80%9A%E8%B2%BB&amp;start_date=2025-09-01&amp;end_date=2025-09-30&amp;fiscal_year_id=9716643",12860)</f>
        <v>12860</v>
      </c>
      <c r="I18" s="30">
        <f>HYPERLINK("https://secure.freee.co.jp/reports/general_ledgers/show?name=%E6%97%85%E8%B2%BB%E4%BA%A4%E9%80%9A%E8%B2%BB&amp;start_date=2025-10-01&amp;end_date=2025-10-31&amp;fiscal_year_id=9716643",19004)</f>
        <v>19004</v>
      </c>
      <c r="J18" s="30">
        <f>HYPERLINK("https://secure.freee.co.jp/reports/general_ledgers/show?name=%E6%97%85%E8%B2%BB%E4%BA%A4%E9%80%9A%E8%B2%BB&amp;start_date=2025-11-01&amp;end_date=2025-11-30&amp;fiscal_year_id=9716643",12450)</f>
        <v>12450</v>
      </c>
      <c r="K18" s="31">
        <f>HYPERLINK("https://secure.freee.co.jp/reports/general_ledgers/show?name=%E6%97%85%E8%B2%BB%E4%BA%A4%E9%80%9A%E8%B2%BB&amp;start_date=2025-12-01&amp;end_date=2025-12-31&amp;fiscal_year_id=9716643",19968)</f>
        <v>19968</v>
      </c>
      <c r="L18" s="30">
        <f>HYPERLINK("https://secure.freee.co.jp/reports/general_ledgers/show?name=%E6%97%85%E8%B2%BB%E4%BA%A4%E9%80%9A%E8%B2%BB&amp;start_date=2026-01-01&amp;end_date=2026-01-31&amp;fiscal_year_id=9716643",12920)</f>
        <v>12920</v>
      </c>
      <c r="M18" s="31">
        <f>HYPERLINK("https://secure.freee.co.jp/reports/general_ledgers/show?name=%E6%97%85%E8%B2%BB%E4%BA%A4%E9%80%9A%E8%B2%BB&amp;start_date=2026-02-01&amp;end_date=2026-02-28&amp;fiscal_year_id=9716643",20940)</f>
        <v>20940</v>
      </c>
      <c r="N18" s="38">
        <f>SUM(B18:M18)</f>
        <v>229121</v>
      </c>
      <c r="O18" s="33" t="s">
        <v>326</v>
      </c>
    </row>
    <row r="19" spans="1:15" x14ac:dyDescent="0.25">
      <c r="A19" s="10" t="s">
        <v>397</v>
      </c>
      <c r="B19" s="30">
        <f>HYPERLINK("https://secure.freee.co.jp/reports/general_ledgers/show?name=%E9%80%9A%E4%BF%A1%E8%B2%BB&amp;start_date=2025-03-01&amp;end_date=2025-03-31&amp;fiscal_year_id=9716643",3636)</f>
        <v>3636</v>
      </c>
      <c r="C19" s="31">
        <f>HYPERLINK("https://secure.freee.co.jp/reports/general_ledgers/show?name=%E9%80%9A%E4%BF%A1%E8%B2%BB&amp;start_date=2025-04-01&amp;end_date=2025-04-30&amp;fiscal_year_id=9716643",9639)</f>
        <v>9639</v>
      </c>
      <c r="D19" s="31">
        <f>HYPERLINK("https://secure.freee.co.jp/reports/general_ledgers/show?name=%E9%80%9A%E4%BF%A1%E8%B2%BB&amp;start_date=2025-05-01&amp;end_date=2025-05-31&amp;fiscal_year_id=9716643",49430)</f>
        <v>49430</v>
      </c>
      <c r="E19" s="31">
        <f>HYPERLINK("https://secure.freee.co.jp/reports/general_ledgers/show?name=%E9%80%9A%E4%BF%A1%E8%B2%BB&amp;start_date=2025-06-01&amp;end_date=2025-06-30&amp;fiscal_year_id=9716643",9092)</f>
        <v>9092</v>
      </c>
      <c r="F19" s="30">
        <f>HYPERLINK("https://secure.freee.co.jp/reports/general_ledgers/show?name=%E9%80%9A%E4%BF%A1%E8%B2%BB&amp;start_date=2025-07-01&amp;end_date=2025-07-31&amp;fiscal_year_id=9716643",11310)</f>
        <v>11310</v>
      </c>
      <c r="G19" s="30">
        <f>HYPERLINK("https://secure.freee.co.jp/reports/general_ledgers/show?name=%E9%80%9A%E4%BF%A1%E8%B2%BB&amp;start_date=2025-08-01&amp;end_date=2025-08-31&amp;fiscal_year_id=9716643",15158)</f>
        <v>15158</v>
      </c>
      <c r="H19" s="30">
        <f>HYPERLINK("https://secure.freee.co.jp/reports/general_ledgers/show?name=%E9%80%9A%E4%BF%A1%E8%B2%BB&amp;start_date=2025-09-01&amp;end_date=2025-09-30&amp;fiscal_year_id=9716643",10584)</f>
        <v>10584</v>
      </c>
      <c r="I19" s="30">
        <f>HYPERLINK("https://secure.freee.co.jp/reports/general_ledgers/show?name=%E9%80%9A%E4%BF%A1%E8%B2%BB&amp;start_date=2025-10-01&amp;end_date=2025-10-31&amp;fiscal_year_id=9716643",10888)</f>
        <v>10888</v>
      </c>
      <c r="J19" s="30">
        <f>HYPERLINK("https://secure.freee.co.jp/reports/general_ledgers/show?name=%E9%80%9A%E4%BF%A1%E8%B2%BB&amp;start_date=2025-11-01&amp;end_date=2025-11-30&amp;fiscal_year_id=9716643",15585)</f>
        <v>15585</v>
      </c>
      <c r="K19" s="30">
        <f>HYPERLINK("https://secure.freee.co.jp/reports/general_ledgers/show?name=%E9%80%9A%E4%BF%A1%E8%B2%BB&amp;start_date=2025-12-01&amp;end_date=2025-12-31&amp;fiscal_year_id=9716643",11825)</f>
        <v>11825</v>
      </c>
      <c r="L19" s="30">
        <f>HYPERLINK("https://secure.freee.co.jp/reports/general_ledgers/show?name=%E9%80%9A%E4%BF%A1%E8%B2%BB&amp;start_date=2026-01-01&amp;end_date=2026-01-31&amp;fiscal_year_id=9716643",12693)</f>
        <v>12693</v>
      </c>
      <c r="M19" s="31">
        <f>HYPERLINK("https://secure.freee.co.jp/reports/general_ledgers/show?name=%E9%80%9A%E4%BF%A1%E8%B2%BB&amp;start_date=2026-02-01&amp;end_date=2026-02-28&amp;fiscal_year_id=9716643",96708)</f>
        <v>96708</v>
      </c>
      <c r="N19" s="38">
        <f>SUM(B19:M19)</f>
        <v>256548</v>
      </c>
      <c r="O19" s="33" t="s">
        <v>326</v>
      </c>
    </row>
    <row r="20" spans="1:15" x14ac:dyDescent="0.25">
      <c r="A20" s="10" t="s">
        <v>398</v>
      </c>
      <c r="B20" s="30">
        <f>HYPERLINK("https://secure.freee.co.jp/reports/general_ledgers/show?name=%E6%B6%88%E8%80%97%E5%93%81%E8%B2%BB&amp;start_date=2025-03-01&amp;end_date=2025-03-31&amp;fiscal_year_id=9716643",81666)</f>
        <v>81666</v>
      </c>
      <c r="C20" s="31">
        <f>HYPERLINK("https://secure.freee.co.jp/reports/general_ledgers/show?name=%E6%B6%88%E8%80%97%E5%93%81%E8%B2%BB&amp;start_date=2025-04-01&amp;end_date=2025-04-30&amp;fiscal_year_id=9716643",18756)</f>
        <v>18756</v>
      </c>
      <c r="D20" s="31">
        <f>HYPERLINK("https://secure.freee.co.jp/reports/general_ledgers/show?name=%E6%B6%88%E8%80%97%E5%93%81%E8%B2%BB&amp;start_date=2025-05-01&amp;end_date=2025-05-31&amp;fiscal_year_id=9716643",83941)</f>
        <v>83941</v>
      </c>
      <c r="E20" s="30">
        <f>HYPERLINK("https://secure.freee.co.jp/reports/general_ledgers/show?name=%E6%B6%88%E8%80%97%E5%93%81%E8%B2%BB&amp;start_date=2025-06-01&amp;end_date=2025-06-30&amp;fiscal_year_id=9716643",110315)</f>
        <v>110315</v>
      </c>
      <c r="F20" s="31">
        <f>HYPERLINK("https://secure.freee.co.jp/reports/general_ledgers/show?name=%E6%B6%88%E8%80%97%E5%93%81%E8%B2%BB&amp;start_date=2025-07-01&amp;end_date=2025-07-31&amp;fiscal_year_id=9716643",397923)</f>
        <v>397923</v>
      </c>
      <c r="G20" s="31">
        <f>HYPERLINK("https://secure.freee.co.jp/reports/general_ledgers/show?name=%E6%B6%88%E8%80%97%E5%93%81%E8%B2%BB&amp;start_date=2025-08-01&amp;end_date=2025-08-31&amp;fiscal_year_id=9716643",37366)</f>
        <v>37366</v>
      </c>
      <c r="H20" s="30">
        <f>HYPERLINK("https://secure.freee.co.jp/reports/general_ledgers/show?name=%E6%B6%88%E8%80%97%E5%93%81%E8%B2%BB&amp;start_date=2025-09-01&amp;end_date=2025-09-30&amp;fiscal_year_id=9716643",25812)</f>
        <v>25812</v>
      </c>
      <c r="I20" s="31">
        <f>HYPERLINK("https://secure.freee.co.jp/reports/general_ledgers/show?name=%E6%B6%88%E8%80%97%E5%93%81%E8%B2%BB&amp;start_date=2025-10-01&amp;end_date=2025-10-31&amp;fiscal_year_id=9716643",41893)</f>
        <v>41893</v>
      </c>
      <c r="J20" s="31">
        <f>HYPERLINK("https://secure.freee.co.jp/reports/general_ledgers/show?name=%E6%B6%88%E8%80%97%E5%93%81%E8%B2%BB&amp;start_date=2025-11-01&amp;end_date=2025-11-30&amp;fiscal_year_id=9716643",102115)</f>
        <v>102115</v>
      </c>
      <c r="K20" s="30">
        <f>HYPERLINK("https://secure.freee.co.jp/reports/general_ledgers/show?name=%E6%B6%88%E8%80%97%E5%93%81%E8%B2%BB&amp;start_date=2025-12-01&amp;end_date=2025-12-31&amp;fiscal_year_id=9716643",82040)</f>
        <v>82040</v>
      </c>
      <c r="L20" s="30">
        <f>HYPERLINK("https://secure.freee.co.jp/reports/general_ledgers/show?name=%E6%B6%88%E8%80%97%E5%93%81%E8%B2%BB&amp;start_date=2026-01-01&amp;end_date=2026-01-31&amp;fiscal_year_id=9716643",109644)</f>
        <v>109644</v>
      </c>
      <c r="M20" s="31">
        <f>HYPERLINK("https://secure.freee.co.jp/reports/general_ledgers/show?name=%E6%B6%88%E8%80%97%E5%93%81%E8%B2%BB&amp;start_date=2026-02-01&amp;end_date=2026-02-28&amp;fiscal_year_id=9716643",245253)</f>
        <v>245253</v>
      </c>
      <c r="N20" s="38">
        <f>SUM(B20:M20)</f>
        <v>1336724</v>
      </c>
      <c r="O20" s="33" t="s">
        <v>326</v>
      </c>
    </row>
    <row r="21" spans="1:15" x14ac:dyDescent="0.25">
      <c r="A21" s="10" t="s">
        <v>399</v>
      </c>
      <c r="B21" s="30">
        <f>HYPERLINK("https://secure.freee.co.jp/reports/general_ledgers/show?name=%E6%B0%B4%E9%81%93%E5%85%89%E7%86%B1%E8%B2%BB&amp;start_date=2025-03-01&amp;end_date=2025-03-31&amp;fiscal_year_id=9716643",3592)</f>
        <v>3592</v>
      </c>
      <c r="C21" s="30">
        <f>HYPERLINK("https://secure.freee.co.jp/reports/general_ledgers/show?name=%E6%B0%B4%E9%81%93%E5%85%89%E7%86%B1%E8%B2%BB&amp;start_date=2025-04-01&amp;end_date=2025-04-30&amp;fiscal_year_id=9716643",3034)</f>
        <v>3034</v>
      </c>
      <c r="D21" s="30">
        <f>HYPERLINK("https://secure.freee.co.jp/reports/general_ledgers/show?name=%E6%B0%B4%E9%81%93%E5%85%89%E7%86%B1%E8%B2%BB&amp;start_date=2025-05-01&amp;end_date=2025-05-31&amp;fiscal_year_id=9716643",3964)</f>
        <v>3964</v>
      </c>
      <c r="E21" s="30">
        <f>HYPERLINK("https://secure.freee.co.jp/reports/general_ledgers/show?name=%E6%B0%B4%E9%81%93%E5%85%89%E7%86%B1%E8%B2%BB&amp;start_date=2025-06-01&amp;end_date=2025-06-30&amp;fiscal_year_id=9716643",3865)</f>
        <v>3865</v>
      </c>
      <c r="F21" s="30">
        <f>HYPERLINK("https://secure.freee.co.jp/reports/general_ledgers/show?name=%E6%B0%B4%E9%81%93%E5%85%89%E7%86%B1%E8%B2%BB&amp;start_date=2025-07-01&amp;end_date=2025-07-31&amp;fiscal_year_id=9716643",3671)</f>
        <v>3671</v>
      </c>
      <c r="G21" s="30">
        <f>HYPERLINK("https://secure.freee.co.jp/reports/general_ledgers/show?name=%E6%B0%B4%E9%81%93%E5%85%89%E7%86%B1%E8%B2%BB&amp;start_date=2025-08-01&amp;end_date=2025-08-31&amp;fiscal_year_id=9716643",4716)</f>
        <v>4716</v>
      </c>
      <c r="H21" s="30">
        <f>HYPERLINK("https://secure.freee.co.jp/reports/general_ledgers/show?name=%E6%B0%B4%E9%81%93%E5%85%89%E7%86%B1%E8%B2%BB&amp;start_date=2025-09-01&amp;end_date=2025-09-30&amp;fiscal_year_id=9716643",5127)</f>
        <v>5127</v>
      </c>
      <c r="I21" s="30">
        <f>HYPERLINK("https://secure.freee.co.jp/reports/general_ledgers/show?name=%E6%B0%B4%E9%81%93%E5%85%89%E7%86%B1%E8%B2%BB&amp;start_date=2025-10-01&amp;end_date=2025-10-31&amp;fiscal_year_id=9716643",4377)</f>
        <v>4377</v>
      </c>
      <c r="J21" s="30">
        <f>HYPERLINK("https://secure.freee.co.jp/reports/general_ledgers/show?name=%E6%B0%B4%E9%81%93%E5%85%89%E7%86%B1%E8%B2%BB&amp;start_date=2025-11-01&amp;end_date=2025-11-30&amp;fiscal_year_id=9716643",4460)</f>
        <v>4460</v>
      </c>
      <c r="K21" s="30">
        <f>HYPERLINK("https://secure.freee.co.jp/reports/general_ledgers/show?name=%E6%B0%B4%E9%81%93%E5%85%89%E7%86%B1%E8%B2%BB&amp;start_date=2025-12-01&amp;end_date=2025-12-31&amp;fiscal_year_id=9716643",3640)</f>
        <v>3640</v>
      </c>
      <c r="L21" s="30">
        <f>HYPERLINK("https://secure.freee.co.jp/reports/general_ledgers/show?name=%E6%B0%B4%E9%81%93%E5%85%89%E7%86%B1%E8%B2%BB&amp;start_date=2026-01-01&amp;end_date=2026-01-31&amp;fiscal_year_id=9716643",3704)</f>
        <v>3704</v>
      </c>
      <c r="M21" s="31">
        <f>HYPERLINK("https://secure.freee.co.jp/reports/general_ledgers/show?name=%E6%B0%B4%E9%81%93%E5%85%89%E7%86%B1%E8%B2%BB&amp;start_date=2026-02-01&amp;end_date=2026-02-28&amp;fiscal_year_id=9716643",8449)</f>
        <v>8449</v>
      </c>
      <c r="N21" s="38">
        <f>SUM(B21:M21)</f>
        <v>52599</v>
      </c>
      <c r="O21" s="33" t="s">
        <v>326</v>
      </c>
    </row>
    <row r="22" spans="1:15" x14ac:dyDescent="0.25">
      <c r="A22" s="10" t="s">
        <v>400</v>
      </c>
      <c r="B22" s="30">
        <f>HYPERLINK("https://secure.freee.co.jp/reports/general_ledgers/show?name=%E6%94%AF%E6%89%95%E6%89%8B%E6%95%B0%E6%96%99&amp;start_date=2025-03-01&amp;end_date=2025-03-31&amp;fiscal_year_id=9716643",26412)</f>
        <v>26412</v>
      </c>
      <c r="C22" s="30">
        <f>HYPERLINK("https://secure.freee.co.jp/reports/general_ledgers/show?name=%E6%94%AF%E6%89%95%E6%89%8B%E6%95%B0%E6%96%99&amp;start_date=2025-04-01&amp;end_date=2025-04-30&amp;fiscal_year_id=9716643",29892)</f>
        <v>29892</v>
      </c>
      <c r="D22" s="31">
        <f>HYPERLINK("https://secure.freee.co.jp/reports/general_ledgers/show?name=%E6%94%AF%E6%89%95%E6%89%8B%E6%95%B0%E6%96%99&amp;start_date=2025-05-01&amp;end_date=2025-05-31&amp;fiscal_year_id=9716643",367297)</f>
        <v>367297</v>
      </c>
      <c r="E22" s="31">
        <f>HYPERLINK("https://secure.freee.co.jp/reports/general_ledgers/show?name=%E6%94%AF%E6%89%95%E6%89%8B%E6%95%B0%E6%96%99&amp;start_date=2025-06-01&amp;end_date=2025-06-30&amp;fiscal_year_id=9716643",81297)</f>
        <v>81297</v>
      </c>
      <c r="F22" s="31">
        <f>HYPERLINK("https://secure.freee.co.jp/reports/general_ledgers/show?name=%E6%94%AF%E6%89%95%E6%89%8B%E6%95%B0%E6%96%99&amp;start_date=2025-07-01&amp;end_date=2025-07-31&amp;fiscal_year_id=9716643",496287)</f>
        <v>496287</v>
      </c>
      <c r="G22" s="31">
        <f>HYPERLINK("https://secure.freee.co.jp/reports/general_ledgers/show?name=%E6%94%AF%E6%89%95%E6%89%8B%E6%95%B0%E6%96%99&amp;start_date=2025-08-01&amp;end_date=2025-08-31&amp;fiscal_year_id=9716643",26152)</f>
        <v>26152</v>
      </c>
      <c r="H22" s="31">
        <f>HYPERLINK("https://secure.freee.co.jp/reports/general_ledgers/show?name=%E6%94%AF%E6%89%95%E6%89%8B%E6%95%B0%E6%96%99&amp;start_date=2025-09-01&amp;end_date=2025-09-30&amp;fiscal_year_id=9716643",487152)</f>
        <v>487152</v>
      </c>
      <c r="I22" s="31">
        <f>HYPERLINK("https://secure.freee.co.jp/reports/general_ledgers/show?name=%E6%94%AF%E6%89%95%E6%89%8B%E6%95%B0%E6%96%99&amp;start_date=2025-10-01&amp;end_date=2025-10-31&amp;fiscal_year_id=9716643",26662)</f>
        <v>26662</v>
      </c>
      <c r="J22" s="30">
        <f>HYPERLINK("https://secure.freee.co.jp/reports/general_ledgers/show?name=%E6%94%AF%E6%89%95%E6%89%8B%E6%95%B0%E6%96%99&amp;start_date=2025-11-01&amp;end_date=2025-11-30&amp;fiscal_year_id=9716643",26887)</f>
        <v>26887</v>
      </c>
      <c r="K22" s="31">
        <f>HYPERLINK("https://secure.freee.co.jp/reports/general_ledgers/show?name=%E6%94%AF%E6%89%95%E6%89%8B%E6%95%B0%E6%96%99&amp;start_date=2025-12-01&amp;end_date=2025-12-31&amp;fiscal_year_id=9716643",144257)</f>
        <v>144257</v>
      </c>
      <c r="L22" s="30">
        <f>HYPERLINK("https://secure.freee.co.jp/reports/general_ledgers/show?name=%E6%94%AF%E6%89%95%E6%89%8B%E6%95%B0%E6%96%99&amp;start_date=2026-01-01&amp;end_date=2026-01-31&amp;fiscal_year_id=9716643",100172)</f>
        <v>100172</v>
      </c>
      <c r="M22" s="31">
        <f>HYPERLINK("https://secure.freee.co.jp/reports/general_ledgers/show?name=%E6%94%AF%E6%89%95%E6%89%8B%E6%95%B0%E6%96%99&amp;start_date=2026-02-01&amp;end_date=2026-02-28&amp;fiscal_year_id=9716643",194922)</f>
        <v>194922</v>
      </c>
      <c r="N22" s="38">
        <f>SUM(B22:M22)</f>
        <v>2007389</v>
      </c>
      <c r="O22" s="33" t="s">
        <v>326</v>
      </c>
    </row>
    <row r="23" spans="1:15" x14ac:dyDescent="0.25">
      <c r="A23" s="10" t="s">
        <v>401</v>
      </c>
      <c r="B23" s="30">
        <f>HYPERLINK("https://secure.freee.co.jp/reports/general_ledgers/show?name=%E5%9C%B0%E4%BB%A3%E5%AE%B6%E8%B3%83&amp;start_date=2025-03-01&amp;end_date=2025-03-31&amp;fiscal_year_id=9716643",255510)</f>
        <v>255510</v>
      </c>
      <c r="C23" s="30">
        <f>HYPERLINK("https://secure.freee.co.jp/reports/general_ledgers/show?name=%E5%9C%B0%E4%BB%A3%E5%AE%B6%E8%B3%83&amp;start_date=2025-04-01&amp;end_date=2025-04-30&amp;fiscal_year_id=9716643",255510)</f>
        <v>255510</v>
      </c>
      <c r="D23" s="30">
        <f>HYPERLINK("https://secure.freee.co.jp/reports/general_ledgers/show?name=%E5%9C%B0%E4%BB%A3%E5%AE%B6%E8%B3%83&amp;start_date=2025-05-01&amp;end_date=2025-05-31&amp;fiscal_year_id=9716643",255510)</f>
        <v>255510</v>
      </c>
      <c r="E23" s="30">
        <f>HYPERLINK("https://secure.freee.co.jp/reports/general_ledgers/show?name=%E5%9C%B0%E4%BB%A3%E5%AE%B6%E8%B3%83&amp;start_date=2025-06-01&amp;end_date=2025-06-30&amp;fiscal_year_id=9716643",255510)</f>
        <v>255510</v>
      </c>
      <c r="F23" s="30">
        <f>HYPERLINK("https://secure.freee.co.jp/reports/general_ledgers/show?name=%E5%9C%B0%E4%BB%A3%E5%AE%B6%E8%B3%83&amp;start_date=2025-07-01&amp;end_date=2025-07-31&amp;fiscal_year_id=9716643",255510)</f>
        <v>255510</v>
      </c>
      <c r="G23" s="30">
        <f>HYPERLINK("https://secure.freee.co.jp/reports/general_ledgers/show?name=%E5%9C%B0%E4%BB%A3%E5%AE%B6%E8%B3%83&amp;start_date=2025-08-01&amp;end_date=2025-08-31&amp;fiscal_year_id=9716643",255510)</f>
        <v>255510</v>
      </c>
      <c r="H23" s="30">
        <f>HYPERLINK("https://secure.freee.co.jp/reports/general_ledgers/show?name=%E5%9C%B0%E4%BB%A3%E5%AE%B6%E8%B3%83&amp;start_date=2025-09-01&amp;end_date=2025-09-30&amp;fiscal_year_id=9716643",263210)</f>
        <v>263210</v>
      </c>
      <c r="I23" s="30">
        <f>HYPERLINK("https://secure.freee.co.jp/reports/general_ledgers/show?name=%E5%9C%B0%E4%BB%A3%E5%AE%B6%E8%B3%83&amp;start_date=2025-10-01&amp;end_date=2025-10-31&amp;fiscal_year_id=9716643",255510)</f>
        <v>255510</v>
      </c>
      <c r="J23" s="30">
        <f>HYPERLINK("https://secure.freee.co.jp/reports/general_ledgers/show?name=%E5%9C%B0%E4%BB%A3%E5%AE%B6%E8%B3%83&amp;start_date=2025-11-01&amp;end_date=2025-11-30&amp;fiscal_year_id=9716643",255510)</f>
        <v>255510</v>
      </c>
      <c r="K23" s="30">
        <f>HYPERLINK("https://secure.freee.co.jp/reports/general_ledgers/show?name=%E5%9C%B0%E4%BB%A3%E5%AE%B6%E8%B3%83&amp;start_date=2025-12-01&amp;end_date=2025-12-31&amp;fiscal_year_id=9716643",255510)</f>
        <v>255510</v>
      </c>
      <c r="L23" s="30">
        <f>HYPERLINK("https://secure.freee.co.jp/reports/general_ledgers/show?name=%E5%9C%B0%E4%BB%A3%E5%AE%B6%E8%B3%83&amp;start_date=2026-01-01&amp;end_date=2026-01-31&amp;fiscal_year_id=9716643",255510)</f>
        <v>255510</v>
      </c>
      <c r="M23" s="37">
        <f>HYPERLINK("https://secure.freee.co.jp/reports/general_ledgers/show?name=%E5%9C%B0%E4%BB%A3%E5%AE%B6%E8%B3%83&amp;start_date=2026-02-01&amp;end_date=2026-02-28&amp;fiscal_year_id=9716643",255510)</f>
        <v>255510</v>
      </c>
      <c r="N23" s="38">
        <f>SUM(B23:M23)</f>
        <v>3073820</v>
      </c>
      <c r="O23" s="33" t="s">
        <v>326</v>
      </c>
    </row>
    <row r="24" spans="1:15" x14ac:dyDescent="0.25">
      <c r="A24" s="10" t="s">
        <v>402</v>
      </c>
      <c r="B24" s="30">
        <f>HYPERLINK("https://secure.freee.co.jp/reports/general_ledgers/show?name=%E3%83%AA%E3%83%BC%E3%82%B9%E6%96%99&amp;start_date=2025-03-01&amp;end_date=2025-03-31&amp;fiscal_year_id=9716643",53020)</f>
        <v>53020</v>
      </c>
      <c r="C24" s="30">
        <f>HYPERLINK("https://secure.freee.co.jp/reports/general_ledgers/show?name=%E3%83%AA%E3%83%BC%E3%82%B9%E6%96%99&amp;start_date=2025-04-01&amp;end_date=2025-04-30&amp;fiscal_year_id=9716643",53020)</f>
        <v>53020</v>
      </c>
      <c r="D24" s="30">
        <f>HYPERLINK("https://secure.freee.co.jp/reports/general_ledgers/show?name=%E3%83%AA%E3%83%BC%E3%82%B9%E6%96%99&amp;start_date=2025-05-01&amp;end_date=2025-05-31&amp;fiscal_year_id=9716643",53020)</f>
        <v>53020</v>
      </c>
      <c r="E24" s="30">
        <f>HYPERLINK("https://secure.freee.co.jp/reports/general_ledgers/show?name=%E3%83%AA%E3%83%BC%E3%82%B9%E6%96%99&amp;start_date=2025-06-01&amp;end_date=2025-06-30&amp;fiscal_year_id=9716643",53020)</f>
        <v>53020</v>
      </c>
      <c r="F24" s="30">
        <f>HYPERLINK("https://secure.freee.co.jp/reports/general_ledgers/show?name=%E3%83%AA%E3%83%BC%E3%82%B9%E6%96%99&amp;start_date=2025-07-01&amp;end_date=2025-07-31&amp;fiscal_year_id=9716643",53020)</f>
        <v>53020</v>
      </c>
      <c r="G24" s="30">
        <f>HYPERLINK("https://secure.freee.co.jp/reports/general_ledgers/show?name=%E3%83%AA%E3%83%BC%E3%82%B9%E6%96%99&amp;start_date=2025-08-01&amp;end_date=2025-08-31&amp;fiscal_year_id=9716643",53020)</f>
        <v>53020</v>
      </c>
      <c r="H24" s="30">
        <f>HYPERLINK("https://secure.freee.co.jp/reports/general_ledgers/show?name=%E3%83%AA%E3%83%BC%E3%82%B9%E6%96%99&amp;start_date=2025-09-01&amp;end_date=2025-09-30&amp;fiscal_year_id=9716643",53020)</f>
        <v>53020</v>
      </c>
      <c r="I24" s="30">
        <f>HYPERLINK("https://secure.freee.co.jp/reports/general_ledgers/show?name=%E3%83%AA%E3%83%BC%E3%82%B9%E6%96%99&amp;start_date=2025-10-01&amp;end_date=2025-10-31&amp;fiscal_year_id=9716643",53020)</f>
        <v>53020</v>
      </c>
      <c r="J24" s="30">
        <f>HYPERLINK("https://secure.freee.co.jp/reports/general_ledgers/show?name=%E3%83%AA%E3%83%BC%E3%82%B9%E6%96%99&amp;start_date=2025-11-01&amp;end_date=2025-11-30&amp;fiscal_year_id=9716643",59647)</f>
        <v>59647</v>
      </c>
      <c r="K24" s="30">
        <f>HYPERLINK("https://secure.freee.co.jp/reports/general_ledgers/show?name=%E3%83%AA%E3%83%BC%E3%82%B9%E6%96%99&amp;start_date=2025-12-01&amp;end_date=2025-12-31&amp;fiscal_year_id=9716643",59647)</f>
        <v>59647</v>
      </c>
      <c r="L24" s="30">
        <f>HYPERLINK("https://secure.freee.co.jp/reports/general_ledgers/show?name=%E3%83%AA%E3%83%BC%E3%82%B9%E6%96%99&amp;start_date=2026-01-01&amp;end_date=2026-01-31&amp;fiscal_year_id=9716643",51727)</f>
        <v>51727</v>
      </c>
      <c r="M24" s="37">
        <f>HYPERLINK("https://secure.freee.co.jp/reports/general_ledgers/show?name=%E3%83%AA%E3%83%BC%E3%82%B9%E6%96%99&amp;start_date=2026-02-01&amp;end_date=2026-02-28&amp;fiscal_year_id=9716643",51729)</f>
        <v>51729</v>
      </c>
      <c r="N24" s="38">
        <f>SUM(B24:M24)</f>
        <v>646910</v>
      </c>
      <c r="O24" s="33" t="s">
        <v>326</v>
      </c>
    </row>
    <row r="25" spans="1:15" x14ac:dyDescent="0.25">
      <c r="A25" s="10" t="s">
        <v>403</v>
      </c>
      <c r="B25" s="36">
        <v>0</v>
      </c>
      <c r="C25" s="30">
        <f>HYPERLINK("https://secure.freee.co.jp/reports/general_ledgers/show?name=%E7%A7%9F%E7%A8%8E%E5%85%AC%E8%AA%B2&amp;start_date=2025-04-01&amp;end_date=2025-04-30&amp;fiscal_year_id=9716643",1200)</f>
        <v>1200</v>
      </c>
      <c r="D25" s="43">
        <v>0</v>
      </c>
      <c r="E25" s="36">
        <v>0</v>
      </c>
      <c r="F25" s="30">
        <f>HYPERLINK("https://secure.freee.co.jp/reports/general_ledgers/show?name=%E7%A7%9F%E7%A8%8E%E5%85%AC%E8%AA%B2&amp;start_date=2025-07-01&amp;end_date=2025-07-31&amp;fiscal_year_id=9716643",14000)</f>
        <v>14000</v>
      </c>
      <c r="G25" s="43">
        <v>0</v>
      </c>
      <c r="H25" s="30">
        <f>HYPERLINK("https://secure.freee.co.jp/reports/general_ledgers/show?name=%E7%A7%9F%E7%A8%8E%E5%85%AC%E8%AA%B2&amp;start_date=2025-09-01&amp;end_date=2025-09-30&amp;fiscal_year_id=9716643",1000)</f>
        <v>1000</v>
      </c>
      <c r="I25" s="31">
        <f>HYPERLINK("https://secure.freee.co.jp/reports/general_ledgers/show?name=%E7%A7%9F%E7%A8%8E%E5%85%AC%E8%AA%B2&amp;start_date=2025-10-01&amp;end_date=2025-10-31&amp;fiscal_year_id=9716643",683000)</f>
        <v>683000</v>
      </c>
      <c r="J25" s="43">
        <v>0</v>
      </c>
      <c r="K25" s="36">
        <v>0</v>
      </c>
      <c r="L25" s="30">
        <f>HYPERLINK("https://secure.freee.co.jp/reports/general_ledgers/show?name=%E7%A7%9F%E7%A8%8E%E5%85%AC%E8%AA%B2&amp;start_date=2026-01-01&amp;end_date=2026-01-31&amp;fiscal_year_id=9716643",2200)</f>
        <v>2200</v>
      </c>
      <c r="M25" s="31">
        <f>HYPERLINK("https://secure.freee.co.jp/reports/general_ledgers/show?name=%E7%A7%9F%E7%A8%8E%E5%85%AC%E8%AA%B2&amp;start_date=2026-02-01&amp;end_date=2026-02-28&amp;fiscal_year_id=9716643",673290)</f>
        <v>673290</v>
      </c>
      <c r="N25" s="38">
        <f>SUM(B25:M25)</f>
        <v>1374690</v>
      </c>
      <c r="O25" s="33" t="s">
        <v>326</v>
      </c>
    </row>
    <row r="26" spans="1:15" x14ac:dyDescent="0.25">
      <c r="A26" s="10" t="s">
        <v>404</v>
      </c>
      <c r="B26" s="30">
        <f>HYPERLINK("https://secure.freee.co.jp/reports/general_ledgers/show?name=%E6%B8%9B%E4%BE%A1%E5%84%9F%E5%8D%B4%E8%B2%BB&amp;start_date=2025-03-01&amp;end_date=2025-03-31&amp;fiscal_year_id=9716643",24641)</f>
        <v>24641</v>
      </c>
      <c r="C26" s="30">
        <f>HYPERLINK("https://secure.freee.co.jp/reports/general_ledgers/show?name=%E6%B8%9B%E4%BE%A1%E5%84%9F%E5%8D%B4%E8%B2%BB&amp;start_date=2025-04-01&amp;end_date=2025-04-30&amp;fiscal_year_id=9716643",24641)</f>
        <v>24641</v>
      </c>
      <c r="D26" s="30">
        <f>HYPERLINK("https://secure.freee.co.jp/reports/general_ledgers/show?name=%E6%B8%9B%E4%BE%A1%E5%84%9F%E5%8D%B4%E8%B2%BB&amp;start_date=2025-05-01&amp;end_date=2025-05-31&amp;fiscal_year_id=9716643",24641)</f>
        <v>24641</v>
      </c>
      <c r="E26" s="30">
        <f>HYPERLINK("https://secure.freee.co.jp/reports/general_ledgers/show?name=%E6%B8%9B%E4%BE%A1%E5%84%9F%E5%8D%B4%E8%B2%BB&amp;start_date=2025-06-01&amp;end_date=2025-06-30&amp;fiscal_year_id=9716643",24641)</f>
        <v>24641</v>
      </c>
      <c r="F26" s="31">
        <f>HYPERLINK("https://secure.freee.co.jp/reports/general_ledgers/show?name=%E6%B8%9B%E4%BE%A1%E5%84%9F%E5%8D%B4%E8%B2%BB&amp;start_date=2025-07-01&amp;end_date=2025-07-31&amp;fiscal_year_id=9716643",49466)</f>
        <v>49466</v>
      </c>
      <c r="G26" s="30">
        <f>HYPERLINK("https://secure.freee.co.jp/reports/general_ledgers/show?name=%E6%B8%9B%E4%BE%A1%E5%84%9F%E5%8D%B4%E8%B2%BB&amp;start_date=2025-08-01&amp;end_date=2025-08-31&amp;fiscal_year_id=9716643",49466)</f>
        <v>49466</v>
      </c>
      <c r="H26" s="31">
        <f>HYPERLINK("https://secure.freee.co.jp/reports/general_ledgers/show?name=%E6%B8%9B%E4%BE%A1%E5%84%9F%E5%8D%B4%E8%B2%BB&amp;start_date=2025-09-01&amp;end_date=2025-09-30&amp;fiscal_year_id=9716643",74949)</f>
        <v>74949</v>
      </c>
      <c r="I26" s="30">
        <f>HYPERLINK("https://secure.freee.co.jp/reports/general_ledgers/show?name=%E6%B8%9B%E4%BE%A1%E5%84%9F%E5%8D%B4%E8%B2%BB&amp;start_date=2025-10-01&amp;end_date=2025-10-31&amp;fiscal_year_id=9716643",81732)</f>
        <v>81732</v>
      </c>
      <c r="J26" s="30">
        <f>HYPERLINK("https://secure.freee.co.jp/reports/general_ledgers/show?name=%E6%B8%9B%E4%BE%A1%E5%84%9F%E5%8D%B4%E8%B2%BB&amp;start_date=2025-11-01&amp;end_date=2025-11-30&amp;fiscal_year_id=9716643",81732)</f>
        <v>81732</v>
      </c>
      <c r="K26" s="30">
        <f>HYPERLINK("https://secure.freee.co.jp/reports/general_ledgers/show?name=%E6%B8%9B%E4%BE%A1%E5%84%9F%E5%8D%B4%E8%B2%BB&amp;start_date=2025-12-01&amp;end_date=2025-12-31&amp;fiscal_year_id=9716643",81732)</f>
        <v>81732</v>
      </c>
      <c r="L26" s="30">
        <f>HYPERLINK("https://secure.freee.co.jp/reports/general_ledgers/show?name=%E6%B8%9B%E4%BE%A1%E5%84%9F%E5%8D%B4%E8%B2%BB&amp;start_date=2026-01-01&amp;end_date=2026-01-31&amp;fiscal_year_id=9716643",81732)</f>
        <v>81732</v>
      </c>
      <c r="M26" s="37">
        <f>HYPERLINK("https://secure.freee.co.jp/reports/general_ledgers/show?name=%E6%B8%9B%E4%BE%A1%E5%84%9F%E5%8D%B4%E8%B2%BB&amp;start_date=2026-02-01&amp;end_date=2026-02-28&amp;fiscal_year_id=9716643",81745)</f>
        <v>81745</v>
      </c>
      <c r="N26" s="38">
        <f>SUM(B26:M26)</f>
        <v>681118</v>
      </c>
      <c r="O26" s="33" t="s">
        <v>326</v>
      </c>
    </row>
    <row r="27" spans="1:15" x14ac:dyDescent="0.25">
      <c r="A27" s="40" t="s">
        <v>405</v>
      </c>
      <c r="B27" s="41">
        <v>1630017</v>
      </c>
      <c r="C27" s="41">
        <v>1596428</v>
      </c>
      <c r="D27" s="41">
        <v>1983860</v>
      </c>
      <c r="E27" s="41">
        <v>1843542</v>
      </c>
      <c r="F27" s="41">
        <v>2902990</v>
      </c>
      <c r="G27" s="41">
        <v>1605959</v>
      </c>
      <c r="H27" s="41">
        <v>2068097</v>
      </c>
      <c r="I27" s="41">
        <v>2310276</v>
      </c>
      <c r="J27" s="41">
        <v>2090671</v>
      </c>
      <c r="K27" s="41">
        <v>2198960</v>
      </c>
      <c r="L27" s="41">
        <v>3826692</v>
      </c>
      <c r="M27" s="41">
        <v>6099543</v>
      </c>
      <c r="N27" s="41">
        <f>SUM(B27:M27)</f>
        <v>30157035</v>
      </c>
      <c r="O27" s="42"/>
    </row>
    <row r="28" spans="1:15" x14ac:dyDescent="0.25">
      <c r="A28" s="40" t="s">
        <v>406</v>
      </c>
      <c r="B28" s="41">
        <v>-616338</v>
      </c>
      <c r="C28" s="41">
        <v>60199</v>
      </c>
      <c r="D28" s="41">
        <v>520727</v>
      </c>
      <c r="E28" s="41">
        <v>-1276433</v>
      </c>
      <c r="F28" s="41">
        <v>-2968990</v>
      </c>
      <c r="G28" s="41">
        <v>707451</v>
      </c>
      <c r="H28" s="41">
        <v>-282647</v>
      </c>
      <c r="I28" s="41">
        <v>-2272876</v>
      </c>
      <c r="J28" s="41">
        <v>-1038849</v>
      </c>
      <c r="K28" s="41">
        <v>3893682</v>
      </c>
      <c r="L28" s="41">
        <v>-1402993</v>
      </c>
      <c r="M28" s="41">
        <v>2478116</v>
      </c>
      <c r="N28" s="41">
        <f>SUM(B28:M28)</f>
        <v>-2198951</v>
      </c>
      <c r="O28" s="42"/>
    </row>
    <row r="29" spans="1:15" x14ac:dyDescent="0.25">
      <c r="A29" s="10" t="s">
        <v>407</v>
      </c>
      <c r="B29" s="30">
        <f>HYPERLINK("https://secure.freee.co.jp/reports/general_ledgers/show?name=%E5%8F%97%E5%8F%96%E5%88%A9%E6%81%AF&amp;start_date=2025-03-01&amp;end_date=2025-03-31&amp;fiscal_year_id=9716643",904)</f>
        <v>904</v>
      </c>
      <c r="C29" s="31">
        <f>HYPERLINK("https://secure.freee.co.jp/reports/general_ledgers/show?name=%E5%8F%97%E5%8F%96%E5%88%A9%E6%81%AF&amp;start_date=2025-04-01&amp;end_date=2025-04-30&amp;fiscal_year_id=9716643",1604)</f>
        <v>1604</v>
      </c>
      <c r="D29" s="30">
        <f>HYPERLINK("https://secure.freee.co.jp/reports/general_ledgers/show?name=%E5%8F%97%E5%8F%96%E5%88%A9%E6%81%AF&amp;start_date=2025-05-01&amp;end_date=2025-05-31&amp;fiscal_year_id=9716643",1450)</f>
        <v>1450</v>
      </c>
      <c r="E29" s="30">
        <f>HYPERLINK("https://secure.freee.co.jp/reports/general_ledgers/show?name=%E5%8F%97%E5%8F%96%E5%88%A9%E6%81%AF&amp;start_date=2025-06-01&amp;end_date=2025-06-30&amp;fiscal_year_id=9716643",1235)</f>
        <v>1235</v>
      </c>
      <c r="F29" s="30">
        <f>HYPERLINK("https://secure.freee.co.jp/reports/general_ledgers/show?name=%E5%8F%97%E5%8F%96%E5%88%A9%E6%81%AF&amp;start_date=2025-07-01&amp;end_date=2025-07-31&amp;fiscal_year_id=9716643",1055)</f>
        <v>1055</v>
      </c>
      <c r="G29" s="31">
        <f>HYPERLINK("https://secure.freee.co.jp/reports/general_ledgers/show?name=%E5%8F%97%E5%8F%96%E5%88%A9%E6%81%AF&amp;start_date=2025-08-01&amp;end_date=2025-08-31&amp;fiscal_year_id=9716643",13721)</f>
        <v>13721</v>
      </c>
      <c r="H29" s="31">
        <f>HYPERLINK("https://secure.freee.co.jp/reports/general_ledgers/show?name=%E5%8F%97%E5%8F%96%E5%88%A9%E6%81%AF&amp;start_date=2025-09-01&amp;end_date=2025-09-30&amp;fiscal_year_id=9716643",693)</f>
        <v>693</v>
      </c>
      <c r="I29" s="30">
        <f>HYPERLINK("https://secure.freee.co.jp/reports/general_ledgers/show?name=%E5%8F%97%E5%8F%96%E5%88%A9%E6%81%AF&amp;start_date=2025-10-01&amp;end_date=2025-10-31&amp;fiscal_year_id=9716643",405)</f>
        <v>405</v>
      </c>
      <c r="J29" s="30">
        <f>HYPERLINK("https://secure.freee.co.jp/reports/general_ledgers/show?name=%E5%8F%97%E5%8F%96%E5%88%A9%E6%81%AF&amp;start_date=2025-11-01&amp;end_date=2025-11-30&amp;fiscal_year_id=9716643",474)</f>
        <v>474</v>
      </c>
      <c r="K29" s="30">
        <f>HYPERLINK("https://secure.freee.co.jp/reports/general_ledgers/show?name=%E5%8F%97%E5%8F%96%E5%88%A9%E6%81%AF&amp;start_date=2025-12-01&amp;end_date=2025-12-31&amp;fiscal_year_id=9716643",387)</f>
        <v>387</v>
      </c>
      <c r="L29" s="30">
        <f>HYPERLINK("https://secure.freee.co.jp/reports/general_ledgers/show?name=%E5%8F%97%E5%8F%96%E5%88%A9%E6%81%AF&amp;start_date=2026-01-01&amp;end_date=2026-01-31&amp;fiscal_year_id=9716643",452)</f>
        <v>452</v>
      </c>
      <c r="M29" s="31">
        <f>HYPERLINK("https://secure.freee.co.jp/reports/general_ledgers/show?name=%E5%8F%97%E5%8F%96%E5%88%A9%E6%81%AF&amp;start_date=2026-02-01&amp;end_date=2026-02-28&amp;fiscal_year_id=9716643",14078)</f>
        <v>14078</v>
      </c>
      <c r="N29" s="38">
        <f>SUM(B29:M29)</f>
        <v>36458</v>
      </c>
      <c r="O29" s="33" t="s">
        <v>326</v>
      </c>
    </row>
    <row r="30" spans="1:15" x14ac:dyDescent="0.25">
      <c r="A30" s="10" t="s">
        <v>408</v>
      </c>
      <c r="B30" s="30">
        <f>HYPERLINK("https://secure.freee.co.jp/reports/general_ledgers/show?name=%E9%9B%91%E5%8F%8E%E5%85%A5&amp;start_date=2025-03-01&amp;end_date=2025-03-31&amp;fiscal_year_id=9716643",62000)</f>
        <v>62000</v>
      </c>
      <c r="C30" s="30">
        <f>HYPERLINK("https://secure.freee.co.jp/reports/general_ledgers/show?name=%E9%9B%91%E5%8F%8E%E5%85%A5&amp;start_date=2025-04-01&amp;end_date=2025-04-30&amp;fiscal_year_id=9716643",62000)</f>
        <v>62000</v>
      </c>
      <c r="D30" s="30">
        <f>HYPERLINK("https://secure.freee.co.jp/reports/general_ledgers/show?name=%E9%9B%91%E5%8F%8E%E5%85%A5&amp;start_date=2025-05-01&amp;end_date=2025-05-31&amp;fiscal_year_id=9716643",63206)</f>
        <v>63206</v>
      </c>
      <c r="E30" s="30">
        <f>HYPERLINK("https://secure.freee.co.jp/reports/general_ledgers/show?name=%E9%9B%91%E5%8F%8E%E5%85%A5&amp;start_date=2025-06-01&amp;end_date=2025-06-30&amp;fiscal_year_id=9716643",69140)</f>
        <v>69140</v>
      </c>
      <c r="F30" s="30">
        <f>HYPERLINK("https://secure.freee.co.jp/reports/general_ledgers/show?name=%E9%9B%91%E5%8F%8E%E5%85%A5&amp;start_date=2025-07-01&amp;end_date=2025-07-31&amp;fiscal_year_id=9716643",62000)</f>
        <v>62000</v>
      </c>
      <c r="G30" s="30">
        <f>HYPERLINK("https://secure.freee.co.jp/reports/general_ledgers/show?name=%E9%9B%91%E5%8F%8E%E5%85%A5&amp;start_date=2025-08-01&amp;end_date=2025-08-31&amp;fiscal_year_id=9716643",62000)</f>
        <v>62000</v>
      </c>
      <c r="H30" s="30">
        <f>HYPERLINK("https://secure.freee.co.jp/reports/general_ledgers/show?name=%E9%9B%91%E5%8F%8E%E5%85%A5&amp;start_date=2025-09-01&amp;end_date=2025-09-30&amp;fiscal_year_id=9716643",62000)</f>
        <v>62000</v>
      </c>
      <c r="I30" s="30">
        <f>HYPERLINK("https://secure.freee.co.jp/reports/general_ledgers/show?name=%E9%9B%91%E5%8F%8E%E5%85%A5&amp;start_date=2025-10-01&amp;end_date=2025-10-31&amp;fiscal_year_id=9716643",62000)</f>
        <v>62000</v>
      </c>
      <c r="J30" s="30">
        <f>HYPERLINK("https://secure.freee.co.jp/reports/general_ledgers/show?name=%E9%9B%91%E5%8F%8E%E5%85%A5&amp;start_date=2025-11-01&amp;end_date=2025-11-30&amp;fiscal_year_id=9716643",62000)</f>
        <v>62000</v>
      </c>
      <c r="K30" s="30">
        <f>HYPERLINK("https://secure.freee.co.jp/reports/general_ledgers/show?name=%E9%9B%91%E5%8F%8E%E5%85%A5&amp;start_date=2025-12-01&amp;end_date=2025-12-31&amp;fiscal_year_id=9716643",62000)</f>
        <v>62000</v>
      </c>
      <c r="L30" s="30">
        <f>HYPERLINK("https://secure.freee.co.jp/reports/general_ledgers/show?name=%E9%9B%91%E5%8F%8E%E5%85%A5&amp;start_date=2026-01-01&amp;end_date=2026-01-31&amp;fiscal_year_id=9716643",62000)</f>
        <v>62000</v>
      </c>
      <c r="M30" s="31">
        <f>HYPERLINK("https://secure.freee.co.jp/reports/general_ledgers/show?name=%E9%9B%91%E5%8F%8E%E5%85%A5&amp;start_date=2026-02-01&amp;end_date=2026-02-28&amp;fiscal_year_id=9716643",747000)</f>
        <v>747000</v>
      </c>
      <c r="N30" s="38">
        <f>SUM(B30:M30)</f>
        <v>1437346</v>
      </c>
      <c r="O30" s="33" t="s">
        <v>326</v>
      </c>
    </row>
    <row r="31" spans="1:15" x14ac:dyDescent="0.25">
      <c r="A31" s="10" t="s">
        <v>409</v>
      </c>
      <c r="B31" s="30">
        <v>62904</v>
      </c>
      <c r="C31" s="30">
        <v>63604</v>
      </c>
      <c r="D31" s="30">
        <v>64656</v>
      </c>
      <c r="E31" s="30">
        <v>70375</v>
      </c>
      <c r="F31" s="30">
        <v>63055</v>
      </c>
      <c r="G31" s="30">
        <v>75721</v>
      </c>
      <c r="H31" s="30">
        <v>62693</v>
      </c>
      <c r="I31" s="30">
        <v>62405</v>
      </c>
      <c r="J31" s="30">
        <v>62474</v>
      </c>
      <c r="K31" s="30">
        <v>62387</v>
      </c>
      <c r="L31" s="30">
        <v>62452</v>
      </c>
      <c r="M31" s="37">
        <v>761078</v>
      </c>
      <c r="N31" s="38">
        <f>SUM(B31:M31)</f>
        <v>1473804</v>
      </c>
      <c r="O31" s="39"/>
    </row>
    <row r="32" spans="1:15" x14ac:dyDescent="0.25">
      <c r="A32" s="10" t="s">
        <v>410</v>
      </c>
      <c r="B32" s="30">
        <f>HYPERLINK("https://secure.freee.co.jp/reports/general_ledgers/show?name=%E6%94%AF%E6%89%95%E5%88%A9%E6%81%AF&amp;start_date=2025-03-01&amp;end_date=2025-03-31&amp;fiscal_year_id=9716643",24413)</f>
        <v>24413</v>
      </c>
      <c r="C32" s="30">
        <f>HYPERLINK("https://secure.freee.co.jp/reports/general_ledgers/show?name=%E6%94%AF%E6%89%95%E5%88%A9%E6%81%AF&amp;start_date=2025-04-01&amp;end_date=2025-04-30&amp;fiscal_year_id=9716643",23258)</f>
        <v>23258</v>
      </c>
      <c r="D32" s="30">
        <f>HYPERLINK("https://secure.freee.co.jp/reports/general_ledgers/show?name=%E6%94%AF%E6%89%95%E5%88%A9%E6%81%AF&amp;start_date=2025-05-01&amp;end_date=2025-05-31&amp;fiscal_year_id=9716643",23552)</f>
        <v>23552</v>
      </c>
      <c r="E32" s="30">
        <f>HYPERLINK("https://secure.freee.co.jp/reports/general_ledgers/show?name=%E6%94%AF%E6%89%95%E5%88%A9%E6%81%AF&amp;start_date=2025-06-01&amp;end_date=2025-06-30&amp;fiscal_year_id=9716643",22424)</f>
        <v>22424</v>
      </c>
      <c r="F32" s="30">
        <f>HYPERLINK("https://secure.freee.co.jp/reports/general_ledgers/show?name=%E6%94%AF%E6%89%95%E5%88%A9%E6%81%AF&amp;start_date=2025-07-01&amp;end_date=2025-07-31&amp;fiscal_year_id=9716643",22402)</f>
        <v>22402</v>
      </c>
      <c r="G32" s="30">
        <f>HYPERLINK("https://secure.freee.co.jp/reports/general_ledgers/show?name=%E6%94%AF%E6%89%95%E5%88%A9%E6%81%AF&amp;start_date=2025-08-01&amp;end_date=2025-08-31&amp;fiscal_year_id=9716643",22202)</f>
        <v>22202</v>
      </c>
      <c r="H32" s="30">
        <f>HYPERLINK("https://secure.freee.co.jp/reports/general_ledgers/show?name=%E6%94%AF%E6%89%95%E5%88%A9%E6%81%AF&amp;start_date=2025-09-01&amp;end_date=2025-09-30&amp;fiscal_year_id=9716643",21023)</f>
        <v>21023</v>
      </c>
      <c r="I32" s="30">
        <f>HYPERLINK("https://secure.freee.co.jp/reports/general_ledgers/show?name=%E6%94%AF%E6%89%95%E5%88%A9%E6%81%AF&amp;start_date=2025-10-01&amp;end_date=2025-10-31&amp;fiscal_year_id=9716643",20881)</f>
        <v>20881</v>
      </c>
      <c r="J32" s="30">
        <f>HYPERLINK("https://secure.freee.co.jp/reports/general_ledgers/show?name=%E6%94%AF%E6%89%95%E5%88%A9%E6%81%AF&amp;start_date=2025-11-01&amp;end_date=2025-11-30&amp;fiscal_year_id=9716643",20175)</f>
        <v>20175</v>
      </c>
      <c r="K32" s="31">
        <f>HYPERLINK("https://secure.freee.co.jp/reports/general_ledgers/show?name=%E6%94%AF%E6%89%95%E5%88%A9%E6%81%AF&amp;start_date=2025-12-01&amp;end_date=2025-12-31&amp;fiscal_year_id=9716643",41873)</f>
        <v>41873</v>
      </c>
      <c r="L32" s="30">
        <f>HYPERLINK("https://secure.freee.co.jp/reports/general_ledgers/show?name=%E6%94%AF%E6%89%95%E5%88%A9%E6%81%AF&amp;start_date=2026-01-01&amp;end_date=2026-01-31&amp;fiscal_year_id=9716643",33679)</f>
        <v>33679</v>
      </c>
      <c r="M32" s="37">
        <f>HYPERLINK("https://secure.freee.co.jp/reports/general_ledgers/show?name=%E6%94%AF%E6%89%95%E5%88%A9%E6%81%AF&amp;start_date=2026-02-01&amp;end_date=2026-02-28&amp;fiscal_year_id=9716643",32244)</f>
        <v>32244</v>
      </c>
      <c r="N32" s="38">
        <f>SUM(B32:M32)</f>
        <v>308126</v>
      </c>
      <c r="O32" s="33" t="s">
        <v>326</v>
      </c>
    </row>
    <row r="33" spans="1:15" x14ac:dyDescent="0.25">
      <c r="A33" s="10" t="s">
        <v>411</v>
      </c>
      <c r="B33" s="30">
        <v>24413</v>
      </c>
      <c r="C33" s="30">
        <v>23258</v>
      </c>
      <c r="D33" s="30">
        <v>23552</v>
      </c>
      <c r="E33" s="30">
        <v>22424</v>
      </c>
      <c r="F33" s="30">
        <v>22402</v>
      </c>
      <c r="G33" s="30">
        <v>22202</v>
      </c>
      <c r="H33" s="30">
        <v>21023</v>
      </c>
      <c r="I33" s="30">
        <v>20881</v>
      </c>
      <c r="J33" s="30">
        <v>20175</v>
      </c>
      <c r="K33" s="30">
        <v>41873</v>
      </c>
      <c r="L33" s="30">
        <v>33679</v>
      </c>
      <c r="M33" s="37">
        <v>32244</v>
      </c>
      <c r="N33" s="38">
        <f>SUM(B33:M33)</f>
        <v>308126</v>
      </c>
      <c r="O33" s="39"/>
    </row>
    <row r="34" spans="1:15" x14ac:dyDescent="0.25">
      <c r="A34" s="40" t="s">
        <v>412</v>
      </c>
      <c r="B34" s="41">
        <v>-577847</v>
      </c>
      <c r="C34" s="41">
        <v>100545</v>
      </c>
      <c r="D34" s="41">
        <v>561831</v>
      </c>
      <c r="E34" s="41">
        <v>-1228482</v>
      </c>
      <c r="F34" s="41">
        <v>-2928337</v>
      </c>
      <c r="G34" s="41">
        <v>760970</v>
      </c>
      <c r="H34" s="41">
        <v>-240977</v>
      </c>
      <c r="I34" s="41">
        <v>-2231352</v>
      </c>
      <c r="J34" s="41">
        <v>-996550</v>
      </c>
      <c r="K34" s="41">
        <v>3914196</v>
      </c>
      <c r="L34" s="41">
        <v>-1374220</v>
      </c>
      <c r="M34" s="41">
        <v>3206950</v>
      </c>
      <c r="N34" s="41">
        <f>SUM(B34:M34)</f>
        <v>-1033273</v>
      </c>
      <c r="O34" s="42"/>
    </row>
    <row r="35" spans="1:15" x14ac:dyDescent="0.25">
      <c r="A35" s="10" t="s">
        <v>413</v>
      </c>
      <c r="B35" s="36">
        <v>0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44">
        <v>0</v>
      </c>
      <c r="N35" s="38">
        <f>SUM(B35:M35)</f>
        <v>0</v>
      </c>
      <c r="O35" s="39"/>
    </row>
    <row r="36" spans="1:15" x14ac:dyDescent="0.25">
      <c r="A36" s="10" t="s">
        <v>414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44">
        <v>0</v>
      </c>
      <c r="N36" s="38">
        <f>SUM(B36:M36)</f>
        <v>0</v>
      </c>
      <c r="O36" s="39"/>
    </row>
    <row r="37" spans="1:15" x14ac:dyDescent="0.25">
      <c r="A37" s="40" t="s">
        <v>415</v>
      </c>
      <c r="B37" s="41">
        <v>-577847</v>
      </c>
      <c r="C37" s="41">
        <v>100545</v>
      </c>
      <c r="D37" s="41">
        <v>561831</v>
      </c>
      <c r="E37" s="41">
        <v>-1228482</v>
      </c>
      <c r="F37" s="41">
        <v>-2928337</v>
      </c>
      <c r="G37" s="41">
        <v>760970</v>
      </c>
      <c r="H37" s="41">
        <v>-240977</v>
      </c>
      <c r="I37" s="41">
        <v>-2231352</v>
      </c>
      <c r="J37" s="41">
        <v>-996550</v>
      </c>
      <c r="K37" s="41">
        <v>3914196</v>
      </c>
      <c r="L37" s="41">
        <v>-1374220</v>
      </c>
      <c r="M37" s="41">
        <v>3206950</v>
      </c>
      <c r="N37" s="41">
        <f>SUM(B37:M37)</f>
        <v>-1033273</v>
      </c>
      <c r="O37" s="42"/>
    </row>
    <row r="38" spans="1:15" x14ac:dyDescent="0.25">
      <c r="A38" s="10" t="s">
        <v>416</v>
      </c>
      <c r="B38" s="30">
        <f>HYPERLINK("https://secure.freee.co.jp/reports/general_ledgers/show?name=%E6%B3%95%E4%BA%BA%E7%A8%8E%E3%83%BB%E4%BD%8F%E6%B0%91%E7%A8%8E%E5%8F%8A%E3%81%B3%E4%BA%8B%E6%A5%AD%E7%A8%8E&amp;start_date=2025-03-01&amp;end_date=2025-03-31&amp;fiscal_year_id=9716643",138)</f>
        <v>138</v>
      </c>
      <c r="C38" s="31">
        <f>HYPERLINK("https://secure.freee.co.jp/reports/general_ledgers/show?name=%E6%B3%95%E4%BA%BA%E7%A8%8E%E3%83%BB%E4%BD%8F%E6%B0%91%E7%A8%8E%E5%8F%8A%E3%81%B3%E4%BA%8B%E6%A5%AD%E7%A8%8E&amp;start_date=2025-04-01&amp;end_date=2025-04-30&amp;fiscal_year_id=9716643",245)</f>
        <v>245</v>
      </c>
      <c r="D38" s="30">
        <f>HYPERLINK("https://secure.freee.co.jp/reports/general_ledgers/show?name=%E6%B3%95%E4%BA%BA%E7%A8%8E%E3%83%BB%E4%BD%8F%E6%B0%91%E7%A8%8E%E5%8F%8A%E3%81%B3%E4%BA%8B%E6%A5%AD%E7%A8%8E&amp;start_date=2025-05-01&amp;end_date=2025-05-31&amp;fiscal_year_id=9716643",222)</f>
        <v>222</v>
      </c>
      <c r="E38" s="30">
        <f>HYPERLINK("https://secure.freee.co.jp/reports/general_ledgers/show?name=%E6%B3%95%E4%BA%BA%E7%A8%8E%E3%83%BB%E4%BD%8F%E6%B0%91%E7%A8%8E%E5%8F%8A%E3%81%B3%E4%BA%8B%E6%A5%AD%E7%A8%8E&amp;start_date=2025-06-01&amp;end_date=2025-06-30&amp;fiscal_year_id=9716643",189)</f>
        <v>189</v>
      </c>
      <c r="F38" s="30">
        <f>HYPERLINK("https://secure.freee.co.jp/reports/general_ledgers/show?name=%E6%B3%95%E4%BA%BA%E7%A8%8E%E3%83%BB%E4%BD%8F%E6%B0%91%E7%A8%8E%E5%8F%8A%E3%81%B3%E4%BA%8B%E6%A5%AD%E7%A8%8E&amp;start_date=2025-07-01&amp;end_date=2025-07-31&amp;fiscal_year_id=9716643",161)</f>
        <v>161</v>
      </c>
      <c r="G38" s="31">
        <f>HYPERLINK("https://secure.freee.co.jp/reports/general_ledgers/show?name=%E6%B3%95%E4%BA%BA%E7%A8%8E%E3%83%BB%E4%BD%8F%E6%B0%91%E7%A8%8E%E5%8F%8A%E3%81%B3%E4%BA%8B%E6%A5%AD%E7%A8%8E&amp;start_date=2025-08-01&amp;end_date=2025-08-31&amp;fiscal_year_id=9716643",2741)</f>
        <v>2741</v>
      </c>
      <c r="H38" s="31">
        <f>HYPERLINK("https://secure.freee.co.jp/reports/general_ledgers/show?name=%E6%B3%95%E4%BA%BA%E7%A8%8E%E3%83%BB%E4%BD%8F%E6%B0%91%E7%A8%8E%E5%8F%8A%E3%81%B3%E4%BA%8B%E6%A5%AD%E7%A8%8E&amp;start_date=2025-09-01&amp;end_date=2025-09-30&amp;fiscal_year_id=9716643",106)</f>
        <v>106</v>
      </c>
      <c r="I38" s="30">
        <f>HYPERLINK("https://secure.freee.co.jp/reports/general_ledgers/show?name=%E6%B3%95%E4%BA%BA%E7%A8%8E%E3%83%BB%E4%BD%8F%E6%B0%91%E7%A8%8E%E5%8F%8A%E3%81%B3%E4%BA%8B%E6%A5%AD%E7%A8%8E&amp;start_date=2025-10-01&amp;end_date=2025-10-31&amp;fiscal_year_id=9716643",62)</f>
        <v>62</v>
      </c>
      <c r="J38" s="30">
        <f>HYPERLINK("https://secure.freee.co.jp/reports/general_ledgers/show?name=%E6%B3%95%E4%BA%BA%E7%A8%8E%E3%83%BB%E4%BD%8F%E6%B0%91%E7%A8%8E%E5%8F%8A%E3%81%B3%E4%BA%8B%E6%A5%AD%E7%A8%8E&amp;start_date=2025-11-01&amp;end_date=2025-11-30&amp;fiscal_year_id=9716643",72)</f>
        <v>72</v>
      </c>
      <c r="K38" s="30">
        <f>HYPERLINK("https://secure.freee.co.jp/reports/general_ledgers/show?name=%E6%B3%95%E4%BA%BA%E7%A8%8E%E3%83%BB%E4%BD%8F%E6%B0%91%E7%A8%8E%E5%8F%8A%E3%81%B3%E4%BA%8B%E6%A5%AD%E7%A8%8E&amp;start_date=2025-12-01&amp;end_date=2025-12-31&amp;fiscal_year_id=9716643",59)</f>
        <v>59</v>
      </c>
      <c r="L38" s="30">
        <f>HYPERLINK("https://secure.freee.co.jp/reports/general_ledgers/show?name=%E6%B3%95%E4%BA%BA%E7%A8%8E%E3%83%BB%E4%BD%8F%E6%B0%91%E7%A8%8E%E5%8F%8A%E3%81%B3%E4%BA%8B%E6%A5%AD%E7%A8%8E&amp;start_date=2026-01-01&amp;end_date=2026-01-31&amp;fiscal_year_id=9716643",69)</f>
        <v>69</v>
      </c>
      <c r="M38" s="31">
        <f>HYPERLINK("https://secure.freee.co.jp/reports/general_ledgers/show?name=%E6%B3%95%E4%BA%BA%E7%A8%8E%E3%83%BB%E4%BD%8F%E6%B0%91%E7%A8%8E%E5%8F%8A%E3%81%B3%E4%BA%8B%E6%A5%AD%E7%A8%8E&amp;start_date=2026-02-01&amp;end_date=2026-02-28&amp;fiscal_year_id=9716643",72155)</f>
        <v>72155</v>
      </c>
      <c r="N38" s="38">
        <f>SUM(B38:M38)</f>
        <v>76219</v>
      </c>
      <c r="O38" s="33" t="s">
        <v>326</v>
      </c>
    </row>
    <row r="39" spans="1:15" x14ac:dyDescent="0.25">
      <c r="A39" s="10" t="s">
        <v>417</v>
      </c>
      <c r="B39" s="30">
        <v>138</v>
      </c>
      <c r="C39" s="30">
        <v>245</v>
      </c>
      <c r="D39" s="30">
        <v>222</v>
      </c>
      <c r="E39" s="30">
        <v>189</v>
      </c>
      <c r="F39" s="30">
        <v>161</v>
      </c>
      <c r="G39" s="30">
        <v>2741</v>
      </c>
      <c r="H39" s="30">
        <v>106</v>
      </c>
      <c r="I39" s="30">
        <v>62</v>
      </c>
      <c r="J39" s="30">
        <v>72</v>
      </c>
      <c r="K39" s="30">
        <v>59</v>
      </c>
      <c r="L39" s="30">
        <v>69</v>
      </c>
      <c r="M39" s="37">
        <v>72155</v>
      </c>
      <c r="N39" s="38">
        <f>SUM(B39:M39)</f>
        <v>76219</v>
      </c>
      <c r="O39" s="39"/>
    </row>
    <row r="40" spans="1:15" x14ac:dyDescent="0.25">
      <c r="A40" s="40" t="s">
        <v>418</v>
      </c>
      <c r="B40" s="41">
        <v>-577985</v>
      </c>
      <c r="C40" s="41">
        <v>100300</v>
      </c>
      <c r="D40" s="41">
        <v>561609</v>
      </c>
      <c r="E40" s="41">
        <v>-1228671</v>
      </c>
      <c r="F40" s="41">
        <v>-2928498</v>
      </c>
      <c r="G40" s="41">
        <v>758229</v>
      </c>
      <c r="H40" s="41">
        <v>-241083</v>
      </c>
      <c r="I40" s="41">
        <v>-2231414</v>
      </c>
      <c r="J40" s="41">
        <v>-996622</v>
      </c>
      <c r="K40" s="41">
        <v>3914137</v>
      </c>
      <c r="L40" s="41">
        <v>-1374289</v>
      </c>
      <c r="M40" s="41">
        <v>3134795</v>
      </c>
      <c r="N40" s="41">
        <f>SUM(B40:M40)</f>
        <v>-1109492</v>
      </c>
      <c r="O40" s="42"/>
    </row>
    <row r="41" spans="1:15" x14ac:dyDescent="0.25">
      <c r="A41" s="10" t="s">
        <v>419</v>
      </c>
      <c r="B41" s="30">
        <f>HYPERLINK("https://secure.freee.co.jp/reports/general_ledgers/show?name=%E6%9C%9F%E9%A6%96%E5%95%86%E5%93%81%E6%A3%9A%E5%8D%B8%E9%AB%98&amp;start_date=2025-03-01&amp;end_date=2025-03-31&amp;fiscal_year_id=9716643",111899)</f>
        <v>111899</v>
      </c>
      <c r="C41" s="43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44">
        <v>0</v>
      </c>
      <c r="N41" s="38">
        <f>SUM(B41:M41)</f>
        <v>111899</v>
      </c>
      <c r="O41" s="33" t="s">
        <v>326</v>
      </c>
    </row>
    <row r="42" spans="1:15" x14ac:dyDescent="0.25">
      <c r="A42" s="10" t="s">
        <v>420</v>
      </c>
      <c r="B42" s="30">
        <f>HYPERLINK("https://secure.freee.co.jp/reports/general_ledgers/show?name=%E4%BB%95%E5%85%A5%E9%AB%98&amp;start_date=2025-03-01&amp;end_date=2025-03-31&amp;fiscal_year_id=9716643",106422)</f>
        <v>106422</v>
      </c>
      <c r="C42" s="31">
        <f>HYPERLINK("https://secure.freee.co.jp/reports/general_ledgers/show?name=%E4%BB%95%E5%85%A5%E9%AB%98&amp;start_date=2025-04-01&amp;end_date=2025-04-30&amp;fiscal_year_id=9716643",4373)</f>
        <v>4373</v>
      </c>
      <c r="D42" s="31">
        <f>HYPERLINK("https://secure.freee.co.jp/reports/general_ledgers/show?name=%E4%BB%95%E5%85%A5%E9%AB%98&amp;start_date=2025-05-01&amp;end_date=2025-05-31&amp;fiscal_year_id=9716643",29373)</f>
        <v>29373</v>
      </c>
      <c r="E42" s="31">
        <f>HYPERLINK("https://secure.freee.co.jp/reports/general_ledgers/show?name=%E4%BB%95%E5%85%A5%E9%AB%98&amp;start_date=2025-06-01&amp;end_date=2025-06-30&amp;fiscal_year_id=9716643",438291)</f>
        <v>438291</v>
      </c>
      <c r="F42" s="31">
        <f>HYPERLINK("https://secure.freee.co.jp/reports/general_ledgers/show?name=%E4%BB%95%E5%85%A5%E9%AB%98&amp;start_date=2025-07-01&amp;end_date=2025-07-31&amp;fiscal_year_id=9716643",66000)</f>
        <v>66000</v>
      </c>
      <c r="G42" s="31">
        <f>HYPERLINK("https://secure.freee.co.jp/reports/general_ledgers/show?name=%E4%BB%95%E5%85%A5%E9%AB%98&amp;start_date=2025-08-01&amp;end_date=2025-08-31&amp;fiscal_year_id=9716643",364650)</f>
        <v>364650</v>
      </c>
      <c r="H42" s="30">
        <f>HYPERLINK("https://secure.freee.co.jp/reports/general_ledgers/show?name=%E4%BB%95%E5%85%A5%E9%AB%98&amp;start_date=2025-09-01&amp;end_date=2025-09-30&amp;fiscal_year_id=9716643",248340)</f>
        <v>248340</v>
      </c>
      <c r="I42" s="43">
        <v>0</v>
      </c>
      <c r="J42" s="30">
        <f>HYPERLINK("https://secure.freee.co.jp/reports/general_ledgers/show?name=%E4%BB%95%E5%85%A5%E9%AB%98&amp;start_date=2025-11-01&amp;end_date=2025-11-30&amp;fiscal_year_id=9716643",4178)</f>
        <v>4178</v>
      </c>
      <c r="K42" s="31">
        <f>HYPERLINK("https://secure.freee.co.jp/reports/general_ledgers/show?name=%E4%BB%95%E5%85%A5%E9%AB%98&amp;start_date=2025-12-01&amp;end_date=2025-12-31&amp;fiscal_year_id=9716643",386028)</f>
        <v>386028</v>
      </c>
      <c r="L42" s="30">
        <f>HYPERLINK("https://secure.freee.co.jp/reports/general_ledgers/show?name=%E4%BB%95%E5%85%A5%E9%AB%98&amp;start_date=2026-01-01&amp;end_date=2026-01-31&amp;fiscal_year_id=9716643",348851)</f>
        <v>348851</v>
      </c>
      <c r="M42" s="43">
        <v>0</v>
      </c>
      <c r="N42" s="38">
        <f>SUM(B42:M42)</f>
        <v>1996506</v>
      </c>
      <c r="O42" s="33" t="s">
        <v>326</v>
      </c>
    </row>
    <row r="43" spans="1:15" x14ac:dyDescent="0.25">
      <c r="A43" s="10" t="s">
        <v>421</v>
      </c>
      <c r="B43" s="36">
        <v>0</v>
      </c>
      <c r="C43" s="36">
        <v>0</v>
      </c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7">
        <f>HYPERLINK("https://secure.freee.co.jp/reports/general_ledgers/show?name=%E6%9C%9F%E6%9C%AB%E5%95%86%E5%93%81%E6%A3%9A%E5%8D%B8%E9%AB%98&amp;start_date=2026-02-01&amp;end_date=2026-02-28&amp;fiscal_year_id=9716643",344709)</f>
        <v>344709</v>
      </c>
      <c r="N43" s="38">
        <f>SUM(B43:M43)</f>
        <v>344709</v>
      </c>
      <c r="O43" s="33" t="s">
        <v>326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9" r:id="rId21"/>
    <hyperlink ref="O30" r:id="rId22"/>
    <hyperlink ref="O32" r:id="rId23"/>
    <hyperlink ref="O38" r:id="rId24"/>
    <hyperlink ref="O41" r:id="rId25"/>
    <hyperlink ref="O42" r:id="rId26"/>
    <hyperlink ref="O43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320</v>
      </c>
      <c r="B1" s="5" t="s">
        <v>422</v>
      </c>
      <c r="C1" s="5" t="s">
        <v>423</v>
      </c>
      <c r="D1" s="5" t="s">
        <v>424</v>
      </c>
    </row>
    <row r="2" spans="1:4" x14ac:dyDescent="0.25">
      <c r="A2" s="10" t="s">
        <v>335</v>
      </c>
      <c r="B2" s="10" t="s">
        <v>425</v>
      </c>
      <c r="C2" s="30">
        <v>6493300</v>
      </c>
      <c r="D2" s="10" t="s">
        <v>6</v>
      </c>
    </row>
    <row r="3" spans="1:4" x14ac:dyDescent="0.25">
      <c r="A3" s="10" t="s">
        <v>355</v>
      </c>
      <c r="B3" s="10" t="s">
        <v>426</v>
      </c>
      <c r="C3" s="30">
        <v>575780</v>
      </c>
      <c r="D3" s="10" t="s">
        <v>6</v>
      </c>
    </row>
    <row r="4" spans="1:4" x14ac:dyDescent="0.25">
      <c r="A4" s="10" t="s">
        <v>355</v>
      </c>
      <c r="B4" s="10" t="s">
        <v>427</v>
      </c>
      <c r="C4" s="30">
        <v>265071</v>
      </c>
      <c r="D4" s="10" t="s">
        <v>6</v>
      </c>
    </row>
    <row r="5" spans="1:4" x14ac:dyDescent="0.25">
      <c r="A5" s="10" t="s">
        <v>335</v>
      </c>
      <c r="B5" s="10" t="s">
        <v>428</v>
      </c>
      <c r="C5" s="30">
        <v>254650</v>
      </c>
      <c r="D5" s="10" t="s">
        <v>6</v>
      </c>
    </row>
    <row r="6" spans="1:4" x14ac:dyDescent="0.25">
      <c r="A6" s="10" t="s">
        <v>335</v>
      </c>
      <c r="B6" s="10" t="s">
        <v>429</v>
      </c>
      <c r="C6" s="30">
        <v>190300</v>
      </c>
      <c r="D6" s="10" t="s">
        <v>6</v>
      </c>
    </row>
    <row r="7" spans="1:4" x14ac:dyDescent="0.25">
      <c r="A7" s="10" t="s">
        <v>355</v>
      </c>
      <c r="B7" s="10" t="s">
        <v>430</v>
      </c>
      <c r="C7" s="30">
        <v>134552</v>
      </c>
      <c r="D7" s="10" t="s">
        <v>6</v>
      </c>
    </row>
    <row r="8" spans="1:4" x14ac:dyDescent="0.25">
      <c r="A8" s="10" t="s">
        <v>355</v>
      </c>
      <c r="B8" s="10" t="s">
        <v>431</v>
      </c>
      <c r="C8" s="30">
        <v>71060</v>
      </c>
      <c r="D8" s="10" t="s">
        <v>6</v>
      </c>
    </row>
    <row r="9" spans="1:4" x14ac:dyDescent="0.25">
      <c r="A9" s="10" t="s">
        <v>355</v>
      </c>
      <c r="B9" s="10" t="s">
        <v>432</v>
      </c>
      <c r="C9" s="30">
        <v>55000</v>
      </c>
      <c r="D9" s="14" t="s">
        <v>433</v>
      </c>
    </row>
    <row r="10" spans="1:4" x14ac:dyDescent="0.25">
      <c r="A10" s="10" t="s">
        <v>335</v>
      </c>
      <c r="B10" s="10" t="s">
        <v>434</v>
      </c>
      <c r="C10" s="30">
        <v>11000</v>
      </c>
      <c r="D10" s="10" t="s">
        <v>6</v>
      </c>
    </row>
    <row r="11" spans="1:4" x14ac:dyDescent="0.25">
      <c r="A11" s="10" t="s">
        <v>355</v>
      </c>
      <c r="B11" s="10" t="s">
        <v>435</v>
      </c>
      <c r="C11" s="30">
        <v>10239</v>
      </c>
      <c r="D11" s="10" t="s">
        <v>6</v>
      </c>
    </row>
    <row r="12" spans="1:4" x14ac:dyDescent="0.25">
      <c r="A12" s="10" t="s">
        <v>355</v>
      </c>
      <c r="B12" s="10" t="s">
        <v>436</v>
      </c>
      <c r="C12" s="30">
        <v>3929</v>
      </c>
      <c r="D12" s="10" t="s">
        <v>6</v>
      </c>
    </row>
    <row r="13" spans="1:4" x14ac:dyDescent="0.25">
      <c r="A13" s="10" t="s">
        <v>335</v>
      </c>
      <c r="B13" s="10" t="s">
        <v>437</v>
      </c>
      <c r="C13" s="30">
        <v>0</v>
      </c>
      <c r="D13" s="10" t="s">
        <v>6</v>
      </c>
    </row>
    <row r="14" spans="1:4" x14ac:dyDescent="0.25">
      <c r="A14" s="10" t="s">
        <v>335</v>
      </c>
      <c r="B14" s="10" t="s">
        <v>438</v>
      </c>
      <c r="C14" s="30">
        <v>0</v>
      </c>
      <c r="D14" s="10" t="s">
        <v>6</v>
      </c>
    </row>
    <row r="15" spans="1:4" x14ac:dyDescent="0.25">
      <c r="A15" s="10" t="s">
        <v>335</v>
      </c>
      <c r="B15" s="10" t="s">
        <v>439</v>
      </c>
      <c r="C15" s="30">
        <v>0</v>
      </c>
      <c r="D15" s="10" t="s">
        <v>6</v>
      </c>
    </row>
    <row r="16" spans="1:4" x14ac:dyDescent="0.25">
      <c r="A16" s="10" t="s">
        <v>335</v>
      </c>
      <c r="B16" s="10" t="s">
        <v>440</v>
      </c>
      <c r="C16" s="30">
        <v>0</v>
      </c>
      <c r="D16" s="10" t="s">
        <v>6</v>
      </c>
    </row>
    <row r="17" spans="1:4" x14ac:dyDescent="0.25">
      <c r="A17" s="10" t="s">
        <v>335</v>
      </c>
      <c r="B17" s="10" t="s">
        <v>441</v>
      </c>
      <c r="C17" s="30">
        <v>0</v>
      </c>
      <c r="D17" s="10" t="s">
        <v>6</v>
      </c>
    </row>
    <row r="18" spans="1:4" x14ac:dyDescent="0.25">
      <c r="A18" s="10" t="s">
        <v>354</v>
      </c>
      <c r="B18" s="10" t="s">
        <v>442</v>
      </c>
      <c r="C18" s="30">
        <v>0</v>
      </c>
      <c r="D18" s="10" t="s">
        <v>6</v>
      </c>
    </row>
    <row r="19" spans="1:4" x14ac:dyDescent="0.25">
      <c r="A19" s="10" t="s">
        <v>354</v>
      </c>
      <c r="B19" s="10" t="s">
        <v>443</v>
      </c>
      <c r="C19" s="30">
        <v>0</v>
      </c>
      <c r="D19" s="10" t="s">
        <v>6</v>
      </c>
    </row>
    <row r="20" spans="1:4" x14ac:dyDescent="0.25">
      <c r="A20" s="10" t="s">
        <v>354</v>
      </c>
      <c r="B20" s="10" t="s">
        <v>444</v>
      </c>
      <c r="C20" s="30">
        <v>0</v>
      </c>
      <c r="D20" s="10" t="s">
        <v>6</v>
      </c>
    </row>
    <row r="21" spans="1:4" x14ac:dyDescent="0.25">
      <c r="A21" s="10" t="s">
        <v>355</v>
      </c>
      <c r="B21" s="10" t="s">
        <v>445</v>
      </c>
      <c r="C21" s="30">
        <v>0</v>
      </c>
      <c r="D21" s="10" t="s">
        <v>6</v>
      </c>
    </row>
    <row r="22" spans="1:4" x14ac:dyDescent="0.25">
      <c r="A22" s="10" t="s">
        <v>355</v>
      </c>
      <c r="B22" s="10" t="s">
        <v>446</v>
      </c>
      <c r="C22" s="30">
        <v>0</v>
      </c>
      <c r="D22" s="10" t="s">
        <v>6</v>
      </c>
    </row>
    <row r="23" spans="1:4" x14ac:dyDescent="0.25">
      <c r="A23" s="10" t="s">
        <v>355</v>
      </c>
      <c r="B23" s="10" t="s">
        <v>447</v>
      </c>
      <c r="C23" s="30">
        <v>0</v>
      </c>
      <c r="D23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2026-04-07T12:30:17Z</dcterms:created>
  <dcterms:modified xsi:type="dcterms:W3CDTF">2026-04-07T12:30:17Z</dcterms:modified>
</cp:coreProperties>
</file>