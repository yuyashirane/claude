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<sst xmlns="http://schemas.openxmlformats.org/spreadsheetml/2006/main" count="1438" uniqueCount="473">
  <si>
    <t>株式会社ファンドネクスト 帳簿チェックレポート</t>
  </si>
  <si>
    <t>対象月</t>
  </si>
  <si>
    <t>2026年2月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</si>
  <si>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</si>
  <si>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</si>
  <si>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</si>
  <si>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</si>
  <si>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</si>
  <si>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</si>
  <si>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</si>
  <si>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</si>
  <si>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</si>
  <si>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</si>
  <si>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</si>
  <si>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</si>
  <si>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</si>
  <si>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</si>
  <si>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</si>
  <si>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</si>
  <si>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</si>
  <si>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</si>
  <si>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</si>
  <si>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</si>
  <si>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</si>
  <si>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</si>
  <si>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</si>
  <si>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</si>
  <si>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</si>
  <si>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</si>
  <si>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</si>
  <si>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</si>
  <si>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</si>
  <si>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</si>
  <si>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DQ-03</t>
  </si>
  <si>
    <t>PL全科目ゼロ</t>
  </si>
  <si>
    <t>✅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</si>
  <si>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</si>
  <si>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</si>
  <si>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</si>
  <si>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</si>
  <si>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</si>
  <si>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</si>
  <si>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</si>
  <si>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</si>
  <si>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</si>
  <si>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</si>
  <si>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</si>
  <si>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</si>
  <si>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</si>
  <si>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</si>
  <si>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</si>
  <si>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</si>
  <si>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</si>
  <si>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</si>
  <si>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</si>
  <si>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</si>
  <si>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</si>
  <si>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</si>
  <si>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</si>
  <si>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</si>
  <si>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</si>
  <si>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</si>
  <si>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</si>
  <si>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</si>
  <si>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</si>
  <si>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</si>
  <si>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</si>
  <si>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</si>
  <si>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</si>
  <si>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</si>
  <si>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</si>
  <si>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</si>
  <si>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</si>
  <si>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</si>
  <si>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</si>
  <si>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</si>
  <si>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</si>
  <si>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</si>
  <si>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</si>
  <si>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</si>
  <si>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</si>
  <si>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</si>
  <si>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</si>
  <si>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</si>
  <si>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</si>
  <si>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</si>
  <si>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</si>
  <si>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</si>
  <si>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</si>
  <si>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</si>
  <si>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</si>
  <si>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</si>
  <si>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</si>
  <si>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</si>
  <si>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</si>
  <si>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</si>
  <si>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</si>
  <si>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</si>
  <si>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</si>
  <si>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</si>
  <si>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</si>
  <si>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</si>
  <si>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</si>
  <si>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</si>
  <si>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</si>
  <si>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</si>
  <si>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</si>
  <si>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</si>
  <si>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</si>
  <si>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</si>
  <si>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</si>
  <si>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</si>
  <si>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</si>
  <si>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</si>
  <si>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</si>
  <si>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</si>
  <si>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</si>
  <si>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</si>
  <si>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</si>
  <si>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</si>
  <si>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</si>
  <si>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</si>
  <si>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</si>
  <si>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</si>
  <si>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</si>
  <si>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</si>
  <si>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</si>
  <si>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</si>
  <si>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</si>
  <si>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</si>
  <si>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</si>
  <si>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</si>
  <si>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</si>
  <si>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</si>
  <si>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</si>
  <si>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</si>
  <si>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</si>
  <si>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</si>
  <si>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</si>
  <si>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</si>
  <si>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</si>
  <si>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</si>
  <si>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</si>
  <si>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</si>
  <si>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</si>
  <si>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</si>
  <si>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</si>
  <si>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</si>
  <si>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</si>
  <si>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</si>
  <si>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</si>
  <si>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</si>
  <si>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</si>
  <si>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</si>
  <si>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</si>
  <si>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</si>
  <si>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</si>
  <si>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</si>
  <si>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</si>
  <si>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</si>
  <si>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</si>
  <si>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</si>
  <si>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</si>
  <si>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</si>
  <si>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</si>
  <si>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</si>
  <si>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</si>
  <si>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</si>
  <si>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</si>
  <si>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</si>
  <si>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</si>
  <si>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</si>
  <si>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</si>
  <si>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</si>
  <si>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</si>
  <si>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</si>
  <si>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</si>
  <si>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</si>
  <si>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</si>
  <si>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</si>
  <si>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>freeeで確認</t>
  </si>
  <si>
    <t>役員・関連取引</t>
  </si>
  <si>
    <t>「役員貸付金」に69,512円の残高があります。役員への貸付は認定利息（現在 1.6%/年）が課税され、また法人の損金算入に制限が生じる可能性があります。</t>
  </si>
  <si>
    <t>69,512円</t>
  </si>
  <si>
    <t>役員からの返済計画を策定するか、役員給与との相殺処理を検討してください</t>
  </si>
  <si>
    <t>残高異常</t>
  </si>
  <si>
    <t>「自己株式」にマイナス残高 -10,028,025円があります。 取引先「未選択」: -10,028,025円 ※当月取引からは原因を特定できません。期首からの累積の可能性があります。</t>
  </si>
  <si>
    <t>-10,028,025円</t>
  </si>
  <si>
    <t>記帳漏れまたは過大計上を確認してください</t>
  </si>
  <si>
    <t>2026-02-28 に同日・同額（770,000円）・同科目(ID:150809904)の取引が 3 件あります。重複計上の可能性があります。</t>
  </si>
  <si>
    <t>deal_id: 3306527747, 3306527590, 3306527529</t>
  </si>
  <si>
    <t>重複していないか確認してください</t>
  </si>
  <si>
    <t>2026-02-28 に同日・同額（1,540,000円）・同科目(ID:150809904)の取引が 2 件あります。重複計上の可能性があります。</t>
  </si>
  <si>
    <t>deal_id: 3306527679, 3306527634</t>
  </si>
  <si>
    <t>2026-02-25 に同日・同額（52円）・同科目(ID:150809940)の取引が 3 件あります。重複計上の可能性があります。</t>
  </si>
  <si>
    <t>deal_id: 3308755096, 3308754793, 3308754514</t>
  </si>
  <si>
    <t>現金・預金</t>
  </si>
  <si>
    <t>「朝日信金（法人）電子証明書」の残高が前月比88%減少しています（前月: 3,193,620円 → 当月: 380,371円）。</t>
  </si>
  <si>
    <t>380,371円</t>
  </si>
  <si>
    <t>大型入出金の内容を確認してください</t>
  </si>
  <si>
    <t>借入金・リース</t>
  </si>
  <si>
    <t>「役員借入金」に品目タグなしの残高（97,376円）があります。どの借入先・リース契約に属するか不明です。</t>
  </si>
  <si>
    <t>未選択: 97,376円</t>
  </si>
  <si>
    <t>各借入先・リース契約ごとに品目タグを設定し、内訳を明確にしてください</t>
  </si>
  <si>
    <t>「役員借入金」が前月比1,709,352円増加しています（前月: -1,709,352円 → 当月: 0円）。役員からの新規借入が発生しています。</t>
  </si>
  <si>
    <t>0円</t>
  </si>
  <si>
    <t>借入の目的と返済計画を確認してください。継続的な増加は資金繰り悪化のサインです</t>
  </si>
  <si>
    <t>地代家賃</t>
  </si>
  <si>
    <t>地代家賃が前月平均比 16%増加しています（当月: 285,070円、前月平均: 245,324円）。（変動あり取引先: サンプラザ㈱、㈲ランド・クロップ、㈱パルマ）</t>
  </si>
  <si>
    <t>当月: 285,070円</t>
  </si>
  <si>
    <t>新規契約・解約・更新料等の理由がなければ、仕訳内容を確認してください</t>
  </si>
  <si>
    <t>外注費</t>
  </si>
  <si>
    <t>「支払手数料」で士業取引先「あしたの会計事務所」への支払 74,580円があります。「預り金（源泉所得税（士業））」残高がゼロのため、未計上の可能性があります。源泉徴収（推定 7,614円 / 10.21%）の計上・納付を確認してください。</t>
  </si>
  <si>
    <t>支払額: 74,580円</t>
  </si>
  <si>
    <t>源泉所得税 約7,614円 を「預り金（源泉所得税（士業））」として計上し、翌月10日までに納付してください</t>
  </si>
  <si>
    <t>売上・売掛金</t>
  </si>
  <si>
    <t>売上高が前年同月比 33%減少しています（当月: 6,798,000円、前年同月推定: 10,118,624円）。</t>
  </si>
  <si>
    <t>当月: 6,798,000円</t>
  </si>
  <si>
    <t>顧客増減・単価変更・業務構成の変化等の背景を確認してください</t>
  </si>
  <si>
    <t>「売掛金」の「株式会社ミンカブ・ジ・インフォノイド」残高が2ヶ月連続で同額（5,390,000円）です。回収が滞留している可能性があります。</t>
  </si>
  <si>
    <t>5,390,000円（前月比変動なし）</t>
  </si>
  <si>
    <t>回収期日を確認し、顧客に入金を依頼してください。回収不能の場合は貸倒引当金の計上を検討してください</t>
  </si>
  <si>
    <t>「売掛金」の「株式会社ライブドア」残高が2ヶ月連続で同額（1,408,000円）です。回収が滞留している可能性があります。</t>
  </si>
  <si>
    <t>1,408,000円（前月比変動なし）</t>
  </si>
  <si>
    <t>仕入・買掛金</t>
  </si>
  <si>
    <t>「外注費」が前月平均比 94%増加しています（当月: 7,778,160円、前月平均: 4,012,005円）。</t>
  </si>
  <si>
    <t>当月: 7,778,160円</t>
  </si>
  <si>
    <t>季節変動・大口発注以外の原因がなければ、計上漏れや二重計上を確認してください</t>
  </si>
  <si>
    <t>「freeeカード Unlimited」の残高が前月比 72,451円増加しています（前月: 0円 → 当月: 72,451円）。クレジットカードの支払が済んでいない可能性があります。</t>
  </si>
  <si>
    <t>72,451円</t>
  </si>
  <si>
    <t>口座引落後に消込処理が完了しているか確認してください</t>
  </si>
  <si>
    <t>「ゆうちょ（法人）」の残高 133,184円が前月から変動ありません（滞留の可能性）。</t>
  </si>
  <si>
    <t>133,184円（前月同額）</t>
  </si>
  <si>
    <t>回収・支払状況を確認し、必要に応じて貸倒処理や振替を検討してください</t>
  </si>
  <si>
    <t xml:space="preserve">　　取引先「株式会社みんかぶ」で滞留</t>
  </si>
  <si>
    <t>3,283,200円</t>
  </si>
  <si>
    <t>明細を開く</t>
  </si>
  <si>
    <t xml:space="preserve">　　取引先「未選択」で滞留</t>
  </si>
  <si>
    <t>-2,180,621円</t>
  </si>
  <si>
    <t xml:space="preserve">　　取引先「あしたの会計事務所」で滞留</t>
  </si>
  <si>
    <t>-485,053円</t>
  </si>
  <si>
    <t xml:space="preserve">　　取引先「エリヤ株式会社」で滞留</t>
  </si>
  <si>
    <t>-343,600円</t>
  </si>
  <si>
    <t xml:space="preserve">　　取引先「RubyWorld Conference開催実行委員会」で滞留</t>
  </si>
  <si>
    <t>-50,000円</t>
  </si>
  <si>
    <t>「【定期預金】朝日信金（法人）」の残高 2,521,033円が前月から変動ありません（滞留の可能性）。</t>
  </si>
  <si>
    <t>2,521,033円（前月同額）</t>
  </si>
  <si>
    <t>2,521,033円</t>
  </si>
  <si>
    <t>「売掛金」の残高 6,798,000円が前月から変動ありません（滞留の可能性）。</t>
  </si>
  <si>
    <t>6,798,000円（前月同額）</t>
  </si>
  <si>
    <t xml:space="preserve">　　取引先「株式会社ミンカブ・ジ・インフォノイド」で滞留</t>
  </si>
  <si>
    <t>5,390,000円</t>
  </si>
  <si>
    <t xml:space="preserve">　　取引先「株式会社ライブドア」で滞留</t>
  </si>
  <si>
    <t>1,408,000円</t>
  </si>
  <si>
    <t>「出資金」の残高 10,000円が前月から変動ありません（滞留の可能性）。</t>
  </si>
  <si>
    <t>10,000円（前月同額）</t>
  </si>
  <si>
    <t xml:space="preserve">　　取引先「朝日信用金庫」で滞留</t>
  </si>
  <si>
    <t>10,000円</t>
  </si>
  <si>
    <t>「預託金」の残高 11,670円が前月から変動ありません（滞留の可能性）。</t>
  </si>
  <si>
    <t>11,670円（前月同額）</t>
  </si>
  <si>
    <t xml:space="preserve">　　取引先「東日本三菱自動車販売㈱」で滞留</t>
  </si>
  <si>
    <t>11,670円</t>
  </si>
  <si>
    <t>「朝日信金（法人）電子証明書」が前月比 88% 変動（3,193,620円 → 380,371円）。</t>
  </si>
  <si>
    <t>380,371円（前月: 3,193,620円、変動率: 88%）</t>
  </si>
  <si>
    <t>変動原因を確認してください</t>
  </si>
  <si>
    <t>「前払費用」が前月比 85% 変動（270,000円 → 39,318円）。</t>
  </si>
  <si>
    <t>39,318円（前月: 270,000円、変動率: 85%）</t>
  </si>
  <si>
    <t>「役員借入金」が前月比 100% 変動（-1,709,352円 → 0円）。 主な取引: 2026-02-20 767,546円 給料手当。</t>
  </si>
  <si>
    <t>0円（前月: -1,709,352円、変動率: 100%）</t>
  </si>
  <si>
    <t xml:space="preserve">　　2026-02-20  立替経費精算</t>
  </si>
  <si>
    <t>767,546円</t>
  </si>
  <si>
    <t>給料手当</t>
  </si>
  <si>
    <t>「未払金」が前月比 1236% 変動（331,088円 → 4,423,638円）。</t>
  </si>
  <si>
    <t>4,423,638円（前月: 331,088円、変動率: 1236%）</t>
  </si>
  <si>
    <t>「立替経費（侯）」が前月比 100% 変動（1,599,546円 → 0円）。</t>
  </si>
  <si>
    <t>0円（前月: 1,599,546円、変動率: 100%）</t>
  </si>
  <si>
    <t>「freeeVISAカード」が前月比 100% 変動（707,165円 → 0円）。</t>
  </si>
  <si>
    <t>0円（前月: 707,165円、変動率: 100%）</t>
  </si>
  <si>
    <t>「預り金」が前月比 119% 変動（108,081円 → 237,014円）。 主な取引: 2026-02-20 108,081円 給料手当、2026-02-20 85,095円 法定福利費、2026-02-20 85,095円 給料手当 （他9件の取引あり）。</t>
  </si>
  <si>
    <t>237,014円（前月: 108,081円、変動率: 119%）</t>
  </si>
  <si>
    <t xml:space="preserve">　　2026-02-20  源泉所得税</t>
  </si>
  <si>
    <t>108,081円</t>
  </si>
  <si>
    <t xml:space="preserve">　　2026-02-20  厚生年金保険料（預り分）</t>
  </si>
  <si>
    <t>85,095円</t>
  </si>
  <si>
    <t>法定福利費</t>
  </si>
  <si>
    <t xml:space="preserve">　　2026-02-20  健康保険料（預り分）</t>
  </si>
  <si>
    <t>67,884円</t>
  </si>
  <si>
    <t>期間配分</t>
  </si>
  <si>
    <t>「地代家賃」で以下の取引先への計上が当月ありません。計上漏れの可能性があります: 「㈲ランド・クロップ」（前月平均: 5,861円/月）</t>
  </si>
  <si>
    <t>当月 計上なし</t>
  </si>
  <si>
    <t>㈲ランド・クロップ: 約5,861円</t>
  </si>
  <si>
    <t>「通信費」で以下の取引先への計上が当月ありません。計上漏れの可能性があります: 「slack」（前月平均: 6,660円/月）</t>
  </si>
  <si>
    <t>slack: 約6,660円</t>
  </si>
  <si>
    <t>「保険料」で以下の取引先への計上が当月ありません。計上漏れの可能性があります: 「東京海上日動火災保険㈱」（前月平均: 16,972円/月）</t>
  </si>
  <si>
    <t>東京海上日動火災保険㈱: 約16,972円</t>
  </si>
  <si>
    <t>消費税区分</t>
  </si>
  <si>
    <t>「支払手数料」に2種類の税区分が混在しています（課対仕入10%: 7件、対象外: 2件）。</t>
  </si>
  <si>
    <t>2種類混在</t>
  </si>
  <si>
    <t>税区分ごとの内訳を確認してください</t>
  </si>
  <si>
    <t xml:space="preserve">　　課対仕入10%（7件・計76,079円）</t>
  </si>
  <si>
    <t>76,079円</t>
  </si>
  <si>
    <t xml:space="preserve">　　対象外（2件・計8,000円）</t>
  </si>
  <si>
    <t>8,000円</t>
  </si>
  <si>
    <t>「交際費」に2種類の税区分が混在しています（課対仕入10%: 4件、対象外: 1件）。</t>
  </si>
  <si>
    <t xml:space="preserve">　　課対仕入10%（4件・計70,354円）</t>
  </si>
  <si>
    <t>70,354円</t>
  </si>
  <si>
    <t xml:space="preserve">　　対象外（1件・計72,451円）</t>
  </si>
  <si>
    <t>「通信費」に2種類の税区分が混在しています（課対仕入10%: 3件、対象外: 1件）。</t>
  </si>
  <si>
    <t xml:space="preserve">　　課対仕入10%（3件・計131,076円）</t>
  </si>
  <si>
    <t>131,076円</t>
  </si>
  <si>
    <t xml:space="preserve">　　対象外（1件・計1,554円）</t>
  </si>
  <si>
    <t>1,554円</t>
  </si>
  <si>
    <t>「研究開発費」に2種類の税区分が混在しています（課対仕入10%: 2件、課対仕入(控80)10%: 1件）。</t>
  </si>
  <si>
    <t xml:space="preserve">　　課対仕入10%（2件・計2,870円）</t>
  </si>
  <si>
    <t>2,870円</t>
  </si>
  <si>
    <t xml:space="preserve">　　課対仕入(控80)10%（1件・計1,880円）</t>
  </si>
  <si>
    <t>1,880円</t>
  </si>
  <si>
    <t>源泉所得税</t>
  </si>
  <si>
    <t>預り金の残高が前月比で大幅に増加しています（108,081円 → 237,014円、増加128,933円）。源泉税の納付漏れの可能性があります。</t>
  </si>
  <si>
    <t>237,014円（前月: 108,081円）</t>
  </si>
  <si>
    <t>源泉所得税の納付状況を確認してください</t>
  </si>
  <si>
    <t>営業外・税金</t>
  </si>
  <si>
    <t>「雑収入」に243,080円が計上されています。内容を確認し、適切な科目で記録されているか確認してください。</t>
  </si>
  <si>
    <t>243,080円</t>
  </si>
  <si>
    <t>受取手数料・受取保険金等、適切な科目への振替を検討してください</t>
  </si>
  <si>
    <t>受取利息75,117円に対する源泉所得税（15.315%）の計上を確認してください。</t>
  </si>
  <si>
    <t>受取利息: 75,117円</t>
  </si>
  <si>
    <t>源泉税 約11,504円を「法人税・住民税及び事業税」または「仮払法人税等」で処理してください</t>
  </si>
  <si>
    <t>「賞与」が前月平均比 1000%変動しています（当月: 400,000円、前月平均: 36,364円）。</t>
  </si>
  <si>
    <t>当月: 400,000円</t>
  </si>
  <si>
    <t>計上内容と金額の妥当性を確認してください</t>
  </si>
  <si>
    <t>「通信費」が前月平均比 320%変動しています（当月: 140,029円、前月平均: 33,319円）。</t>
  </si>
  <si>
    <t>当月: 140,029円</t>
  </si>
  <si>
    <t>「交際費」が前月平均比 138%変動しています（当月: 142,805円、前月平均: 60,066円）。</t>
  </si>
  <si>
    <t>当月: 142,805円</t>
  </si>
  <si>
    <t>「保険料」が前月平均比 91%変動しています（当月: 1,571円、前月平均: 18,263円）。</t>
  </si>
  <si>
    <t>当月: 1,571円</t>
  </si>
  <si>
    <t>「旅費交通費」が前月平均比 65%変動しています（当月: 22,011円、前月平均: 62,323円）。</t>
  </si>
  <si>
    <t>当月: 22,011円</t>
  </si>
  <si>
    <t>「支払手数料」の取引先「あしたの会計事務所」が前月平均比 78% 変動しています（前月平均: 41,880円 → 当月: 74,580円）。期間配分の観点から確認を推奨します。</t>
  </si>
  <si>
    <t>当月: 74,580円（前月平均: 41,880円）</t>
  </si>
  <si>
    <t>一時的な金額増減か、契約変更等によるものか確認してください</t>
  </si>
  <si>
    <t>「支払利息」の取引先「朝日信用金庫」が前月平均比 98% 変動しています（前月平均: 22,964円 → 当月: 389円）。期間配分の観点から確認を推奨します。</t>
  </si>
  <si>
    <t>当月: 389円（前月平均: 22,964円）</t>
  </si>
  <si>
    <t>勘定科目と消費税区分の組み合わせの妥当性を検証します。</t>
  </si>
  <si>
    <t>士業報酬・外注費等の源泉徴収の漏れ・計算誤りを検出します。</t>
  </si>
  <si>
    <t>法人税・消費税の中間納付の処理状況を確認します。</t>
  </si>
  <si>
    <t>✅ 指摘事項はありません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</si>
  <si>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</si>
  <si>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</si>
  <si>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</si>
  <si>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</si>
  <si>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</si>
  <si>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</si>
  <si>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</si>
  <si>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</si>
  <si>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</si>
  <si>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</si>
  <si>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ゆうちょ（法人）</t>
  </si>
  <si>
    <t>0.0%</t>
  </si>
  <si>
    <t>元帳を開く</t>
  </si>
  <si>
    <t>楽天（法人）</t>
  </si>
  <si>
    <t>-38.0%</t>
  </si>
  <si>
    <t>朝日信金（法人）電子証明書</t>
  </si>
  <si>
    <t>-88.1%</t>
  </si>
  <si>
    <t>△</t>
  </si>
  <si>
    <t>GMOあおぞらネット（法人）（API）</t>
  </si>
  <si>
    <t>49.0%</t>
  </si>
  <si>
    <t>【定期積金】朝日信金（法人）</t>
  </si>
  <si>
    <t>14.3%</t>
  </si>
  <si>
    <t>【定期預金】朝日信金（法人）</t>
  </si>
  <si>
    <t>三井住友（法人）（API） トランクＮＯＲＴＨ支店 普通 ***6520</t>
  </si>
  <si>
    <t>0.1%</t>
  </si>
  <si>
    <t>売掛金</t>
  </si>
  <si>
    <t>前払費用</t>
  </si>
  <si>
    <t>-85.4%</t>
  </si>
  <si>
    <t>役員貸付金</t>
  </si>
  <si>
    <t>4.0%</t>
  </si>
  <si>
    <t>未収入金</t>
  </si>
  <si>
    <t>仮払金</t>
  </si>
  <si>
    <t>車両運搬具</t>
  </si>
  <si>
    <t>-4.0%</t>
  </si>
  <si>
    <t>工具器具備品</t>
  </si>
  <si>
    <t>-100.0%</t>
  </si>
  <si>
    <t>出資金</t>
  </si>
  <si>
    <t>敷金</t>
  </si>
  <si>
    <t>長期前払費用</t>
  </si>
  <si>
    <t>-11.3%</t>
  </si>
  <si>
    <t>預託金</t>
  </si>
  <si>
    <t>保険積立金</t>
  </si>
  <si>
    <t>20.1%</t>
  </si>
  <si>
    <t>権利金</t>
  </si>
  <si>
    <t>役員借入金</t>
  </si>
  <si>
    <t>100.0%</t>
  </si>
  <si>
    <t>未払金</t>
  </si>
  <si>
    <t>1236.1%</t>
  </si>
  <si>
    <t>立替経費（侯）</t>
  </si>
  <si>
    <t>freeeVISAカード</t>
  </si>
  <si>
    <t>freeeカード Unlimited</t>
  </si>
  <si>
    <t>未払法人税等</t>
  </si>
  <si>
    <t>未払消費税等</t>
  </si>
  <si>
    <t>預り金</t>
  </si>
  <si>
    <t>119.3%</t>
  </si>
  <si>
    <t>長期借入金</t>
  </si>
  <si>
    <t>-5.6%</t>
  </si>
  <si>
    <t>資本金</t>
  </si>
  <si>
    <t>繰越利益</t>
  </si>
  <si>
    <t>自己株式</t>
  </si>
  <si>
    <t>損益計算書 月次推移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</si>
  <si>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</si>
  <si>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</si>
  <si>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</si>
  <si>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</si>
  <si>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</si>
  <si>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</si>
  <si>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</si>
  <si>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</si>
  <si>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</si>
  <si>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</si>
  <si>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</si>
  <si>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</si>
  <si>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累計</t>
  </si>
  <si>
    <t>売上高</t>
  </si>
  <si>
    <t>売上原価 計</t>
  </si>
  <si>
    <t>売上総利益</t>
  </si>
  <si>
    <t xml:space="preserve">  役員報酬</t>
  </si>
  <si>
    <t xml:space="preserve">  給料手当</t>
  </si>
  <si>
    <t xml:space="preserve">  賞与</t>
  </si>
  <si>
    <t xml:space="preserve">  法定福利費</t>
  </si>
  <si>
    <t xml:space="preserve">  福利厚生費</t>
  </si>
  <si>
    <t xml:space="preserve">  外注費</t>
  </si>
  <si>
    <t xml:space="preserve">  広告宣伝費</t>
  </si>
  <si>
    <t xml:space="preserve">  交際費</t>
  </si>
  <si>
    <t xml:space="preserve">  会議費</t>
  </si>
  <si>
    <t xml:space="preserve">  旅費交通費</t>
  </si>
  <si>
    <t xml:space="preserve">  通信費</t>
  </si>
  <si>
    <t xml:space="preserve">  消耗品費</t>
  </si>
  <si>
    <t xml:space="preserve">  修繕費</t>
  </si>
  <si>
    <t xml:space="preserve">  新聞図書費</t>
  </si>
  <si>
    <t xml:space="preserve">  諸会費</t>
  </si>
  <si>
    <t xml:space="preserve">  支払手数料</t>
  </si>
  <si>
    <t xml:space="preserve">  車両費</t>
  </si>
  <si>
    <t xml:space="preserve">  地代家賃</t>
  </si>
  <si>
    <t xml:space="preserve">  保険料</t>
  </si>
  <si>
    <t xml:space="preserve">  租税公課</t>
  </si>
  <si>
    <t xml:space="preserve">  研修費</t>
  </si>
  <si>
    <t xml:space="preserve">  研究開発費</t>
  </si>
  <si>
    <t xml:space="preserve">  減価償却費</t>
  </si>
  <si>
    <t>販売管理費 計</t>
  </si>
  <si>
    <t>営業利益</t>
  </si>
  <si>
    <t xml:space="preserve">  受取利息</t>
  </si>
  <si>
    <t xml:space="preserve">  受取配当金</t>
  </si>
  <si>
    <t xml:space="preserve">  雑収入</t>
  </si>
  <si>
    <t>営業外収益 計</t>
  </si>
  <si>
    <t xml:space="preserve">  支払利息</t>
  </si>
  <si>
    <t>営業外費用 計</t>
  </si>
  <si>
    <t>経常利益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</si>
  <si>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</si>
  <si>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</si>
  <si>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</si>
  <si>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</si>
  <si>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</si>
  <si>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</si>
  <si>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>取引先名</t>
  </si>
  <si>
    <t>残高</t>
  </si>
  <si>
    <t>滞留判定</t>
  </si>
  <si>
    <t>株式会社ミンカブ・ジ・インフォノイド</t>
  </si>
  <si>
    <t>滞留</t>
  </si>
  <si>
    <t>CH Digital Ltd.</t>
  </si>
  <si>
    <t>株式会社ライブドア</t>
  </si>
  <si>
    <t>5xRuby</t>
  </si>
  <si>
    <t>未選択</t>
  </si>
  <si>
    <t>あしたの会計事務所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</si>
</sst>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6" borderId="1" xfId="0" applyNumberFormat="1" applyFont="1" applyFill="1" applyBorder="1" applyAlignment="1">
      <alignment horizontal="right"/>
    </xf>
    <xf numFmtId="3" fontId="2" fillId="7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0" borderId="1" xfId="0" applyNumberFormat="1" applyFont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6-02-01&amp;end_date=2026-02-28" TargetMode="External"/><Relationship Id="rId2" Type="http://schemas.openxmlformats.org/officeDocument/2006/relationships/hyperlink" Target="https://secure.freee.co.jp/reports/general_ledgers/show?name=%E5%BD%B9%E5%93%A1%E8%B2%B8%E4%BB%98%E9%87%91&amp;start_date=2026-02-01&amp;end_date=2026-02-28" TargetMode="External"/><Relationship Id="rId3" Type="http://schemas.openxmlformats.org/officeDocument/2006/relationships/hyperlink" Target="https://secure.freee.co.jp/reports/journals?start_date=2020-03-01&amp;end_date=2026-02-28&amp;name=%E8%87%AA%E5%B7%B1%E6%A0%AA%E5%BC%8F" TargetMode="External"/><Relationship Id="rId4" Type="http://schemas.openxmlformats.org/officeDocument/2006/relationships/hyperlink" Target="https://secure.freee.co.jp/reports/general_ledgers/show?name=%E6%9C%9D%E6%97%A5%E4%BF%A1%E9%87%91%EF%BC%88%E6%B3%95%E4%BA%BA%EF%BC%89%E9%9B%BB%E5%AD%90%E8%A8%BC%E6%98%8E%E6%9B%B8&amp;start_date=2026-02-01&amp;end_date=2026-02-28" TargetMode="External"/><Relationship Id="rId5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6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7" Type="http://schemas.openxmlformats.org/officeDocument/2006/relationships/hyperlink" Target="https://secure.freee.co.jp/reports/general_ledgers/show?name=%E5%9C%B0%E4%BB%A3%E5%AE%B6%E8%B3%83&amp;start_date=2026-02-01&amp;end_date=2026-02-28" TargetMode="External"/><Relationship Id="rId8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9" Type="http://schemas.openxmlformats.org/officeDocument/2006/relationships/hyperlink" Target="https://secure.freee.co.jp/reports/general_ledgers/show?name=%E5%A3%B2%E6%8E%9B%E9%87%91&amp;start_date=2026-02-01&amp;end_date=2026-02-28" TargetMode="External"/><Relationship Id="rId10" Type="http://schemas.openxmlformats.org/officeDocument/2006/relationships/hyperlink" Target="https://secure.freee.co.jp/reports/general_ledgers/show?name=%E5%A3%B2%E6%8E%9B%E9%87%91&amp;start_date=2026-02-01&amp;end_date=2026-02-28" TargetMode="External"/><Relationship Id="rId11" Type="http://schemas.openxmlformats.org/officeDocument/2006/relationships/hyperlink" Target="https://secure.freee.co.jp/reports/general_ledgers/show?name=%E5%A4%96%E6%B3%A8%E8%B2%BB&amp;start_date=2026-02-01&amp;end_date=2026-02-28" TargetMode="External"/><Relationship Id="rId12" Type="http://schemas.openxmlformats.org/officeDocument/2006/relationships/hyperlink" Target="https://secure.freee.co.jp/reports/general_ledgers/show?name=freee%E3%82%AB%E3%83%BC%E3%83%89+Unlimited&amp;start_date=2026-02-01&amp;end_date=2026-02-28" TargetMode="External"/><Relationship Id="rId13" Type="http://schemas.openxmlformats.org/officeDocument/2006/relationships/hyperlink" Target="https://secure.freee.co.jp/reports/journals?start_date=2021-03-01&amp;end_date=2026-02-28&amp;name=%E3%82%86%E3%81%86%E3%81%A1%E3%82%87%EF%BC%88%E6%B3%95%E4%BA%BA%EF%BC%89" TargetMode="External"/><Relationship Id="rId14" Type="http://schemas.openxmlformats.org/officeDocument/2006/relationships/hyperlink" Target="https://secure.freee.co.jp/reports/journals?start_date=2021-03-01&amp;end_date=2026-02-28&amp;name=%E3%82%86%E3%81%86%E3%81%A1%E3%82%87%EF%BC%88%E6%B3%95%E4%BA%BA%EF%BC%89&amp;partner_id=7165249" TargetMode="External"/><Relationship Id="rId15" Type="http://schemas.openxmlformats.org/officeDocument/2006/relationships/hyperlink" Target="https://secure.freee.co.jp/reports/journals?start_date=2021-03-01&amp;end_date=2026-02-28&amp;name=%E3%82%86%E3%81%86%E3%81%A1%E3%82%87%EF%BC%88%E6%B3%95%E4%BA%BA%EF%BC%89" TargetMode="External"/><Relationship Id="rId16" Type="http://schemas.openxmlformats.org/officeDocument/2006/relationships/hyperlink" Target="https://secure.freee.co.jp/reports/journals?start_date=2021-03-01&amp;end_date=2026-02-28&amp;name=%E3%82%86%E3%81%86%E3%81%A1%E3%82%87%EF%BC%88%E6%B3%95%E4%BA%BA%EF%BC%89&amp;partner_id=7919796" TargetMode="External"/><Relationship Id="rId17" Type="http://schemas.openxmlformats.org/officeDocument/2006/relationships/hyperlink" Target="https://secure.freee.co.jp/reports/journals?start_date=2021-03-01&amp;end_date=2026-02-28&amp;name=%E3%82%86%E3%81%86%E3%81%A1%E3%82%87%EF%BC%88%E6%B3%95%E4%BA%BA%EF%BC%89&amp;partner_id=7185786" TargetMode="External"/><Relationship Id="rId18" Type="http://schemas.openxmlformats.org/officeDocument/2006/relationships/hyperlink" Target="https://secure.freee.co.jp/reports/journals?start_date=2021-03-01&amp;end_date=2026-02-28&amp;name=%E3%82%86%E3%81%86%E3%81%A1%E3%82%87%EF%BC%88%E6%B3%95%E4%BA%BA%EF%BC%89&amp;partner_id=8401574" TargetMode="External"/><Relationship Id="rId19" Type="http://schemas.openxmlformats.org/officeDocument/2006/relationships/hyperlink" Target="https://secure.freee.co.jp/reports/journals?start_date=2020-03-01&amp;end_date=2026-02-28&amp;name=%E3%80%90%E5%AE%9A%E6%9C%9F%E9%A0%90%E9%87%91%E3%80%91%E6%9C%9D%E6%97%A5%E4%BF%A1%E9%87%91%EF%BC%88%E6%B3%95%E4%BA%BA%EF%BC%89" TargetMode="External"/><Relationship Id="rId20" Type="http://schemas.openxmlformats.org/officeDocument/2006/relationships/hyperlink" Target="https://secure.freee.co.jp/reports/journals?start_date=2020-03-01&amp;end_date=2026-02-28&amp;name=%E3%80%90%E5%AE%9A%E6%9C%9F%E9%A0%90%E9%87%91%E3%80%91%E6%9C%9D%E6%97%A5%E4%BF%A1%E9%87%91%EF%BC%88%E6%B3%95%E4%BA%BA%EF%BC%89" TargetMode="External"/><Relationship Id="rId21" Type="http://schemas.openxmlformats.org/officeDocument/2006/relationships/hyperlink" Target="https://secure.freee.co.jp/reports/journals?start_date=2024-03-01&amp;end_date=2026-02-28&amp;name=%E5%A3%B2%E6%8E%9B%E9%87%91" TargetMode="External"/><Relationship Id="rId22" Type="http://schemas.openxmlformats.org/officeDocument/2006/relationships/hyperlink" Target="https://secure.freee.co.jp/reports/journals?start_date=2024-03-01&amp;end_date=2026-02-28&amp;name=%E5%A3%B2%E6%8E%9B%E9%87%91&amp;partner_id=14664765" TargetMode="External"/><Relationship Id="rId23" Type="http://schemas.openxmlformats.org/officeDocument/2006/relationships/hyperlink" Target="https://secure.freee.co.jp/reports/journals?start_date=2024-03-01&amp;end_date=2026-02-28&amp;name=%E5%A3%B2%E6%8E%9B%E9%87%91&amp;partner_id=58912040" TargetMode="External"/><Relationship Id="rId24" Type="http://schemas.openxmlformats.org/officeDocument/2006/relationships/hyperlink" Target="https://secure.freee.co.jp/reports/journals?start_date=2020-03-01&amp;end_date=2026-02-28&amp;name=%E5%87%BA%E8%B3%87%E9%87%91" TargetMode="External"/><Relationship Id="rId25" Type="http://schemas.openxmlformats.org/officeDocument/2006/relationships/hyperlink" Target="https://secure.freee.co.jp/reports/journals?start_date=2020-03-01&amp;end_date=2026-02-28&amp;name=%E5%87%BA%E8%B3%87%E9%87%91&amp;partner_id=13721885" TargetMode="External"/><Relationship Id="rId26" Type="http://schemas.openxmlformats.org/officeDocument/2006/relationships/hyperlink" Target="https://secure.freee.co.jp/reports/journals?start_date=2020-03-01&amp;end_date=2026-02-28&amp;name=%E9%A0%90%E8%A8%97%E9%87%91" TargetMode="External"/><Relationship Id="rId27" Type="http://schemas.openxmlformats.org/officeDocument/2006/relationships/hyperlink" Target="https://secure.freee.co.jp/reports/journals?start_date=2020-03-01&amp;end_date=2026-02-28&amp;name=%E9%A0%90%E8%A8%97%E9%87%91&amp;partner_id=87434965" TargetMode="External"/><Relationship Id="rId28" Type="http://schemas.openxmlformats.org/officeDocument/2006/relationships/hyperlink" Target="https://secure.freee.co.jp/reports/general_ledgers/show?name=%E6%9C%9D%E6%97%A5%E4%BF%A1%E9%87%91%EF%BC%88%E6%B3%95%E4%BA%BA%EF%BC%89%E9%9B%BB%E5%AD%90%E8%A8%BC%E6%98%8E%E6%9B%B8&amp;start_date=2026-02-01&amp;end_date=2026-02-28&amp;fiscal_year_id=9701717" TargetMode="External"/><Relationship Id="rId29" Type="http://schemas.openxmlformats.org/officeDocument/2006/relationships/hyperlink" Target="https://secure.freee.co.jp/reports/general_ledgers/show?name=%E5%89%8D%E6%89%95%E8%B2%BB%E7%94%A8&amp;start_date=2026-02-01&amp;end_date=2026-02-28&amp;fiscal_year_id=9701717" TargetMode="External"/><Relationship Id="rId30" Type="http://schemas.openxmlformats.org/officeDocument/2006/relationships/hyperlink" Target="https://secure.freee.co.jp/reports/general_ledgers/show?name=%E5%BD%B9%E5%93%A1%E5%80%9F%E5%85%A5%E9%87%91&amp;start_date=2026-02-01&amp;end_date=2026-02-28&amp;fiscal_year_id=9701717" TargetMode="External"/><Relationship Id="rId31" Type="http://schemas.openxmlformats.org/officeDocument/2006/relationships/hyperlink" Target="https://secure.freee.co.jp/reports/journals?deal_id=3294937245" TargetMode="External"/><Relationship Id="rId32" Type="http://schemas.openxmlformats.org/officeDocument/2006/relationships/hyperlink" Target="https://secure.freee.co.jp/reports/general_ledgers/show?name=%E6%9C%AA%E6%89%95%E9%87%91&amp;start_date=2026-02-01&amp;end_date=2026-02-28&amp;fiscal_year_id=9701717" TargetMode="External"/><Relationship Id="rId33" Type="http://schemas.openxmlformats.org/officeDocument/2006/relationships/hyperlink" Target="https://secure.freee.co.jp/reports/general_ledgers/show?name=%E7%AB%8B%E6%9B%BF%E7%B5%8C%E8%B2%BB%EF%BC%88%E4%BE%AF%EF%BC%89&amp;start_date=2026-02-01&amp;end_date=2026-02-28&amp;fiscal_year_id=9701717" TargetMode="External"/><Relationship Id="rId34" Type="http://schemas.openxmlformats.org/officeDocument/2006/relationships/hyperlink" Target="https://secure.freee.co.jp/reports/general_ledgers/show?name=freeeVISA%E3%82%AB%E3%83%BC%E3%83%89&amp;start_date=2026-02-01&amp;end_date=2026-02-28&amp;fiscal_year_id=9701717" TargetMode="External"/><Relationship Id="rId35" Type="http://schemas.openxmlformats.org/officeDocument/2006/relationships/hyperlink" Target="https://secure.freee.co.jp/reports/general_ledgers/show?name=%E9%A0%90%E3%82%8A%E9%87%91&amp;start_date=2026-02-01&amp;end_date=2026-02-28&amp;fiscal_year_id=9701717" TargetMode="External"/><Relationship Id="rId36" Type="http://schemas.openxmlformats.org/officeDocument/2006/relationships/hyperlink" Target="https://secure.freee.co.jp/reports/journals?deal_id=3294937245" TargetMode="External"/><Relationship Id="rId37" Type="http://schemas.openxmlformats.org/officeDocument/2006/relationships/hyperlink" Target="https://secure.freee.co.jp/reports/journals?deal_id=3294937266" TargetMode="External"/><Relationship Id="rId38" Type="http://schemas.openxmlformats.org/officeDocument/2006/relationships/hyperlink" Target="https://secure.freee.co.jp/reports/journals?deal_id=3294937245" TargetMode="External"/><Relationship Id="rId39" Type="http://schemas.openxmlformats.org/officeDocument/2006/relationships/hyperlink" Target="https://secure.freee.co.jp/reports/journals?deal_id=3294937266" TargetMode="External"/><Relationship Id="rId40" Type="http://schemas.openxmlformats.org/officeDocument/2006/relationships/hyperlink" Target="https://secure.freee.co.jp/reports/journals?deal_id=3294937245" TargetMode="External"/><Relationship Id="rId41" Type="http://schemas.openxmlformats.org/officeDocument/2006/relationships/hyperlink" Target="https://secure.freee.co.jp/reports/journals?start_date=2025-03-01&amp;end_date=2026-02-28&amp;name=%E5%9C%B0%E4%BB%A3%E5%AE%B6%E8%B3%83" TargetMode="External"/><Relationship Id="rId42" Type="http://schemas.openxmlformats.org/officeDocument/2006/relationships/hyperlink" Target="https://secure.freee.co.jp/reports/journals?start_date=2025-03-01&amp;end_date=2026-02-28&amp;name=%E9%80%9A%E4%BF%A1%E8%B2%BB" TargetMode="External"/><Relationship Id="rId43" Type="http://schemas.openxmlformats.org/officeDocument/2006/relationships/hyperlink" Target="https://secure.freee.co.jp/reports/journals?start_date=2025-03-01&amp;end_date=2026-02-28&amp;name=%E4%BF%9D%E9%99%BA%E6%96%99" TargetMode="External"/><Relationship Id="rId44" Type="http://schemas.openxmlformats.org/officeDocument/2006/relationships/hyperlink" Target="https://secure.freee.co.jp/reports/general_ledgers/show?name=%E6%94%AF%E6%89%95%E6%89%8B%E6%95%B0%E6%96%99&amp;start_date=2026-02-01&amp;end_date=2026-02-28&amp;fiscal_year_id=9701717" TargetMode="External"/><Relationship Id="rId45" Type="http://schemas.openxmlformats.org/officeDocument/2006/relationships/hyperlink" Target="https://secure.freee.co.jp/reports/general_ledgers/show?name=%E6%94%AF%E6%89%95%E6%89%8B%E6%95%B0%E6%96%99&amp;start_date=2026-02-01&amp;end_date=2026-02-28&amp;fiscal_year_id=9701717&amp;tax_group_codes=34&amp;tax_rate=10&amp;tax_reduced=false" TargetMode="External"/><Relationship Id="rId46" Type="http://schemas.openxmlformats.org/officeDocument/2006/relationships/hyperlink" Target="https://secure.freee.co.jp/reports/general_ledgers/show?name=%E6%94%AF%E6%89%95%E6%89%8B%E6%95%B0%E6%96%99&amp;start_date=2026-02-01&amp;end_date=2026-02-28&amp;fiscal_year_id=9701717&amp;tax_group_codes=0" TargetMode="External"/><Relationship Id="rId47" Type="http://schemas.openxmlformats.org/officeDocument/2006/relationships/hyperlink" Target="https://secure.freee.co.jp/reports/general_ledgers/show?name=%E4%BA%A4%E9%9A%9B%E8%B2%BB&amp;start_date=2026-02-01&amp;end_date=2026-02-28&amp;fiscal_year_id=9701717" TargetMode="External"/><Relationship Id="rId48" Type="http://schemas.openxmlformats.org/officeDocument/2006/relationships/hyperlink" Target="https://secure.freee.co.jp/reports/general_ledgers/show?name=%E4%BA%A4%E9%9A%9B%E8%B2%BB&amp;start_date=2026-02-01&amp;end_date=2026-02-28&amp;fiscal_year_id=9701717&amp;tax_group_codes=34&amp;tax_rate=10&amp;tax_reduced=false" TargetMode="External"/><Relationship Id="rId49" Type="http://schemas.openxmlformats.org/officeDocument/2006/relationships/hyperlink" Target="https://secure.freee.co.jp/reports/general_ledgers/show?name=%E4%BA%A4%E9%9A%9B%E8%B2%BB&amp;start_date=2026-02-01&amp;end_date=2026-02-28&amp;fiscal_year_id=9701717&amp;tax_group_codes=0" TargetMode="External"/><Relationship Id="rId50" Type="http://schemas.openxmlformats.org/officeDocument/2006/relationships/hyperlink" Target="https://secure.freee.co.jp/reports/general_ledgers/show?name=%E9%80%9A%E4%BF%A1%E8%B2%BB&amp;start_date=2026-02-01&amp;end_date=2026-02-28&amp;fiscal_year_id=9701717" TargetMode="External"/><Relationship Id="rId51" Type="http://schemas.openxmlformats.org/officeDocument/2006/relationships/hyperlink" Target="https://secure.freee.co.jp/reports/general_ledgers/show?name=%E9%80%9A%E4%BF%A1%E8%B2%BB&amp;start_date=2026-02-01&amp;end_date=2026-02-28&amp;fiscal_year_id=9701717&amp;tax_group_codes=34&amp;tax_rate=10&amp;tax_reduced=false" TargetMode="External"/><Relationship Id="rId52" Type="http://schemas.openxmlformats.org/officeDocument/2006/relationships/hyperlink" Target="https://secure.freee.co.jp/reports/general_ledgers/show?name=%E9%80%9A%E4%BF%A1%E8%B2%BB&amp;start_date=2026-02-01&amp;end_date=2026-02-28&amp;fiscal_year_id=9701717&amp;tax_group_codes=0" TargetMode="External"/><Relationship Id="rId53" Type="http://schemas.openxmlformats.org/officeDocument/2006/relationships/hyperlink" Target="https://secure.freee.co.jp/reports/general_ledgers/show?name=%E7%A0%94%E7%A9%B6%E9%96%8B%E7%99%BA%E8%B2%BB&amp;start_date=2026-02-01&amp;end_date=2026-02-28&amp;fiscal_year_id=9701717" TargetMode="External"/><Relationship Id="rId54" Type="http://schemas.openxmlformats.org/officeDocument/2006/relationships/hyperlink" Target="https://secure.freee.co.jp/reports/general_ledgers/show?name=%E7%A0%94%E7%A9%B6%E9%96%8B%E7%99%BA%E8%B2%BB&amp;start_date=2026-02-01&amp;end_date=2026-02-28&amp;fiscal_year_id=9701717&amp;tax_group_codes=34&amp;tax_rate=10&amp;tax_reduced=false" TargetMode="External"/><Relationship Id="rId55" Type="http://schemas.openxmlformats.org/officeDocument/2006/relationships/hyperlink" Target="https://secure.freee.co.jp/reports/general_ledgers/show?name=%E7%A0%94%E7%A9%B6%E9%96%8B%E7%99%BA%E8%B2%BB&amp;start_date=2026-02-01&amp;end_date=2026-02-28&amp;fiscal_year_id=9701717&amp;tax_group_codes=34&amp;tax_rate=10&amp;tax_deduction_rate=80&amp;tax_reduced=false" TargetMode="External"/><Relationship Id="rId56" Type="http://schemas.openxmlformats.org/officeDocument/2006/relationships/hyperlink" Target="https://secure.freee.co.jp/reports/general_ledgers/show?name=%E9%A0%90%E3%82%8A%E9%87%91&amp;start_date=2026-02-01&amp;end_date=2026-02-28&amp;fiscal_year_id=9701717" TargetMode="External"/><Relationship Id="rId57" Type="http://schemas.openxmlformats.org/officeDocument/2006/relationships/hyperlink" Target="https://secure.freee.co.jp/reports/general_ledgers/show?name=%E9%9B%91%E5%8F%8E%E5%85%A5&amp;start_date=2026-02-01&amp;end_date=2026-02-28" TargetMode="External"/><Relationship Id="rId58" Type="http://schemas.openxmlformats.org/officeDocument/2006/relationships/hyperlink" Target="https://secure.freee.co.jp/reports/general_ledgers/show?name=%E8%B3%9E%E4%B8%8E&amp;start_date=2026-02-01&amp;end_date=2026-02-28" TargetMode="External"/><Relationship Id="rId59" Type="http://schemas.openxmlformats.org/officeDocument/2006/relationships/hyperlink" Target="https://secure.freee.co.jp/reports/general_ledgers/show?name=%E9%80%9A%E4%BF%A1%E8%B2%BB&amp;start_date=2026-02-01&amp;end_date=2026-02-28" TargetMode="External"/><Relationship Id="rId60" Type="http://schemas.openxmlformats.org/officeDocument/2006/relationships/hyperlink" Target="https://secure.freee.co.jp/reports/general_ledgers/show?name=%E4%BA%A4%E9%9A%9B%E8%B2%BB&amp;start_date=2026-02-01&amp;end_date=2026-02-28" TargetMode="External"/><Relationship Id="rId61" Type="http://schemas.openxmlformats.org/officeDocument/2006/relationships/hyperlink" Target="https://secure.freee.co.jp/reports/general_ledgers/show?name=%E4%BF%9D%E9%99%BA%E6%96%99&amp;start_date=2026-02-01&amp;end_date=2026-02-28" TargetMode="External"/><Relationship Id="rId62" Type="http://schemas.openxmlformats.org/officeDocument/2006/relationships/hyperlink" Target="https://secure.freee.co.jp/reports/general_ledgers/show?name=%E6%97%85%E8%B2%BB%E4%BA%A4%E9%80%9A%E8%B2%BB&amp;start_date=2026-02-01&amp;end_date=2026-02-28" TargetMode="External"/><Relationship Id="rId63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64" Type="http://schemas.openxmlformats.org/officeDocument/2006/relationships/hyperlink" Target="https://secure.freee.co.jp/reports/journals?start_date=2025-03-01&amp;end_date=2026-02-28&amp;name=%E6%94%AF%E6%89%95%E5%88%A9%E6%81%AF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6%94%AF%E6%89%95%E6%89%8B%E6%95%B0%E6%96%99&amp;start_date=2026-02-01&amp;end_date=2026-02-28&amp;fiscal_year_id=9701717" TargetMode="External"/><Relationship Id="rId2" Type="http://schemas.openxmlformats.org/officeDocument/2006/relationships/hyperlink" Target="https://secure.freee.co.jp/reports/general_ledgers/show?name=%E6%94%AF%E6%89%95%E6%89%8B%E6%95%B0%E6%96%99&amp;start_date=2026-02-01&amp;end_date=2026-02-28&amp;fiscal_year_id=9701717&amp;tax_group_codes=34&amp;tax_rate=10&amp;tax_reduced=false" TargetMode="External"/><Relationship Id="rId3" Type="http://schemas.openxmlformats.org/officeDocument/2006/relationships/hyperlink" Target="https://secure.freee.co.jp/reports/general_ledgers/show?name=%E6%94%AF%E6%89%95%E6%89%8B%E6%95%B0%E6%96%99&amp;start_date=2026-02-01&amp;end_date=2026-02-28&amp;fiscal_year_id=9701717&amp;tax_group_codes=0" TargetMode="External"/><Relationship Id="rId4" Type="http://schemas.openxmlformats.org/officeDocument/2006/relationships/hyperlink" Target="https://secure.freee.co.jp/reports/general_ledgers/show?name=%E4%BA%A4%E9%9A%9B%E8%B2%BB&amp;start_date=2026-02-01&amp;end_date=2026-02-28&amp;fiscal_year_id=9701717" TargetMode="External"/><Relationship Id="rId5" Type="http://schemas.openxmlformats.org/officeDocument/2006/relationships/hyperlink" Target="https://secure.freee.co.jp/reports/general_ledgers/show?name=%E4%BA%A4%E9%9A%9B%E8%B2%BB&amp;start_date=2026-02-01&amp;end_date=2026-02-28&amp;fiscal_year_id=9701717&amp;tax_group_codes=34&amp;tax_rate=10&amp;tax_reduced=false" TargetMode="External"/><Relationship Id="rId6" Type="http://schemas.openxmlformats.org/officeDocument/2006/relationships/hyperlink" Target="https://secure.freee.co.jp/reports/general_ledgers/show?name=%E4%BA%A4%E9%9A%9B%E8%B2%BB&amp;start_date=2026-02-01&amp;end_date=2026-02-28&amp;fiscal_year_id=9701717&amp;tax_group_codes=0" TargetMode="External"/><Relationship Id="rId7" Type="http://schemas.openxmlformats.org/officeDocument/2006/relationships/hyperlink" Target="https://secure.freee.co.jp/reports/general_ledgers/show?name=%E9%80%9A%E4%BF%A1%E8%B2%BB&amp;start_date=2026-02-01&amp;end_date=2026-02-28&amp;fiscal_year_id=9701717" TargetMode="External"/><Relationship Id="rId8" Type="http://schemas.openxmlformats.org/officeDocument/2006/relationships/hyperlink" Target="https://secure.freee.co.jp/reports/general_ledgers/show?name=%E9%80%9A%E4%BF%A1%E8%B2%BB&amp;start_date=2026-02-01&amp;end_date=2026-02-28&amp;fiscal_year_id=9701717&amp;tax_group_codes=34&amp;tax_rate=10&amp;tax_reduced=false" TargetMode="External"/><Relationship Id="rId9" Type="http://schemas.openxmlformats.org/officeDocument/2006/relationships/hyperlink" Target="https://secure.freee.co.jp/reports/general_ledgers/show?name=%E9%80%9A%E4%BF%A1%E8%B2%BB&amp;start_date=2026-02-01&amp;end_date=2026-02-28&amp;fiscal_year_id=9701717&amp;tax_group_codes=0" TargetMode="External"/><Relationship Id="rId10" Type="http://schemas.openxmlformats.org/officeDocument/2006/relationships/hyperlink" Target="https://secure.freee.co.jp/reports/general_ledgers/show?name=%E7%A0%94%E7%A9%B6%E9%96%8B%E7%99%BA%E8%B2%BB&amp;start_date=2026-02-01&amp;end_date=2026-02-28&amp;fiscal_year_id=9701717" TargetMode="External"/><Relationship Id="rId11" Type="http://schemas.openxmlformats.org/officeDocument/2006/relationships/hyperlink" Target="https://secure.freee.co.jp/reports/general_ledgers/show?name=%E7%A0%94%E7%A9%B6%E9%96%8B%E7%99%BA%E8%B2%BB&amp;start_date=2026-02-01&amp;end_date=2026-02-28&amp;fiscal_year_id=9701717&amp;tax_group_codes=34&amp;tax_rate=10&amp;tax_reduced=false" TargetMode="External"/><Relationship Id="rId12" Type="http://schemas.openxmlformats.org/officeDocument/2006/relationships/hyperlink" Target="https://secure.freee.co.jp/reports/general_ledgers/show?name=%E7%A0%94%E7%A9%B6%E9%96%8B%E7%99%BA%E8%B2%BB&amp;start_date=2026-02-01&amp;end_date=2026-02-28&amp;fiscal_year_id=9701717&amp;tax_group_codes=34&amp;tax_rate=10&amp;tax_deduction_rate=80&amp;tax_reduced=false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9%A0%90%E3%82%8A%E9%87%91&amp;start_date=2026-02-01&amp;end_date=2026-02-28&amp;fiscal_year_id=9701717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8%B2%B8%E4%BB%98%E9%87%91&amp;start_date=2026-02-01&amp;end_date=2026-02-28" TargetMode="External"/><Relationship Id="rId2" Type="http://schemas.openxmlformats.org/officeDocument/2006/relationships/hyperlink" Target="https://secure.freee.co.jp/reports/journals?start_date=2020-03-01&amp;end_date=2026-02-28&amp;name=%E8%87%AA%E5%B7%B1%E6%A0%AA%E5%BC%8F" TargetMode="External"/><Relationship Id="rId3" Type="http://schemas.openxmlformats.org/officeDocument/2006/relationships/hyperlink" Target="https://secure.freee.co.jp/reports/general_ledgers/show?name=%E6%9C%9D%E6%97%A5%E4%BF%A1%E9%87%91%EF%BC%88%E6%B3%95%E4%BA%BA%EF%BC%89%E9%9B%BB%E5%AD%90%E8%A8%BC%E6%98%8E%E6%9B%B8&amp;start_date=2026-02-01&amp;end_date=2026-02-28" TargetMode="External"/><Relationship Id="rId4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5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6" Type="http://schemas.openxmlformats.org/officeDocument/2006/relationships/hyperlink" Target="https://secure.freee.co.jp/reports/journals?start_date=2021-03-01&amp;end_date=2026-02-28&amp;name=%E3%82%86%E3%81%86%E3%81%A1%E3%82%87%EF%BC%88%E6%B3%95%E4%BA%BA%EF%BC%89" TargetMode="External"/><Relationship Id="rId7" Type="http://schemas.openxmlformats.org/officeDocument/2006/relationships/hyperlink" Target="https://secure.freee.co.jp/reports/journals?start_date=2021-03-01&amp;end_date=2026-02-28&amp;name=%E3%82%86%E3%81%86%E3%81%A1%E3%82%87%EF%BC%88%E6%B3%95%E4%BA%BA%EF%BC%89&amp;partner_id=7165249" TargetMode="External"/><Relationship Id="rId8" Type="http://schemas.openxmlformats.org/officeDocument/2006/relationships/hyperlink" Target="https://secure.freee.co.jp/reports/journals?start_date=2021-03-01&amp;end_date=2026-02-28&amp;name=%E3%82%86%E3%81%86%E3%81%A1%E3%82%87%EF%BC%88%E6%B3%95%E4%BA%BA%EF%BC%89" TargetMode="External"/><Relationship Id="rId9" Type="http://schemas.openxmlformats.org/officeDocument/2006/relationships/hyperlink" Target="https://secure.freee.co.jp/reports/journals?start_date=2021-03-01&amp;end_date=2026-02-28&amp;name=%E3%82%86%E3%81%86%E3%81%A1%E3%82%87%EF%BC%88%E6%B3%95%E4%BA%BA%EF%BC%89&amp;partner_id=7919796" TargetMode="External"/><Relationship Id="rId10" Type="http://schemas.openxmlformats.org/officeDocument/2006/relationships/hyperlink" Target="https://secure.freee.co.jp/reports/journals?start_date=2021-03-01&amp;end_date=2026-02-28&amp;name=%E3%82%86%E3%81%86%E3%81%A1%E3%82%87%EF%BC%88%E6%B3%95%E4%BA%BA%EF%BC%89&amp;partner_id=7185786" TargetMode="External"/><Relationship Id="rId11" Type="http://schemas.openxmlformats.org/officeDocument/2006/relationships/hyperlink" Target="https://secure.freee.co.jp/reports/journals?start_date=2021-03-01&amp;end_date=2026-02-28&amp;name=%E3%82%86%E3%81%86%E3%81%A1%E3%82%87%EF%BC%88%E6%B3%95%E4%BA%BA%EF%BC%89&amp;partner_id=8401574" TargetMode="External"/><Relationship Id="rId12" Type="http://schemas.openxmlformats.org/officeDocument/2006/relationships/hyperlink" Target="https://secure.freee.co.jp/reports/journals?start_date=2020-03-01&amp;end_date=2026-02-28&amp;name=%E3%80%90%E5%AE%9A%E6%9C%9F%E9%A0%90%E9%87%91%E3%80%91%E6%9C%9D%E6%97%A5%E4%BF%A1%E9%87%91%EF%BC%88%E6%B3%95%E4%BA%BA%EF%BC%89" TargetMode="External"/><Relationship Id="rId13" Type="http://schemas.openxmlformats.org/officeDocument/2006/relationships/hyperlink" Target="https://secure.freee.co.jp/reports/journals?start_date=2020-03-01&amp;end_date=2026-02-28&amp;name=%E3%80%90%E5%AE%9A%E6%9C%9F%E9%A0%90%E9%87%91%E3%80%91%E6%9C%9D%E6%97%A5%E4%BF%A1%E9%87%91%EF%BC%88%E6%B3%95%E4%BA%BA%EF%BC%89" TargetMode="External"/><Relationship Id="rId14" Type="http://schemas.openxmlformats.org/officeDocument/2006/relationships/hyperlink" Target="https://secure.freee.co.jp/reports/journals?start_date=2024-03-01&amp;end_date=2026-02-28&amp;name=%E5%A3%B2%E6%8E%9B%E9%87%91" TargetMode="External"/><Relationship Id="rId15" Type="http://schemas.openxmlformats.org/officeDocument/2006/relationships/hyperlink" Target="https://secure.freee.co.jp/reports/journals?start_date=2024-03-01&amp;end_date=2026-02-28&amp;name=%E5%A3%B2%E6%8E%9B%E9%87%91&amp;partner_id=14664765" TargetMode="External"/><Relationship Id="rId16" Type="http://schemas.openxmlformats.org/officeDocument/2006/relationships/hyperlink" Target="https://secure.freee.co.jp/reports/journals?start_date=2024-03-01&amp;end_date=2026-02-28&amp;name=%E5%A3%B2%E6%8E%9B%E9%87%91&amp;partner_id=58912040" TargetMode="External"/><Relationship Id="rId17" Type="http://schemas.openxmlformats.org/officeDocument/2006/relationships/hyperlink" Target="https://secure.freee.co.jp/reports/journals?start_date=2020-03-01&amp;end_date=2026-02-28&amp;name=%E5%87%BA%E8%B3%87%E9%87%91" TargetMode="External"/><Relationship Id="rId18" Type="http://schemas.openxmlformats.org/officeDocument/2006/relationships/hyperlink" Target="https://secure.freee.co.jp/reports/journals?start_date=2020-03-01&amp;end_date=2026-02-28&amp;name=%E5%87%BA%E8%B3%87%E9%87%91&amp;partner_id=13721885" TargetMode="External"/><Relationship Id="rId19" Type="http://schemas.openxmlformats.org/officeDocument/2006/relationships/hyperlink" Target="https://secure.freee.co.jp/reports/journals?start_date=2020-03-01&amp;end_date=2026-02-28&amp;name=%E9%A0%90%E8%A8%97%E9%87%91" TargetMode="External"/><Relationship Id="rId20" Type="http://schemas.openxmlformats.org/officeDocument/2006/relationships/hyperlink" Target="https://secure.freee.co.jp/reports/journals?start_date=2020-03-01&amp;end_date=2026-02-28&amp;name=%E9%A0%90%E8%A8%97%E9%87%91&amp;partner_id=87434965" TargetMode="External"/><Relationship Id="rId21" Type="http://schemas.openxmlformats.org/officeDocument/2006/relationships/hyperlink" Target="https://secure.freee.co.jp/reports/general_ledgers/show?name=%E6%9C%9D%E6%97%A5%E4%BF%A1%E9%87%91%EF%BC%88%E6%B3%95%E4%BA%BA%EF%BC%89%E9%9B%BB%E5%AD%90%E8%A8%BC%E6%98%8E%E6%9B%B8&amp;start_date=2026-02-01&amp;end_date=2026-02-28&amp;fiscal_year_id=9701717" TargetMode="External"/><Relationship Id="rId22" Type="http://schemas.openxmlformats.org/officeDocument/2006/relationships/hyperlink" Target="https://secure.freee.co.jp/reports/general_ledgers/show?name=%E5%89%8D%E6%89%95%E8%B2%BB%E7%94%A8&amp;start_date=2026-02-01&amp;end_date=2026-02-28&amp;fiscal_year_id=9701717" TargetMode="External"/><Relationship Id="rId23" Type="http://schemas.openxmlformats.org/officeDocument/2006/relationships/hyperlink" Target="https://secure.freee.co.jp/reports/general_ledgers/show?name=%E5%BD%B9%E5%93%A1%E5%80%9F%E5%85%A5%E9%87%91&amp;start_date=2026-02-01&amp;end_date=2026-02-28&amp;fiscal_year_id=9701717" TargetMode="External"/><Relationship Id="rId24" Type="http://schemas.openxmlformats.org/officeDocument/2006/relationships/hyperlink" Target="https://secure.freee.co.jp/reports/journals?deal_id=3294937245" TargetMode="External"/><Relationship Id="rId25" Type="http://schemas.openxmlformats.org/officeDocument/2006/relationships/hyperlink" Target="https://secure.freee.co.jp/reports/general_ledgers/show?name=%E6%9C%AA%E6%89%95%E9%87%91&amp;start_date=2026-02-01&amp;end_date=2026-02-28&amp;fiscal_year_id=9701717" TargetMode="External"/><Relationship Id="rId26" Type="http://schemas.openxmlformats.org/officeDocument/2006/relationships/hyperlink" Target="https://secure.freee.co.jp/reports/general_ledgers/show?name=%E7%AB%8B%E6%9B%BF%E7%B5%8C%E8%B2%BB%EF%BC%88%E4%BE%AF%EF%BC%89&amp;start_date=2026-02-01&amp;end_date=2026-02-28&amp;fiscal_year_id=9701717" TargetMode="External"/><Relationship Id="rId27" Type="http://schemas.openxmlformats.org/officeDocument/2006/relationships/hyperlink" Target="https://secure.freee.co.jp/reports/general_ledgers/show?name=freeeVISA%E3%82%AB%E3%83%BC%E3%83%89&amp;start_date=2026-02-01&amp;end_date=2026-02-28&amp;fiscal_year_id=9701717" TargetMode="External"/><Relationship Id="rId28" Type="http://schemas.openxmlformats.org/officeDocument/2006/relationships/hyperlink" Target="https://secure.freee.co.jp/reports/general_ledgers/show?name=%E9%A0%90%E3%82%8A%E9%87%91&amp;start_date=2026-02-01&amp;end_date=2026-02-28&amp;fiscal_year_id=9701717" TargetMode="External"/><Relationship Id="rId29" Type="http://schemas.openxmlformats.org/officeDocument/2006/relationships/hyperlink" Target="https://secure.freee.co.jp/reports/journals?deal_id=3294937245" TargetMode="External"/><Relationship Id="rId30" Type="http://schemas.openxmlformats.org/officeDocument/2006/relationships/hyperlink" Target="https://secure.freee.co.jp/reports/journals?deal_id=3294937266" TargetMode="External"/><Relationship Id="rId31" Type="http://schemas.openxmlformats.org/officeDocument/2006/relationships/hyperlink" Target="https://secure.freee.co.jp/reports/journals?deal_id=3294937245" TargetMode="External"/><Relationship Id="rId32" Type="http://schemas.openxmlformats.org/officeDocument/2006/relationships/hyperlink" Target="https://secure.freee.co.jp/reports/journals?deal_id=3294937266" TargetMode="External"/><Relationship Id="rId33" Type="http://schemas.openxmlformats.org/officeDocument/2006/relationships/hyperlink" Target="https://secure.freee.co.jp/reports/journals?deal_id=3294937245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9C%B0%E4%BB%A3%E5%AE%B6%E8%B3%83&amp;start_date=2026-02-01&amp;end_date=2026-02-28" TargetMode="External"/><Relationship Id="rId2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3" Type="http://schemas.openxmlformats.org/officeDocument/2006/relationships/hyperlink" Target="https://secure.freee.co.jp/reports/general_ledgers/show?name=%E5%A3%B2%E6%8E%9B%E9%87%91&amp;start_date=2026-02-01&amp;end_date=2026-02-28" TargetMode="External"/><Relationship Id="rId4" Type="http://schemas.openxmlformats.org/officeDocument/2006/relationships/hyperlink" Target="https://secure.freee.co.jp/reports/general_ledgers/show?name=%E5%A3%B2%E6%8E%9B%E9%87%91&amp;start_date=2026-02-01&amp;end_date=2026-02-28" TargetMode="External"/><Relationship Id="rId5" Type="http://schemas.openxmlformats.org/officeDocument/2006/relationships/hyperlink" Target="https://secure.freee.co.jp/reports/general_ledgers/show?name=%E5%A4%96%E6%B3%A8%E8%B2%BB&amp;start_date=2026-02-01&amp;end_date=2026-02-28" TargetMode="External"/><Relationship Id="rId6" Type="http://schemas.openxmlformats.org/officeDocument/2006/relationships/hyperlink" Target="https://secure.freee.co.jp/reports/general_ledgers/show?name=freee%E3%82%AB%E3%83%BC%E3%83%89+Unlimited&amp;start_date=2026-02-01&amp;end_date=2026-02-28" TargetMode="External"/><Relationship Id="rId7" Type="http://schemas.openxmlformats.org/officeDocument/2006/relationships/hyperlink" Target="https://secure.freee.co.jp/reports/journals?start_date=2025-03-01&amp;end_date=2026-02-28&amp;name=%E5%9C%B0%E4%BB%A3%E5%AE%B6%E8%B3%83" TargetMode="External"/><Relationship Id="rId8" Type="http://schemas.openxmlformats.org/officeDocument/2006/relationships/hyperlink" Target="https://secure.freee.co.jp/reports/journals?start_date=2025-03-01&amp;end_date=2026-02-28&amp;name=%E9%80%9A%E4%BF%A1%E8%B2%BB" TargetMode="External"/><Relationship Id="rId9" Type="http://schemas.openxmlformats.org/officeDocument/2006/relationships/hyperlink" Target="https://secure.freee.co.jp/reports/journals?start_date=2025-03-01&amp;end_date=2026-02-28&amp;name=%E4%BF%9D%E9%99%BA%E6%96%99" TargetMode="External"/><Relationship Id="rId10" Type="http://schemas.openxmlformats.org/officeDocument/2006/relationships/hyperlink" Target="https://secure.freee.co.jp/reports/general_ledgers/show?name=%E8%B3%9E%E4%B8%8E&amp;start_date=2026-02-01&amp;end_date=2026-02-28" TargetMode="External"/><Relationship Id="rId11" Type="http://schemas.openxmlformats.org/officeDocument/2006/relationships/hyperlink" Target="https://secure.freee.co.jp/reports/general_ledgers/show?name=%E9%80%9A%E4%BF%A1%E8%B2%BB&amp;start_date=2026-02-01&amp;end_date=2026-02-28" TargetMode="External"/><Relationship Id="rId12" Type="http://schemas.openxmlformats.org/officeDocument/2006/relationships/hyperlink" Target="https://secure.freee.co.jp/reports/general_ledgers/show?name=%E4%BA%A4%E9%9A%9B%E8%B2%BB&amp;start_date=2026-02-01&amp;end_date=2026-02-28" TargetMode="External"/><Relationship Id="rId13" Type="http://schemas.openxmlformats.org/officeDocument/2006/relationships/hyperlink" Target="https://secure.freee.co.jp/reports/general_ledgers/show?name=%E4%BF%9D%E9%99%BA%E6%96%99&amp;start_date=2026-02-01&amp;end_date=2026-02-28" TargetMode="External"/><Relationship Id="rId14" Type="http://schemas.openxmlformats.org/officeDocument/2006/relationships/hyperlink" Target="https://secure.freee.co.jp/reports/general_ledgers/show?name=%E6%97%85%E8%B2%BB%E4%BA%A4%E9%80%9A%E8%B2%BB&amp;start_date=2026-02-01&amp;end_date=2026-02-28" TargetMode="External"/><Relationship Id="rId15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16" Type="http://schemas.openxmlformats.org/officeDocument/2006/relationships/hyperlink" Target="https://secure.freee.co.jp/reports/journals?start_date=2025-03-01&amp;end_date=2026-02-28&amp;name=%E6%94%AF%E6%89%95%E5%88%A9%E6%81%AF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6-02-01&amp;end_date=2026-02-28" TargetMode="External"/><Relationship Id="rId2" Type="http://schemas.openxmlformats.org/officeDocument/2006/relationships/hyperlink" Target="https://secure.freee.co.jp/reports/general_ledgers/show?name=%E9%9B%91%E5%8F%8E%E5%85%A5&amp;start_date=2026-02-01&amp;end_date=2026-02-28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start_date=2021-03-01&amp;end_date=2026-02-28&amp;name=%E3%82%86%E3%81%86%E3%81%A1%E3%82%87%EF%BC%88%E6%B3%95%E4%BA%BA%EF%BC%89" TargetMode="External"/><Relationship Id="rId2" Type="http://schemas.openxmlformats.org/officeDocument/2006/relationships/hyperlink" Target="https://secure.freee.co.jp/reports/general_ledgers/show?name=%E6%A5%BD%E5%A4%A9%EF%BC%88%E6%B3%95%E4%BA%BA%EF%BC%89&amp;start_date=2025-03-01&amp;end_date=2026-02-28&amp;fiscal_year_id=9701717" TargetMode="External"/><Relationship Id="rId3" Type="http://schemas.openxmlformats.org/officeDocument/2006/relationships/hyperlink" Target="https://secure.freee.co.jp/reports/general_ledgers/show?name=%E6%9C%9D%E6%97%A5%E4%BF%A1%E9%87%91%EF%BC%88%E6%B3%95%E4%BA%BA%EF%BC%89%E9%9B%BB%E5%AD%90%E8%A8%BC%E6%98%8E%E6%9B%B8&amp;start_date=2025-03-01&amp;end_date=2026-02-28&amp;fiscal_year_id=9701717" TargetMode="External"/><Relationship Id="rId4" Type="http://schemas.openxmlformats.org/officeDocument/2006/relationships/hyperlink" Target="https://secure.freee.co.jp/reports/general_ledgers/show?name=GMO%E3%81%82%E3%81%8A%E3%81%9E%E3%82%89%E3%83%8D%E3%83%83%E3%83%88%EF%BC%88%E6%B3%95%E4%BA%BA%EF%BC%89%EF%BC%88API%EF%BC%89&amp;start_date=2025-03-01&amp;end_date=2026-02-28&amp;fiscal_year_id=9701717" TargetMode="External"/><Relationship Id="rId5" Type="http://schemas.openxmlformats.org/officeDocument/2006/relationships/hyperlink" Target="https://secure.freee.co.jp/reports/general_ledgers/show?name=%E3%80%90%E5%AE%9A%E6%9C%9F%E7%A9%8D%E9%87%91%E3%80%91%E6%9C%9D%E6%97%A5%E4%BF%A1%E9%87%91%EF%BC%88%E6%B3%95%E4%BA%BA%EF%BC%89&amp;start_date=2025-03-01&amp;end_date=2026-02-28&amp;fiscal_year_id=9701717" TargetMode="External"/><Relationship Id="rId6" Type="http://schemas.openxmlformats.org/officeDocument/2006/relationships/hyperlink" Target="https://secure.freee.co.jp/reports/journals?start_date=2020-03-01&amp;end_date=2026-02-28&amp;name=%E3%80%90%E5%AE%9A%E6%9C%9F%E9%A0%90%E9%87%91%E3%80%91%E6%9C%9D%E6%97%A5%E4%BF%A1%E9%87%91%EF%BC%88%E6%B3%95%E4%BA%BA%EF%BC%89" TargetMode="External"/><Relationship Id="rId7" Type="http://schemas.openxmlformats.org/officeDocument/2006/relationships/hyperlink" Target="https://secure.freee.co.jp/reports/general_ledgers/show?name=%E4%B8%89%E4%BA%95%E4%BD%8F%E5%8F%8B%EF%BC%88%E6%B3%95%E4%BA%BA%EF%BC%89%EF%BC%88API%EF%BC%89+%E3%83%88%E3%83%A9%E3%83%B3%E3%82%AF%EF%BC%AE%EF%BC%AF%EF%BC%B2%EF%BC%B4%EF%BC%A8%E6%94%AF%E5%BA%97+%E6%99%AE%E9%80%9A+***6520&amp;start_date=2025-03-01&amp;end_date=2026-02-28&amp;fiscal_year_id=9701717" TargetMode="External"/><Relationship Id="rId8" Type="http://schemas.openxmlformats.org/officeDocument/2006/relationships/hyperlink" Target="https://secure.freee.co.jp/reports/journals?start_date=2024-03-01&amp;end_date=2026-02-28&amp;name=%E5%A3%B2%E6%8E%9B%E9%87%91" TargetMode="External"/><Relationship Id="rId9" Type="http://schemas.openxmlformats.org/officeDocument/2006/relationships/hyperlink" Target="https://secure.freee.co.jp/reports/general_ledgers/show?name=%E5%89%8D%E6%89%95%E8%B2%BB%E7%94%A8&amp;start_date=2025-03-01&amp;end_date=2026-02-28&amp;fiscal_year_id=9701717" TargetMode="External"/><Relationship Id="rId10" Type="http://schemas.openxmlformats.org/officeDocument/2006/relationships/hyperlink" Target="https://secure.freee.co.jp/reports/general_ledgers/show?name=%E5%BD%B9%E5%93%A1%E8%B2%B8%E4%BB%98%E9%87%91&amp;start_date=2025-03-01&amp;end_date=2026-02-28&amp;fiscal_year_id=9701717" TargetMode="External"/><Relationship Id="rId11" Type="http://schemas.openxmlformats.org/officeDocument/2006/relationships/hyperlink" Target="https://secure.freee.co.jp/reports/journals?start_date=2024-03-01&amp;end_date=2026-02-28&amp;name=%E6%9C%AA%E5%8F%8E%E5%85%A5%E9%87%91" TargetMode="External"/><Relationship Id="rId12" Type="http://schemas.openxmlformats.org/officeDocument/2006/relationships/hyperlink" Target="https://secure.freee.co.jp/reports/journals?start_date=2024-03-01&amp;end_date=2026-02-28&amp;name=%E4%BB%AE%E6%89%95%E9%87%91" TargetMode="External"/><Relationship Id="rId13" Type="http://schemas.openxmlformats.org/officeDocument/2006/relationships/hyperlink" Target="https://secure.freee.co.jp/reports/general_ledgers/show?name=%E8%BB%8A%E4%B8%A1%E9%81%8B%E6%90%AC%E5%85%B7&amp;start_date=2025-03-01&amp;end_date=2026-02-28&amp;fiscal_year_id=9701717" TargetMode="External"/><Relationship Id="rId14" Type="http://schemas.openxmlformats.org/officeDocument/2006/relationships/hyperlink" Target="https://secure.freee.co.jp/reports/general_ledgers/show?name=%E5%B7%A5%E5%85%B7%E5%99%A8%E5%85%B7%E5%82%99%E5%93%81&amp;start_date=2025-03-01&amp;end_date=2026-02-28&amp;fiscal_year_id=9701717" TargetMode="External"/><Relationship Id="rId15" Type="http://schemas.openxmlformats.org/officeDocument/2006/relationships/hyperlink" Target="https://secure.freee.co.jp/reports/journals?start_date=2020-03-01&amp;end_date=2026-02-28&amp;name=%E5%87%BA%E8%B3%87%E9%87%91" TargetMode="External"/><Relationship Id="rId16" Type="http://schemas.openxmlformats.org/officeDocument/2006/relationships/hyperlink" Target="https://secure.freee.co.jp/reports/journals?start_date=2023-03-01&amp;end_date=2026-02-28&amp;name=%E6%95%B7%E9%87%91" TargetMode="External"/><Relationship Id="rId17" Type="http://schemas.openxmlformats.org/officeDocument/2006/relationships/hyperlink" Target="https://secure.freee.co.jp/reports/general_ledgers/show?name=%E9%95%B7%E6%9C%9F%E5%89%8D%E6%89%95%E8%B2%BB%E7%94%A8&amp;start_date=2025-03-01&amp;end_date=2026-02-28&amp;fiscal_year_id=9701717" TargetMode="External"/><Relationship Id="rId18" Type="http://schemas.openxmlformats.org/officeDocument/2006/relationships/hyperlink" Target="https://secure.freee.co.jp/reports/journals?start_date=2020-03-01&amp;end_date=2026-02-28&amp;name=%E9%A0%90%E8%A8%97%E9%87%91" TargetMode="External"/><Relationship Id="rId19" Type="http://schemas.openxmlformats.org/officeDocument/2006/relationships/hyperlink" Target="https://secure.freee.co.jp/reports/general_ledgers/show?name=%E4%BF%9D%E9%99%BA%E7%A9%8D%E7%AB%8B%E9%87%91&amp;start_date=2025-03-01&amp;end_date=2026-02-28&amp;fiscal_year_id=9701717" TargetMode="External"/><Relationship Id="rId20" Type="http://schemas.openxmlformats.org/officeDocument/2006/relationships/hyperlink" Target="https://secure.freee.co.jp/reports/general_ledgers/show?name=%E6%A8%A9%E5%88%A9%E9%87%91&amp;start_date=2025-03-01&amp;end_date=2026-02-28&amp;fiscal_year_id=9701717" TargetMode="External"/><Relationship Id="rId21" Type="http://schemas.openxmlformats.org/officeDocument/2006/relationships/hyperlink" Target="https://secure.freee.co.jp/reports/general_ledgers/show?name=%E5%BD%B9%E5%93%A1%E5%80%9F%E5%85%A5%E9%87%91&amp;start_date=2025-03-01&amp;end_date=2026-02-28&amp;fiscal_year_id=9701717" TargetMode="External"/><Relationship Id="rId22" Type="http://schemas.openxmlformats.org/officeDocument/2006/relationships/hyperlink" Target="https://secure.freee.co.jp/reports/general_ledgers/show?name=%E6%9C%AA%E6%89%95%E9%87%91&amp;start_date=2025-03-01&amp;end_date=2026-02-28&amp;fiscal_year_id=9701717" TargetMode="External"/><Relationship Id="rId23" Type="http://schemas.openxmlformats.org/officeDocument/2006/relationships/hyperlink" Target="https://secure.freee.co.jp/reports/general_ledgers/show?name=%E7%AB%8B%E6%9B%BF%E7%B5%8C%E8%B2%BB%EF%BC%88%E4%BE%AF%EF%BC%89&amp;start_date=2025-03-01&amp;end_date=2026-02-28&amp;fiscal_year_id=9701717" TargetMode="External"/><Relationship Id="rId24" Type="http://schemas.openxmlformats.org/officeDocument/2006/relationships/hyperlink" Target="https://secure.freee.co.jp/reports/general_ledgers/show?name=freeeVISA%E3%82%AB%E3%83%BC%E3%83%89&amp;start_date=2025-03-01&amp;end_date=2026-02-28&amp;fiscal_year_id=9701717" TargetMode="External"/><Relationship Id="rId25" Type="http://schemas.openxmlformats.org/officeDocument/2006/relationships/hyperlink" Target="https://secure.freee.co.jp/reports/general_ledgers/show?name=freee%E3%82%AB%E3%83%BC%E3%83%89+Unlimited&amp;start_date=2025-03-01&amp;end_date=2026-02-28&amp;fiscal_year_id=9701717" TargetMode="External"/><Relationship Id="rId26" Type="http://schemas.openxmlformats.org/officeDocument/2006/relationships/hyperlink" Target="https://secure.freee.co.jp/reports/journals?start_date=2024-03-01&amp;end_date=2026-02-28&amp;name=%E6%9C%AA%E6%89%95%E6%B3%95%E4%BA%BA%E7%A8%8E%E7%AD%89" TargetMode="External"/><Relationship Id="rId27" Type="http://schemas.openxmlformats.org/officeDocument/2006/relationships/hyperlink" Target="https://secure.freee.co.jp/reports/journals?start_date=2024-03-01&amp;end_date=2026-02-28&amp;name=%E6%9C%AA%E6%89%95%E6%B6%88%E8%B2%BB%E7%A8%8E%E7%AD%89" TargetMode="External"/><Relationship Id="rId28" Type="http://schemas.openxmlformats.org/officeDocument/2006/relationships/hyperlink" Target="https://secure.freee.co.jp/reports/general_ledgers/show?name=%E9%A0%90%E3%82%8A%E9%87%91&amp;start_date=2025-03-01&amp;end_date=2026-02-28&amp;fiscal_year_id=9701717" TargetMode="External"/><Relationship Id="rId29" Type="http://schemas.openxmlformats.org/officeDocument/2006/relationships/hyperlink" Target="https://secure.freee.co.jp/reports/general_ledgers/show?name=%E9%95%B7%E6%9C%9F%E5%80%9F%E5%85%A5%E9%87%91&amp;start_date=2025-03-01&amp;end_date=2026-02-28&amp;fiscal_year_id=9701717" TargetMode="External"/><Relationship Id="rId30" Type="http://schemas.openxmlformats.org/officeDocument/2006/relationships/hyperlink" Target="https://secure.freee.co.jp/reports/journals?start_date=2020-03-01&amp;end_date=2026-02-28&amp;name=%E8%B3%87%E6%9C%AC%E9%87%91" TargetMode="External"/><Relationship Id="rId31" Type="http://schemas.openxmlformats.org/officeDocument/2006/relationships/hyperlink" Target="https://secure.freee.co.jp/reports/journals?start_date=2024-03-01&amp;end_date=2026-02-28&amp;name=%E7%B9%B0%E8%B6%8A%E5%88%A9%E7%9B%8A" TargetMode="External"/><Relationship Id="rId32" Type="http://schemas.openxmlformats.org/officeDocument/2006/relationships/hyperlink" Target="https://secure.freee.co.jp/reports/journals?start_date=2020-03-01&amp;end_date=2026-02-28&amp;name=%E8%87%AA%E5%B7%B1%E6%A0%AA%E5%BC%8F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5-03-01&amp;end_date=2026-02-28&amp;fiscal_year_id=9701717" TargetMode="External"/><Relationship Id="rId2" Type="http://schemas.openxmlformats.org/officeDocument/2006/relationships/hyperlink" Target="https://secure.freee.co.jp/reports/general_ledgers/show?name=%E7%B5%A6%E6%96%99%E6%89%8B%E5%BD%93&amp;start_date=2025-03-01&amp;end_date=2026-02-28&amp;fiscal_year_id=9701717" TargetMode="External"/><Relationship Id="rId3" Type="http://schemas.openxmlformats.org/officeDocument/2006/relationships/hyperlink" Target="https://secure.freee.co.jp/reports/general_ledgers/show?name=%E8%B3%9E%E4%B8%8E&amp;start_date=2025-03-01&amp;end_date=2026-02-28&amp;fiscal_year_id=9701717" TargetMode="External"/><Relationship Id="rId4" Type="http://schemas.openxmlformats.org/officeDocument/2006/relationships/hyperlink" Target="https://secure.freee.co.jp/reports/general_ledgers/show?name=%E6%B3%95%E5%AE%9A%E7%A6%8F%E5%88%A9%E8%B2%BB&amp;start_date=2025-03-01&amp;end_date=2026-02-28&amp;fiscal_year_id=9701717" TargetMode="External"/><Relationship Id="rId5" Type="http://schemas.openxmlformats.org/officeDocument/2006/relationships/hyperlink" Target="https://secure.freee.co.jp/reports/general_ledgers/show?name=%E7%A6%8F%E5%88%A9%E5%8E%9A%E7%94%9F%E8%B2%BB&amp;start_date=2025-03-01&amp;end_date=2026-02-28&amp;fiscal_year_id=9701717" TargetMode="External"/><Relationship Id="rId6" Type="http://schemas.openxmlformats.org/officeDocument/2006/relationships/hyperlink" Target="https://secure.freee.co.jp/reports/general_ledgers/show?name=%E5%A4%96%E6%B3%A8%E8%B2%BB&amp;start_date=2025-03-01&amp;end_date=2026-02-28&amp;fiscal_year_id=9701717" TargetMode="External"/><Relationship Id="rId7" Type="http://schemas.openxmlformats.org/officeDocument/2006/relationships/hyperlink" Target="https://secure.freee.co.jp/reports/general_ledgers/show?name=%E5%BA%83%E5%91%8A%E5%AE%A3%E4%BC%9D%E8%B2%BB&amp;start_date=2025-03-01&amp;end_date=2026-02-28&amp;fiscal_year_id=9701717" TargetMode="External"/><Relationship Id="rId8" Type="http://schemas.openxmlformats.org/officeDocument/2006/relationships/hyperlink" Target="https://secure.freee.co.jp/reports/general_ledgers/show?name=%E4%BA%A4%E9%9A%9B%E8%B2%BB&amp;start_date=2025-03-01&amp;end_date=2026-02-28&amp;fiscal_year_id=9701717" TargetMode="External"/><Relationship Id="rId9" Type="http://schemas.openxmlformats.org/officeDocument/2006/relationships/hyperlink" Target="https://secure.freee.co.jp/reports/general_ledgers/show?name=%E4%BC%9A%E8%AD%B0%E8%B2%BB&amp;start_date=2025-03-01&amp;end_date=2026-02-28&amp;fiscal_year_id=9701717" TargetMode="External"/><Relationship Id="rId10" Type="http://schemas.openxmlformats.org/officeDocument/2006/relationships/hyperlink" Target="https://secure.freee.co.jp/reports/general_ledgers/show?name=%E6%97%85%E8%B2%BB%E4%BA%A4%E9%80%9A%E8%B2%BB&amp;start_date=2025-03-01&amp;end_date=2026-02-28&amp;fiscal_year_id=9701717" TargetMode="External"/><Relationship Id="rId11" Type="http://schemas.openxmlformats.org/officeDocument/2006/relationships/hyperlink" Target="https://secure.freee.co.jp/reports/general_ledgers/show?name=%E9%80%9A%E4%BF%A1%E8%B2%BB&amp;start_date=2025-03-01&amp;end_date=2026-02-28&amp;fiscal_year_id=9701717" TargetMode="External"/><Relationship Id="rId12" Type="http://schemas.openxmlformats.org/officeDocument/2006/relationships/hyperlink" Target="https://secure.freee.co.jp/reports/general_ledgers/show?name=%E6%B6%88%E8%80%97%E5%93%81%E8%B2%BB&amp;start_date=2025-03-01&amp;end_date=2026-02-28&amp;fiscal_year_id=9701717" TargetMode="External"/><Relationship Id="rId13" Type="http://schemas.openxmlformats.org/officeDocument/2006/relationships/hyperlink" Target="https://secure.freee.co.jp/reports/general_ledgers/show?name=%E4%BF%AE%E7%B9%95%E8%B2%BB&amp;start_date=2025-03-01&amp;end_date=2026-02-28&amp;fiscal_year_id=9701717" TargetMode="External"/><Relationship Id="rId14" Type="http://schemas.openxmlformats.org/officeDocument/2006/relationships/hyperlink" Target="https://secure.freee.co.jp/reports/general_ledgers/show?name=%E6%96%B0%E8%81%9E%E5%9B%B3%E6%9B%B8%E8%B2%BB&amp;start_date=2025-03-01&amp;end_date=2026-02-28&amp;fiscal_year_id=9701717" TargetMode="External"/><Relationship Id="rId15" Type="http://schemas.openxmlformats.org/officeDocument/2006/relationships/hyperlink" Target="https://secure.freee.co.jp/reports/general_ledgers/show?name=%E8%AB%B8%E4%BC%9A%E8%B2%BB&amp;start_date=2025-03-01&amp;end_date=2026-02-28&amp;fiscal_year_id=9701717" TargetMode="External"/><Relationship Id="rId16" Type="http://schemas.openxmlformats.org/officeDocument/2006/relationships/hyperlink" Target="https://secure.freee.co.jp/reports/general_ledgers/show?name=%E6%94%AF%E6%89%95%E6%89%8B%E6%95%B0%E6%96%99&amp;start_date=2025-03-01&amp;end_date=2026-02-28&amp;fiscal_year_id=9701717" TargetMode="External"/><Relationship Id="rId17" Type="http://schemas.openxmlformats.org/officeDocument/2006/relationships/hyperlink" Target="https://secure.freee.co.jp/reports/general_ledgers/show?name=%E8%BB%8A%E4%B8%A1%E8%B2%BB&amp;start_date=2025-03-01&amp;end_date=2026-02-28&amp;fiscal_year_id=9701717" TargetMode="External"/><Relationship Id="rId18" Type="http://schemas.openxmlformats.org/officeDocument/2006/relationships/hyperlink" Target="https://secure.freee.co.jp/reports/general_ledgers/show?name=%E5%9C%B0%E4%BB%A3%E5%AE%B6%E8%B3%83&amp;start_date=2025-03-01&amp;end_date=2026-02-28&amp;fiscal_year_id=9701717" TargetMode="External"/><Relationship Id="rId19" Type="http://schemas.openxmlformats.org/officeDocument/2006/relationships/hyperlink" Target="https://secure.freee.co.jp/reports/general_ledgers/show?name=%E4%BF%9D%E9%99%BA%E6%96%99&amp;start_date=2025-03-01&amp;end_date=2026-02-28&amp;fiscal_year_id=9701717" TargetMode="External"/><Relationship Id="rId20" Type="http://schemas.openxmlformats.org/officeDocument/2006/relationships/hyperlink" Target="https://secure.freee.co.jp/reports/general_ledgers/show?name=%E7%A7%9F%E7%A8%8E%E5%85%AC%E8%AA%B2&amp;start_date=2025-03-01&amp;end_date=2026-02-28&amp;fiscal_year_id=9701717" TargetMode="External"/><Relationship Id="rId21" Type="http://schemas.openxmlformats.org/officeDocument/2006/relationships/hyperlink" Target="https://secure.freee.co.jp/reports/general_ledgers/show?name=%E7%A0%94%E4%BF%AE%E8%B2%BB&amp;start_date=2025-03-01&amp;end_date=2026-02-28&amp;fiscal_year_id=9701717" TargetMode="External"/><Relationship Id="rId22" Type="http://schemas.openxmlformats.org/officeDocument/2006/relationships/hyperlink" Target="https://secure.freee.co.jp/reports/general_ledgers/show?name=%E7%A0%94%E7%A9%B6%E9%96%8B%E7%99%BA%E8%B2%BB&amp;start_date=2025-03-01&amp;end_date=2026-02-28&amp;fiscal_year_id=9701717" TargetMode="External"/><Relationship Id="rId23" Type="http://schemas.openxmlformats.org/officeDocument/2006/relationships/hyperlink" Target="https://secure.freee.co.jp/reports/general_ledgers/show?name=%E6%B8%9B%E4%BE%A1%E5%84%9F%E5%8D%B4%E8%B2%BB&amp;start_date=2025-03-01&amp;end_date=2026-02-28&amp;fiscal_year_id=9701717" TargetMode="External"/><Relationship Id="rId24" Type="http://schemas.openxmlformats.org/officeDocument/2006/relationships/hyperlink" Target="https://secure.freee.co.jp/reports/general_ledgers/show?name=%E5%8F%97%E5%8F%96%E5%88%A9%E6%81%AF&amp;start_date=2025-03-01&amp;end_date=2026-02-28&amp;fiscal_year_id=9701717" TargetMode="External"/><Relationship Id="rId25" Type="http://schemas.openxmlformats.org/officeDocument/2006/relationships/hyperlink" Target="https://secure.freee.co.jp/reports/general_ledgers/show?name=%E5%8F%97%E5%8F%96%E9%85%8D%E5%BD%93%E9%87%91&amp;start_date=2025-03-01&amp;end_date=2026-02-28&amp;fiscal_year_id=9701717" TargetMode="External"/><Relationship Id="rId26" Type="http://schemas.openxmlformats.org/officeDocument/2006/relationships/hyperlink" Target="https://secure.freee.co.jp/reports/general_ledgers/show?name=%E9%9B%91%E5%8F%8E%E5%85%A5&amp;start_date=2025-03-01&amp;end_date=2026-02-28&amp;fiscal_year_id=9701717" TargetMode="External"/><Relationship Id="rId27" Type="http://schemas.openxmlformats.org/officeDocument/2006/relationships/hyperlink" Target="https://secure.freee.co.jp/reports/general_ledgers/show?name=%E6%94%AF%E6%89%95%E5%88%A9%E6%81%AF&amp;start_date=2025-03-01&amp;end_date=2026-02-28&amp;fiscal_year_id=9701717" TargetMode="External"/><Relationship Id="rId28" Type="http://schemas.openxmlformats.org/officeDocument/2006/relationships/hyperlink" Target="https://secure.freee.co.jp/reports/general_ledgers/show?name=%E6%B3%95%E4%BA%BA%E7%A8%8E%E3%83%BB%E4%BD%8F%E6%B0%91%E7%A8%8E%E5%8F%8A%E3%81%B3%E4%BA%8B%E6%A5%AD%E7%A8%8E&amp;start_date=2025-03-01&amp;end_date=2026-02-28&amp;fiscal_year_id=97017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3</v>
      </c>
      <c r="C9" s="8">
        <v>33</v>
      </c>
      <c r="D9" s="9">
        <v>9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>
        <v>4</v>
      </c>
      <c r="D14" s="11" t="s">
        <v>18</v>
      </c>
      <c r="E14" s="11">
        <v>4</v>
      </c>
    </row>
    <row r="15" spans="1:5" x14ac:dyDescent="0.25">
      <c r="A15" s="10" t="s">
        <v>19</v>
      </c>
      <c r="B15" s="11" t="s">
        <v>18</v>
      </c>
      <c r="C15" s="11">
        <v>1</v>
      </c>
      <c r="D15" s="11" t="s">
        <v>18</v>
      </c>
      <c r="E15" s="11">
        <v>1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2</v>
      </c>
      <c r="C17" s="11">
        <v>15</v>
      </c>
      <c r="D17" s="11" t="s">
        <v>18</v>
      </c>
      <c r="E17" s="11">
        <v>17</v>
      </c>
    </row>
    <row r="18" spans="1:5" x14ac:dyDescent="0.25">
      <c r="A18" s="10" t="s">
        <v>22</v>
      </c>
      <c r="B18" s="11" t="s">
        <v>18</v>
      </c>
      <c r="C18" s="11">
        <v>10</v>
      </c>
      <c r="D18" s="11">
        <v>7</v>
      </c>
      <c r="E18" s="11">
        <v>17</v>
      </c>
    </row>
    <row r="19" spans="1:5" x14ac:dyDescent="0.25">
      <c r="A19" s="10" t="s">
        <v>23</v>
      </c>
      <c r="B19" s="11">
        <v>1</v>
      </c>
      <c r="C19" s="11">
        <v>3</v>
      </c>
      <c r="D19" s="11">
        <v>2</v>
      </c>
      <c r="E19" s="11">
        <v>6</v>
      </c>
    </row>
    <row r="20" spans="1:5" x14ac:dyDescent="0.25">
      <c r="A20" s="12" t="s">
        <v>16</v>
      </c>
      <c r="B20" s="13">
        <v>3</v>
      </c>
      <c r="C20" s="13">
        <v>33</v>
      </c>
      <c r="D20" s="13">
        <v>9</v>
      </c>
      <c r="E20" s="13">
        <v>45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4" t="s">
        <v>31</v>
      </c>
      <c r="B26" s="14" t="s">
        <v>32</v>
      </c>
      <c r="C26" s="15" t="s">
        <v>30</v>
      </c>
      <c r="D26" s="15">
        <v>3</v>
      </c>
    </row>
    <row r="27" spans="1:4" x14ac:dyDescent="0.25">
      <c r="A27" s="10" t="s">
        <v>33</v>
      </c>
      <c r="B27" s="10" t="s">
        <v>34</v>
      </c>
      <c r="C27" s="11" t="s">
        <v>35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35</v>
      </c>
      <c r="D28" s="11">
        <v>0</v>
      </c>
    </row>
    <row r="29" spans="1:4" x14ac:dyDescent="0.25">
      <c r="A29" s="10" t="s">
        <v>38</v>
      </c>
      <c r="B29" s="10" t="s">
        <v>39</v>
      </c>
      <c r="C29" s="11" t="s">
        <v>35</v>
      </c>
      <c r="D29" s="11">
        <v>0</v>
      </c>
    </row>
    <row r="30" spans="1:4" x14ac:dyDescent="0.25">
      <c r="A30" s="10" t="s">
        <v>40</v>
      </c>
      <c r="B30" s="10" t="s">
        <v>41</v>
      </c>
      <c r="C30" s="11" t="s">
        <v>35</v>
      </c>
      <c r="D30" s="11">
        <v>0</v>
      </c>
    </row>
    <row r="31" spans="1:4" x14ac:dyDescent="0.25">
      <c r="A31" s="14" t="s">
        <v>42</v>
      </c>
      <c r="B31" s="14" t="s">
        <v>43</v>
      </c>
      <c r="C31" s="15" t="s">
        <v>30</v>
      </c>
      <c r="D31" s="15">
        <v>1</v>
      </c>
    </row>
    <row r="32" spans="1:4" x14ac:dyDescent="0.25">
      <c r="A32" s="10" t="s">
        <v>44</v>
      </c>
      <c r="B32" s="10" t="s">
        <v>45</v>
      </c>
      <c r="C32" s="11" t="s">
        <v>35</v>
      </c>
      <c r="D32" s="11">
        <v>0</v>
      </c>
    </row>
    <row r="33" spans="1:4" x14ac:dyDescent="0.25">
      <c r="A33" s="10" t="s">
        <v>46</v>
      </c>
      <c r="B33" s="10" t="s">
        <v>47</v>
      </c>
      <c r="C33" s="11" t="s">
        <v>35</v>
      </c>
      <c r="D33" s="11">
        <v>0</v>
      </c>
    </row>
    <row r="34" spans="1:4" x14ac:dyDescent="0.25">
      <c r="A34" s="10" t="s">
        <v>48</v>
      </c>
      <c r="B34" s="10" t="s">
        <v>49</v>
      </c>
      <c r="C34" s="11" t="s">
        <v>35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35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35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35</v>
      </c>
      <c r="D39" s="11">
        <v>0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0" t="s">
        <v>62</v>
      </c>
      <c r="B41" s="10" t="s">
        <v>63</v>
      </c>
      <c r="C41" s="11" t="s">
        <v>35</v>
      </c>
      <c r="D41" s="11">
        <v>0</v>
      </c>
    </row>
    <row r="42" spans="1:4" x14ac:dyDescent="0.25">
      <c r="A42" s="14" t="s">
        <v>64</v>
      </c>
      <c r="B42" s="14" t="s">
        <v>65</v>
      </c>
      <c r="C42" s="15" t="s">
        <v>30</v>
      </c>
      <c r="D42" s="15">
        <v>1</v>
      </c>
    </row>
    <row r="43" spans="1:4" x14ac:dyDescent="0.25">
      <c r="A43" s="14" t="s">
        <v>66</v>
      </c>
      <c r="B43" s="14" t="s">
        <v>67</v>
      </c>
      <c r="C43" s="15" t="s">
        <v>30</v>
      </c>
      <c r="D43" s="15">
        <v>1</v>
      </c>
    </row>
    <row r="44" spans="1:4" x14ac:dyDescent="0.25">
      <c r="A44" s="10" t="s">
        <v>68</v>
      </c>
      <c r="B44" s="10" t="s">
        <v>69</v>
      </c>
      <c r="C44" s="11" t="s">
        <v>35</v>
      </c>
      <c r="D44" s="11">
        <v>0</v>
      </c>
    </row>
    <row r="45" spans="1:4" x14ac:dyDescent="0.25">
      <c r="A45" s="10" t="s">
        <v>70</v>
      </c>
      <c r="B45" s="10" t="s">
        <v>71</v>
      </c>
      <c r="C45" s="11" t="s">
        <v>35</v>
      </c>
      <c r="D45" s="11">
        <v>0</v>
      </c>
    </row>
    <row r="46" spans="1:4" x14ac:dyDescent="0.25">
      <c r="A46" s="10" t="s">
        <v>72</v>
      </c>
      <c r="B46" s="10" t="s">
        <v>73</v>
      </c>
      <c r="C46" s="11" t="s">
        <v>35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35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35</v>
      </c>
      <c r="D48" s="11">
        <v>0</v>
      </c>
    </row>
    <row r="49" spans="1:4" x14ac:dyDescent="0.25">
      <c r="A49" s="14" t="s">
        <v>78</v>
      </c>
      <c r="B49" s="14" t="s">
        <v>79</v>
      </c>
      <c r="C49" s="15" t="s">
        <v>30</v>
      </c>
      <c r="D49" s="15">
        <v>1</v>
      </c>
    </row>
    <row r="50" spans="1:4" x14ac:dyDescent="0.25">
      <c r="A50" s="10" t="s">
        <v>80</v>
      </c>
      <c r="B50" s="10" t="s">
        <v>81</v>
      </c>
      <c r="C50" s="11" t="s">
        <v>35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35</v>
      </c>
      <c r="D51" s="11">
        <v>0</v>
      </c>
    </row>
    <row r="52" spans="1:4" x14ac:dyDescent="0.25">
      <c r="A52" s="10" t="s">
        <v>84</v>
      </c>
      <c r="B52" s="10" t="s">
        <v>85</v>
      </c>
      <c r="C52" s="11" t="s">
        <v>35</v>
      </c>
      <c r="D52" s="11">
        <v>0</v>
      </c>
    </row>
    <row r="53" spans="1:4" x14ac:dyDescent="0.25">
      <c r="A53" s="10" t="s">
        <v>86</v>
      </c>
      <c r="B53" s="10" t="s">
        <v>87</v>
      </c>
      <c r="C53" s="11" t="s">
        <v>35</v>
      </c>
      <c r="D53" s="11">
        <v>0</v>
      </c>
    </row>
    <row r="54" spans="1:4" x14ac:dyDescent="0.25">
      <c r="A54" s="10" t="s">
        <v>88</v>
      </c>
      <c r="B54" s="10" t="s">
        <v>89</v>
      </c>
      <c r="C54" s="11" t="s">
        <v>35</v>
      </c>
      <c r="D54" s="11">
        <v>0</v>
      </c>
    </row>
    <row r="55" spans="1:4" x14ac:dyDescent="0.25">
      <c r="A55" s="10" t="s">
        <v>90</v>
      </c>
      <c r="B55" s="10" t="s">
        <v>91</v>
      </c>
      <c r="C55" s="11" t="s">
        <v>35</v>
      </c>
      <c r="D55" s="11">
        <v>0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1</v>
      </c>
    </row>
    <row r="57" spans="1:4" x14ac:dyDescent="0.25">
      <c r="A57" s="10" t="s">
        <v>94</v>
      </c>
      <c r="B57" s="10" t="s">
        <v>95</v>
      </c>
      <c r="C57" s="11" t="s">
        <v>35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1</v>
      </c>
    </row>
    <row r="59" spans="1:4" x14ac:dyDescent="0.25">
      <c r="A59" s="14" t="s">
        <v>98</v>
      </c>
      <c r="B59" s="14" t="s">
        <v>99</v>
      </c>
      <c r="C59" s="15" t="s">
        <v>30</v>
      </c>
      <c r="D59" s="15">
        <v>2</v>
      </c>
    </row>
    <row r="60" spans="1:4" x14ac:dyDescent="0.25">
      <c r="A60" s="10" t="s">
        <v>100</v>
      </c>
      <c r="B60" s="10" t="s">
        <v>101</v>
      </c>
      <c r="C60" s="11" t="s">
        <v>35</v>
      </c>
      <c r="D60" s="11">
        <v>0</v>
      </c>
    </row>
    <row r="61" spans="1:4" x14ac:dyDescent="0.25">
      <c r="A61" s="14" t="s">
        <v>102</v>
      </c>
      <c r="B61" s="14" t="s">
        <v>103</v>
      </c>
      <c r="C61" s="15" t="s">
        <v>30</v>
      </c>
      <c r="D61" s="15">
        <v>1</v>
      </c>
    </row>
    <row r="62" spans="1:4" x14ac:dyDescent="0.25">
      <c r="A62" s="10" t="s">
        <v>104</v>
      </c>
      <c r="B62" s="10" t="s">
        <v>105</v>
      </c>
      <c r="C62" s="11" t="s">
        <v>35</v>
      </c>
      <c r="D62" s="11">
        <v>0</v>
      </c>
    </row>
    <row r="63" spans="1:4" x14ac:dyDescent="0.25">
      <c r="A63" s="14" t="s">
        <v>106</v>
      </c>
      <c r="B63" s="14" t="s">
        <v>107</v>
      </c>
      <c r="C63" s="15" t="s">
        <v>30</v>
      </c>
      <c r="D63" s="15">
        <v>1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5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1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5</v>
      </c>
    </row>
    <row r="67" spans="1:4" x14ac:dyDescent="0.25">
      <c r="A67" s="10" t="s">
        <v>114</v>
      </c>
      <c r="B67" s="10" t="s">
        <v>115</v>
      </c>
      <c r="C67" s="11" t="s">
        <v>35</v>
      </c>
      <c r="D67" s="11">
        <v>0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7</v>
      </c>
    </row>
    <row r="69" spans="1:4" x14ac:dyDescent="0.25">
      <c r="A69" s="10" t="s">
        <v>118</v>
      </c>
      <c r="B69" s="10" t="s">
        <v>119</v>
      </c>
      <c r="C69" s="11" t="s">
        <v>35</v>
      </c>
      <c r="D69" s="11">
        <v>0</v>
      </c>
    </row>
    <row r="70" spans="1:4" x14ac:dyDescent="0.25">
      <c r="A70" s="10" t="s">
        <v>120</v>
      </c>
      <c r="B70" s="10" t="s">
        <v>121</v>
      </c>
      <c r="C70" s="11" t="s">
        <v>35</v>
      </c>
      <c r="D70" s="11">
        <v>0</v>
      </c>
    </row>
    <row r="71" spans="1:4" x14ac:dyDescent="0.25">
      <c r="A71" s="10" t="s">
        <v>122</v>
      </c>
      <c r="B71" s="10" t="s">
        <v>123</v>
      </c>
      <c r="C71" s="11" t="s">
        <v>35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35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3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2</v>
      </c>
    </row>
    <row r="75" spans="1:4" x14ac:dyDescent="0.25">
      <c r="A75" s="10" t="s">
        <v>130</v>
      </c>
      <c r="B75" s="10" t="s">
        <v>131</v>
      </c>
      <c r="C75" s="11" t="s">
        <v>35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35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35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35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35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35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35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35</v>
      </c>
      <c r="D82" s="11">
        <v>0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4</v>
      </c>
    </row>
    <row r="84" spans="1:4" x14ac:dyDescent="0.25">
      <c r="A84" s="10" t="s">
        <v>148</v>
      </c>
      <c r="B84" s="10" t="s">
        <v>149</v>
      </c>
      <c r="C84" s="11" t="s">
        <v>35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35</v>
      </c>
      <c r="D85" s="11">
        <v>0</v>
      </c>
    </row>
    <row r="86" spans="1:4" x14ac:dyDescent="0.25">
      <c r="A86" s="10" t="s">
        <v>152</v>
      </c>
      <c r="B86" s="10" t="s">
        <v>153</v>
      </c>
      <c r="C86" s="11" t="s">
        <v>35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35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35</v>
      </c>
      <c r="D88" s="11">
        <v>0</v>
      </c>
    </row>
    <row r="89" spans="1:4" x14ac:dyDescent="0.25">
      <c r="A89" s="14" t="s">
        <v>158</v>
      </c>
      <c r="B89" s="14" t="s">
        <v>159</v>
      </c>
      <c r="C89" s="15" t="s">
        <v>30</v>
      </c>
      <c r="D89" s="15">
        <v>1</v>
      </c>
    </row>
    <row r="90" spans="1:4" x14ac:dyDescent="0.25">
      <c r="A90" s="10" t="s">
        <v>160</v>
      </c>
      <c r="B90" s="10" t="s">
        <v>161</v>
      </c>
      <c r="C90" s="11" t="s">
        <v>35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35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35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35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35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64</v>
      </c>
      <c r="C3" s="16" t="s">
        <v>181</v>
      </c>
      <c r="D3" s="17" t="s">
        <v>182</v>
      </c>
      <c r="E3" s="16" t="s">
        <v>183</v>
      </c>
      <c r="F3" s="17" t="s">
        <v>184</v>
      </c>
      <c r="G3" s="18" t="s">
        <v>180</v>
      </c>
    </row>
    <row r="4" spans="1:7" x14ac:dyDescent="0.25">
      <c r="A4" s="16" t="s">
        <v>13</v>
      </c>
      <c r="B4" s="16" t="s">
        <v>110</v>
      </c>
      <c r="C4" s="16" t="s">
        <v>185</v>
      </c>
      <c r="D4" s="17" t="s">
        <v>186</v>
      </c>
      <c r="E4" s="16" t="s">
        <v>187</v>
      </c>
      <c r="F4" s="17" t="s">
        <v>188</v>
      </c>
      <c r="G4" s="18" t="s">
        <v>180</v>
      </c>
    </row>
    <row r="5" spans="1:7" x14ac:dyDescent="0.25">
      <c r="A5" s="14" t="s">
        <v>14</v>
      </c>
      <c r="B5" s="14" t="s">
        <v>31</v>
      </c>
      <c r="C5" s="14" t="s">
        <v>176</v>
      </c>
      <c r="D5" s="19" t="s">
        <v>189</v>
      </c>
      <c r="E5" s="14" t="s">
        <v>190</v>
      </c>
      <c r="F5" s="19" t="s">
        <v>191</v>
      </c>
      <c r="G5" s="14" t="s">
        <v>6</v>
      </c>
    </row>
    <row r="6" spans="1:7" x14ac:dyDescent="0.25">
      <c r="A6" s="14" t="s">
        <v>14</v>
      </c>
      <c r="B6" s="14" t="s">
        <v>31</v>
      </c>
      <c r="C6" s="14" t="s">
        <v>176</v>
      </c>
      <c r="D6" s="19" t="s">
        <v>192</v>
      </c>
      <c r="E6" s="14" t="s">
        <v>193</v>
      </c>
      <c r="F6" s="19" t="s">
        <v>191</v>
      </c>
      <c r="G6" s="14" t="s">
        <v>6</v>
      </c>
    </row>
    <row r="7" spans="1:7" x14ac:dyDescent="0.25">
      <c r="A7" s="14" t="s">
        <v>14</v>
      </c>
      <c r="B7" s="14" t="s">
        <v>31</v>
      </c>
      <c r="C7" s="14" t="s">
        <v>176</v>
      </c>
      <c r="D7" s="19" t="s">
        <v>194</v>
      </c>
      <c r="E7" s="14" t="s">
        <v>195</v>
      </c>
      <c r="F7" s="19" t="s">
        <v>191</v>
      </c>
      <c r="G7" s="14" t="s">
        <v>6</v>
      </c>
    </row>
    <row r="8" spans="1:7" x14ac:dyDescent="0.25">
      <c r="A8" s="14" t="s">
        <v>14</v>
      </c>
      <c r="B8" s="14" t="s">
        <v>42</v>
      </c>
      <c r="C8" s="14" t="s">
        <v>196</v>
      </c>
      <c r="D8" s="19" t="s">
        <v>197</v>
      </c>
      <c r="E8" s="14" t="s">
        <v>198</v>
      </c>
      <c r="F8" s="19" t="s">
        <v>199</v>
      </c>
      <c r="G8" s="20" t="s">
        <v>180</v>
      </c>
    </row>
    <row r="9" spans="1:7" x14ac:dyDescent="0.25">
      <c r="A9" s="14" t="s">
        <v>14</v>
      </c>
      <c r="B9" s="14" t="s">
        <v>60</v>
      </c>
      <c r="C9" s="14" t="s">
        <v>200</v>
      </c>
      <c r="D9" s="19" t="s">
        <v>201</v>
      </c>
      <c r="E9" s="14" t="s">
        <v>202</v>
      </c>
      <c r="F9" s="19" t="s">
        <v>203</v>
      </c>
      <c r="G9" s="20" t="s">
        <v>180</v>
      </c>
    </row>
    <row r="10" spans="1:7" x14ac:dyDescent="0.25">
      <c r="A10" s="14" t="s">
        <v>14</v>
      </c>
      <c r="B10" s="14" t="s">
        <v>66</v>
      </c>
      <c r="C10" s="14" t="s">
        <v>181</v>
      </c>
      <c r="D10" s="19" t="s">
        <v>204</v>
      </c>
      <c r="E10" s="14" t="s">
        <v>205</v>
      </c>
      <c r="F10" s="19" t="s">
        <v>206</v>
      </c>
      <c r="G10" s="20" t="s">
        <v>180</v>
      </c>
    </row>
    <row r="11" spans="1:7" x14ac:dyDescent="0.25">
      <c r="A11" s="14" t="s">
        <v>14</v>
      </c>
      <c r="B11" s="14" t="s">
        <v>78</v>
      </c>
      <c r="C11" s="14" t="s">
        <v>207</v>
      </c>
      <c r="D11" s="19" t="s">
        <v>208</v>
      </c>
      <c r="E11" s="14" t="s">
        <v>209</v>
      </c>
      <c r="F11" s="19" t="s">
        <v>210</v>
      </c>
      <c r="G11" s="20" t="s">
        <v>180</v>
      </c>
    </row>
    <row r="12" spans="1:7" x14ac:dyDescent="0.25">
      <c r="A12" s="14" t="s">
        <v>14</v>
      </c>
      <c r="B12" s="14" t="s">
        <v>92</v>
      </c>
      <c r="C12" s="14" t="s">
        <v>211</v>
      </c>
      <c r="D12" s="19" t="s">
        <v>212</v>
      </c>
      <c r="E12" s="14" t="s">
        <v>213</v>
      </c>
      <c r="F12" s="19" t="s">
        <v>214</v>
      </c>
      <c r="G12" s="20" t="s">
        <v>180</v>
      </c>
    </row>
    <row r="13" spans="1:7" x14ac:dyDescent="0.25">
      <c r="A13" s="14" t="s">
        <v>14</v>
      </c>
      <c r="B13" s="14" t="s">
        <v>96</v>
      </c>
      <c r="C13" s="14" t="s">
        <v>215</v>
      </c>
      <c r="D13" s="19" t="s">
        <v>216</v>
      </c>
      <c r="E13" s="14" t="s">
        <v>217</v>
      </c>
      <c r="F13" s="19" t="s">
        <v>218</v>
      </c>
      <c r="G13" s="14" t="s">
        <v>6</v>
      </c>
    </row>
    <row r="14" spans="1:7" x14ac:dyDescent="0.25">
      <c r="A14" s="14" t="s">
        <v>14</v>
      </c>
      <c r="B14" s="14" t="s">
        <v>98</v>
      </c>
      <c r="C14" s="14" t="s">
        <v>215</v>
      </c>
      <c r="D14" s="19" t="s">
        <v>219</v>
      </c>
      <c r="E14" s="14" t="s">
        <v>220</v>
      </c>
      <c r="F14" s="19" t="s">
        <v>221</v>
      </c>
      <c r="G14" s="20" t="s">
        <v>180</v>
      </c>
    </row>
    <row r="15" spans="1:7" x14ac:dyDescent="0.25">
      <c r="A15" s="14" t="s">
        <v>14</v>
      </c>
      <c r="B15" s="14" t="s">
        <v>98</v>
      </c>
      <c r="C15" s="14" t="s">
        <v>215</v>
      </c>
      <c r="D15" s="19" t="s">
        <v>222</v>
      </c>
      <c r="E15" s="14" t="s">
        <v>223</v>
      </c>
      <c r="F15" s="19" t="s">
        <v>221</v>
      </c>
      <c r="G15" s="20" t="s">
        <v>180</v>
      </c>
    </row>
    <row r="16" spans="1:7" x14ac:dyDescent="0.25">
      <c r="A16" s="14" t="s">
        <v>14</v>
      </c>
      <c r="B16" s="14" t="s">
        <v>102</v>
      </c>
      <c r="C16" s="14" t="s">
        <v>224</v>
      </c>
      <c r="D16" s="19" t="s">
        <v>225</v>
      </c>
      <c r="E16" s="14" t="s">
        <v>226</v>
      </c>
      <c r="F16" s="19" t="s">
        <v>227</v>
      </c>
      <c r="G16" s="20" t="s">
        <v>180</v>
      </c>
    </row>
    <row r="17" spans="1:7" x14ac:dyDescent="0.25">
      <c r="A17" s="14" t="s">
        <v>14</v>
      </c>
      <c r="B17" s="14" t="s">
        <v>106</v>
      </c>
      <c r="C17" s="14" t="s">
        <v>224</v>
      </c>
      <c r="D17" s="19" t="s">
        <v>228</v>
      </c>
      <c r="E17" s="14" t="s">
        <v>229</v>
      </c>
      <c r="F17" s="19" t="s">
        <v>230</v>
      </c>
      <c r="G17" s="20" t="s">
        <v>180</v>
      </c>
    </row>
    <row r="18" spans="1:7" x14ac:dyDescent="0.25">
      <c r="A18" s="14" t="s">
        <v>14</v>
      </c>
      <c r="B18" s="14" t="s">
        <v>112</v>
      </c>
      <c r="C18" s="14" t="s">
        <v>185</v>
      </c>
      <c r="D18" s="19" t="s">
        <v>231</v>
      </c>
      <c r="E18" s="14" t="s">
        <v>232</v>
      </c>
      <c r="F18" s="19" t="s">
        <v>233</v>
      </c>
      <c r="G18" s="20" t="s">
        <v>180</v>
      </c>
    </row>
    <row r="19" spans="1:7" x14ac:dyDescent="0.25">
      <c r="A19" s="21" t="s">
        <v>6</v>
      </c>
      <c r="B19" s="21" t="s">
        <v>6</v>
      </c>
      <c r="C19" s="21" t="s">
        <v>6</v>
      </c>
      <c r="D19" s="22" t="s">
        <v>234</v>
      </c>
      <c r="E19" s="21" t="s">
        <v>235</v>
      </c>
      <c r="F19" s="22" t="s">
        <v>6</v>
      </c>
      <c r="G19" s="23" t="s">
        <v>236</v>
      </c>
    </row>
    <row r="20" spans="1:7" x14ac:dyDescent="0.25">
      <c r="A20" s="21" t="s">
        <v>6</v>
      </c>
      <c r="B20" s="21" t="s">
        <v>6</v>
      </c>
      <c r="C20" s="21" t="s">
        <v>6</v>
      </c>
      <c r="D20" s="22" t="s">
        <v>237</v>
      </c>
      <c r="E20" s="21" t="s">
        <v>238</v>
      </c>
      <c r="F20" s="22" t="s">
        <v>6</v>
      </c>
      <c r="G20" s="23" t="s">
        <v>236</v>
      </c>
    </row>
    <row r="21" spans="1:7" x14ac:dyDescent="0.25">
      <c r="A21" s="21" t="s">
        <v>6</v>
      </c>
      <c r="B21" s="21" t="s">
        <v>6</v>
      </c>
      <c r="C21" s="21" t="s">
        <v>6</v>
      </c>
      <c r="D21" s="22" t="s">
        <v>239</v>
      </c>
      <c r="E21" s="21" t="s">
        <v>240</v>
      </c>
      <c r="F21" s="22" t="s">
        <v>6</v>
      </c>
      <c r="G21" s="23" t="s">
        <v>236</v>
      </c>
    </row>
    <row r="22" spans="1:7" x14ac:dyDescent="0.25">
      <c r="A22" s="21" t="s">
        <v>6</v>
      </c>
      <c r="B22" s="21" t="s">
        <v>6</v>
      </c>
      <c r="C22" s="21" t="s">
        <v>6</v>
      </c>
      <c r="D22" s="22" t="s">
        <v>241</v>
      </c>
      <c r="E22" s="21" t="s">
        <v>242</v>
      </c>
      <c r="F22" s="22" t="s">
        <v>6</v>
      </c>
      <c r="G22" s="23" t="s">
        <v>236</v>
      </c>
    </row>
    <row r="23" spans="1:7" x14ac:dyDescent="0.25">
      <c r="A23" s="21" t="s">
        <v>6</v>
      </c>
      <c r="B23" s="21" t="s">
        <v>6</v>
      </c>
      <c r="C23" s="21" t="s">
        <v>6</v>
      </c>
      <c r="D23" s="22" t="s">
        <v>243</v>
      </c>
      <c r="E23" s="21" t="s">
        <v>244</v>
      </c>
      <c r="F23" s="22" t="s">
        <v>6</v>
      </c>
      <c r="G23" s="23" t="s">
        <v>236</v>
      </c>
    </row>
    <row r="24" spans="1:7" x14ac:dyDescent="0.25">
      <c r="A24" s="14" t="s">
        <v>14</v>
      </c>
      <c r="B24" s="14" t="s">
        <v>112</v>
      </c>
      <c r="C24" s="14" t="s">
        <v>185</v>
      </c>
      <c r="D24" s="19" t="s">
        <v>245</v>
      </c>
      <c r="E24" s="14" t="s">
        <v>246</v>
      </c>
      <c r="F24" s="19" t="s">
        <v>233</v>
      </c>
      <c r="G24" s="20" t="s">
        <v>180</v>
      </c>
    </row>
    <row r="25" spans="1:7" x14ac:dyDescent="0.25">
      <c r="A25" s="21" t="s">
        <v>6</v>
      </c>
      <c r="B25" s="21" t="s">
        <v>6</v>
      </c>
      <c r="C25" s="21" t="s">
        <v>6</v>
      </c>
      <c r="D25" s="22" t="s">
        <v>237</v>
      </c>
      <c r="E25" s="21" t="s">
        <v>247</v>
      </c>
      <c r="F25" s="22" t="s">
        <v>6</v>
      </c>
      <c r="G25" s="23" t="s">
        <v>236</v>
      </c>
    </row>
    <row r="26" spans="1:7" x14ac:dyDescent="0.25">
      <c r="A26" s="14" t="s">
        <v>14</v>
      </c>
      <c r="B26" s="14" t="s">
        <v>112</v>
      </c>
      <c r="C26" s="14" t="s">
        <v>185</v>
      </c>
      <c r="D26" s="19" t="s">
        <v>248</v>
      </c>
      <c r="E26" s="14" t="s">
        <v>249</v>
      </c>
      <c r="F26" s="19" t="s">
        <v>233</v>
      </c>
      <c r="G26" s="20" t="s">
        <v>180</v>
      </c>
    </row>
    <row r="27" spans="1:7" x14ac:dyDescent="0.25">
      <c r="A27" s="21" t="s">
        <v>6</v>
      </c>
      <c r="B27" s="21" t="s">
        <v>6</v>
      </c>
      <c r="C27" s="21" t="s">
        <v>6</v>
      </c>
      <c r="D27" s="22" t="s">
        <v>250</v>
      </c>
      <c r="E27" s="21" t="s">
        <v>251</v>
      </c>
      <c r="F27" s="22" t="s">
        <v>6</v>
      </c>
      <c r="G27" s="23" t="s">
        <v>236</v>
      </c>
    </row>
    <row r="28" spans="1:7" x14ac:dyDescent="0.25">
      <c r="A28" s="21" t="s">
        <v>6</v>
      </c>
      <c r="B28" s="21" t="s">
        <v>6</v>
      </c>
      <c r="C28" s="21" t="s">
        <v>6</v>
      </c>
      <c r="D28" s="22" t="s">
        <v>252</v>
      </c>
      <c r="E28" s="21" t="s">
        <v>253</v>
      </c>
      <c r="F28" s="22" t="s">
        <v>6</v>
      </c>
      <c r="G28" s="23" t="s">
        <v>236</v>
      </c>
    </row>
    <row r="29" spans="1:7" x14ac:dyDescent="0.25">
      <c r="A29" s="14" t="s">
        <v>14</v>
      </c>
      <c r="B29" s="14" t="s">
        <v>112</v>
      </c>
      <c r="C29" s="14" t="s">
        <v>185</v>
      </c>
      <c r="D29" s="19" t="s">
        <v>254</v>
      </c>
      <c r="E29" s="14" t="s">
        <v>255</v>
      </c>
      <c r="F29" s="19" t="s">
        <v>233</v>
      </c>
      <c r="G29" s="20" t="s">
        <v>180</v>
      </c>
    </row>
    <row r="30" spans="1:7" x14ac:dyDescent="0.25">
      <c r="A30" s="21" t="s">
        <v>6</v>
      </c>
      <c r="B30" s="21" t="s">
        <v>6</v>
      </c>
      <c r="C30" s="21" t="s">
        <v>6</v>
      </c>
      <c r="D30" s="22" t="s">
        <v>256</v>
      </c>
      <c r="E30" s="21" t="s">
        <v>257</v>
      </c>
      <c r="F30" s="22" t="s">
        <v>6</v>
      </c>
      <c r="G30" s="23" t="s">
        <v>236</v>
      </c>
    </row>
    <row r="31" spans="1:7" x14ac:dyDescent="0.25">
      <c r="A31" s="14" t="s">
        <v>14</v>
      </c>
      <c r="B31" s="14" t="s">
        <v>112</v>
      </c>
      <c r="C31" s="14" t="s">
        <v>185</v>
      </c>
      <c r="D31" s="19" t="s">
        <v>258</v>
      </c>
      <c r="E31" s="14" t="s">
        <v>259</v>
      </c>
      <c r="F31" s="19" t="s">
        <v>233</v>
      </c>
      <c r="G31" s="20" t="s">
        <v>180</v>
      </c>
    </row>
    <row r="32" spans="1:7" x14ac:dyDescent="0.25">
      <c r="A32" s="21" t="s">
        <v>6</v>
      </c>
      <c r="B32" s="21" t="s">
        <v>6</v>
      </c>
      <c r="C32" s="21" t="s">
        <v>6</v>
      </c>
      <c r="D32" s="22" t="s">
        <v>260</v>
      </c>
      <c r="E32" s="21" t="s">
        <v>261</v>
      </c>
      <c r="F32" s="22" t="s">
        <v>6</v>
      </c>
      <c r="G32" s="23" t="s">
        <v>236</v>
      </c>
    </row>
    <row r="33" spans="1:7" x14ac:dyDescent="0.25">
      <c r="A33" s="14" t="s">
        <v>14</v>
      </c>
      <c r="B33" s="14" t="s">
        <v>116</v>
      </c>
      <c r="C33" s="14" t="s">
        <v>185</v>
      </c>
      <c r="D33" s="19" t="s">
        <v>262</v>
      </c>
      <c r="E33" s="14" t="s">
        <v>263</v>
      </c>
      <c r="F33" s="19" t="s">
        <v>264</v>
      </c>
      <c r="G33" s="20" t="s">
        <v>180</v>
      </c>
    </row>
    <row r="34" spans="1:7" x14ac:dyDescent="0.25">
      <c r="A34" s="14" t="s">
        <v>14</v>
      </c>
      <c r="B34" s="14" t="s">
        <v>116</v>
      </c>
      <c r="C34" s="14" t="s">
        <v>185</v>
      </c>
      <c r="D34" s="19" t="s">
        <v>265</v>
      </c>
      <c r="E34" s="14" t="s">
        <v>266</v>
      </c>
      <c r="F34" s="19" t="s">
        <v>264</v>
      </c>
      <c r="G34" s="20" t="s">
        <v>180</v>
      </c>
    </row>
    <row r="35" spans="1:7" x14ac:dyDescent="0.25">
      <c r="A35" s="14" t="s">
        <v>14</v>
      </c>
      <c r="B35" s="14" t="s">
        <v>116</v>
      </c>
      <c r="C35" s="14" t="s">
        <v>185</v>
      </c>
      <c r="D35" s="19" t="s">
        <v>267</v>
      </c>
      <c r="E35" s="14" t="s">
        <v>268</v>
      </c>
      <c r="F35" s="19" t="s">
        <v>264</v>
      </c>
      <c r="G35" s="20" t="s">
        <v>180</v>
      </c>
    </row>
    <row r="36" spans="1:7" x14ac:dyDescent="0.25">
      <c r="A36" s="21" t="s">
        <v>6</v>
      </c>
      <c r="B36" s="21" t="s">
        <v>6</v>
      </c>
      <c r="C36" s="21" t="s">
        <v>6</v>
      </c>
      <c r="D36" s="22" t="s">
        <v>269</v>
      </c>
      <c r="E36" s="21" t="s">
        <v>270</v>
      </c>
      <c r="F36" s="22" t="s">
        <v>271</v>
      </c>
      <c r="G36" s="23" t="s">
        <v>236</v>
      </c>
    </row>
    <row r="37" spans="1:7" x14ac:dyDescent="0.25">
      <c r="A37" s="14" t="s">
        <v>14</v>
      </c>
      <c r="B37" s="14" t="s">
        <v>116</v>
      </c>
      <c r="C37" s="14" t="s">
        <v>185</v>
      </c>
      <c r="D37" s="19" t="s">
        <v>272</v>
      </c>
      <c r="E37" s="14" t="s">
        <v>273</v>
      </c>
      <c r="F37" s="19" t="s">
        <v>264</v>
      </c>
      <c r="G37" s="20" t="s">
        <v>180</v>
      </c>
    </row>
    <row r="38" spans="1:7" x14ac:dyDescent="0.25">
      <c r="A38" s="14" t="s">
        <v>14</v>
      </c>
      <c r="B38" s="14" t="s">
        <v>116</v>
      </c>
      <c r="C38" s="14" t="s">
        <v>185</v>
      </c>
      <c r="D38" s="19" t="s">
        <v>274</v>
      </c>
      <c r="E38" s="14" t="s">
        <v>275</v>
      </c>
      <c r="F38" s="19" t="s">
        <v>264</v>
      </c>
      <c r="G38" s="20" t="s">
        <v>180</v>
      </c>
    </row>
    <row r="39" spans="1:7" x14ac:dyDescent="0.25">
      <c r="A39" s="14" t="s">
        <v>14</v>
      </c>
      <c r="B39" s="14" t="s">
        <v>116</v>
      </c>
      <c r="C39" s="14" t="s">
        <v>185</v>
      </c>
      <c r="D39" s="19" t="s">
        <v>276</v>
      </c>
      <c r="E39" s="14" t="s">
        <v>277</v>
      </c>
      <c r="F39" s="19" t="s">
        <v>264</v>
      </c>
      <c r="G39" s="20" t="s">
        <v>180</v>
      </c>
    </row>
    <row r="40" spans="1:7" x14ac:dyDescent="0.25">
      <c r="A40" s="14" t="s">
        <v>14</v>
      </c>
      <c r="B40" s="14" t="s">
        <v>116</v>
      </c>
      <c r="C40" s="14" t="s">
        <v>185</v>
      </c>
      <c r="D40" s="19" t="s">
        <v>278</v>
      </c>
      <c r="E40" s="14" t="s">
        <v>279</v>
      </c>
      <c r="F40" s="19" t="s">
        <v>264</v>
      </c>
      <c r="G40" s="20" t="s">
        <v>180</v>
      </c>
    </row>
    <row r="41" spans="1:7" x14ac:dyDescent="0.25">
      <c r="A41" s="21" t="s">
        <v>6</v>
      </c>
      <c r="B41" s="21" t="s">
        <v>6</v>
      </c>
      <c r="C41" s="21" t="s">
        <v>6</v>
      </c>
      <c r="D41" s="22" t="s">
        <v>280</v>
      </c>
      <c r="E41" s="21" t="s">
        <v>281</v>
      </c>
      <c r="F41" s="22" t="s">
        <v>271</v>
      </c>
      <c r="G41" s="23" t="s">
        <v>236</v>
      </c>
    </row>
    <row r="42" spans="1:7" x14ac:dyDescent="0.25">
      <c r="A42" s="21" t="s">
        <v>6</v>
      </c>
      <c r="B42" s="21" t="s">
        <v>6</v>
      </c>
      <c r="C42" s="21" t="s">
        <v>6</v>
      </c>
      <c r="D42" s="22" t="s">
        <v>282</v>
      </c>
      <c r="E42" s="21" t="s">
        <v>283</v>
      </c>
      <c r="F42" s="22" t="s">
        <v>284</v>
      </c>
      <c r="G42" s="23" t="s">
        <v>236</v>
      </c>
    </row>
    <row r="43" spans="1:7" x14ac:dyDescent="0.25">
      <c r="A43" s="21" t="s">
        <v>6</v>
      </c>
      <c r="B43" s="21" t="s">
        <v>6</v>
      </c>
      <c r="C43" s="21" t="s">
        <v>6</v>
      </c>
      <c r="D43" s="22" t="s">
        <v>282</v>
      </c>
      <c r="E43" s="21" t="s">
        <v>283</v>
      </c>
      <c r="F43" s="22" t="s">
        <v>271</v>
      </c>
      <c r="G43" s="23" t="s">
        <v>236</v>
      </c>
    </row>
    <row r="44" spans="1:7" x14ac:dyDescent="0.25">
      <c r="A44" s="21" t="s">
        <v>6</v>
      </c>
      <c r="B44" s="21" t="s">
        <v>6</v>
      </c>
      <c r="C44" s="21" t="s">
        <v>6</v>
      </c>
      <c r="D44" s="22" t="s">
        <v>285</v>
      </c>
      <c r="E44" s="21" t="s">
        <v>286</v>
      </c>
      <c r="F44" s="22" t="s">
        <v>284</v>
      </c>
      <c r="G44" s="23" t="s">
        <v>236</v>
      </c>
    </row>
    <row r="45" spans="1:7" x14ac:dyDescent="0.25">
      <c r="A45" s="21" t="s">
        <v>6</v>
      </c>
      <c r="B45" s="21" t="s">
        <v>6</v>
      </c>
      <c r="C45" s="21" t="s">
        <v>6</v>
      </c>
      <c r="D45" s="22" t="s">
        <v>285</v>
      </c>
      <c r="E45" s="21" t="s">
        <v>286</v>
      </c>
      <c r="F45" s="22" t="s">
        <v>271</v>
      </c>
      <c r="G45" s="23" t="s">
        <v>236</v>
      </c>
    </row>
    <row r="46" spans="1:7" x14ac:dyDescent="0.25">
      <c r="A46" s="14" t="s">
        <v>14</v>
      </c>
      <c r="B46" s="14" t="s">
        <v>126</v>
      </c>
      <c r="C46" s="14" t="s">
        <v>287</v>
      </c>
      <c r="D46" s="19" t="s">
        <v>288</v>
      </c>
      <c r="E46" s="14" t="s">
        <v>289</v>
      </c>
      <c r="F46" s="19" t="s">
        <v>290</v>
      </c>
      <c r="G46" s="20" t="s">
        <v>180</v>
      </c>
    </row>
    <row r="47" spans="1:7" x14ac:dyDescent="0.25">
      <c r="A47" s="14" t="s">
        <v>14</v>
      </c>
      <c r="B47" s="14" t="s">
        <v>126</v>
      </c>
      <c r="C47" s="14" t="s">
        <v>287</v>
      </c>
      <c r="D47" s="19" t="s">
        <v>291</v>
      </c>
      <c r="E47" s="14" t="s">
        <v>289</v>
      </c>
      <c r="F47" s="19" t="s">
        <v>292</v>
      </c>
      <c r="G47" s="20" t="s">
        <v>180</v>
      </c>
    </row>
    <row r="48" spans="1:7" x14ac:dyDescent="0.25">
      <c r="A48" s="14" t="s">
        <v>14</v>
      </c>
      <c r="B48" s="14" t="s">
        <v>126</v>
      </c>
      <c r="C48" s="14" t="s">
        <v>287</v>
      </c>
      <c r="D48" s="19" t="s">
        <v>293</v>
      </c>
      <c r="E48" s="14" t="s">
        <v>289</v>
      </c>
      <c r="F48" s="19" t="s">
        <v>294</v>
      </c>
      <c r="G48" s="20" t="s">
        <v>180</v>
      </c>
    </row>
    <row r="49" spans="1:7" x14ac:dyDescent="0.25">
      <c r="A49" s="14" t="s">
        <v>14</v>
      </c>
      <c r="B49" s="14" t="s">
        <v>146</v>
      </c>
      <c r="C49" s="14" t="s">
        <v>295</v>
      </c>
      <c r="D49" s="19" t="s">
        <v>296</v>
      </c>
      <c r="E49" s="14" t="s">
        <v>297</v>
      </c>
      <c r="F49" s="19" t="s">
        <v>298</v>
      </c>
      <c r="G49" s="20" t="s">
        <v>180</v>
      </c>
    </row>
    <row r="50" spans="1:7" x14ac:dyDescent="0.25">
      <c r="A50" s="21" t="s">
        <v>6</v>
      </c>
      <c r="B50" s="21" t="s">
        <v>6</v>
      </c>
      <c r="C50" s="21" t="s">
        <v>6</v>
      </c>
      <c r="D50" s="22" t="s">
        <v>299</v>
      </c>
      <c r="E50" s="21" t="s">
        <v>300</v>
      </c>
      <c r="F50" s="22" t="s">
        <v>6</v>
      </c>
      <c r="G50" s="23" t="s">
        <v>236</v>
      </c>
    </row>
    <row r="51" spans="1:7" x14ac:dyDescent="0.25">
      <c r="A51" s="21" t="s">
        <v>6</v>
      </c>
      <c r="B51" s="21" t="s">
        <v>6</v>
      </c>
      <c r="C51" s="21" t="s">
        <v>6</v>
      </c>
      <c r="D51" s="22" t="s">
        <v>301</v>
      </c>
      <c r="E51" s="21" t="s">
        <v>302</v>
      </c>
      <c r="F51" s="22" t="s">
        <v>6</v>
      </c>
      <c r="G51" s="23" t="s">
        <v>236</v>
      </c>
    </row>
    <row r="52" spans="1:7" x14ac:dyDescent="0.25">
      <c r="A52" s="14" t="s">
        <v>14</v>
      </c>
      <c r="B52" s="14" t="s">
        <v>146</v>
      </c>
      <c r="C52" s="14" t="s">
        <v>295</v>
      </c>
      <c r="D52" s="19" t="s">
        <v>303</v>
      </c>
      <c r="E52" s="14" t="s">
        <v>297</v>
      </c>
      <c r="F52" s="19" t="s">
        <v>298</v>
      </c>
      <c r="G52" s="20" t="s">
        <v>180</v>
      </c>
    </row>
    <row r="53" spans="1:7" x14ac:dyDescent="0.25">
      <c r="A53" s="21" t="s">
        <v>6</v>
      </c>
      <c r="B53" s="21" t="s">
        <v>6</v>
      </c>
      <c r="C53" s="21" t="s">
        <v>6</v>
      </c>
      <c r="D53" s="22" t="s">
        <v>304</v>
      </c>
      <c r="E53" s="21" t="s">
        <v>305</v>
      </c>
      <c r="F53" s="22" t="s">
        <v>6</v>
      </c>
      <c r="G53" s="23" t="s">
        <v>236</v>
      </c>
    </row>
    <row r="54" spans="1:7" x14ac:dyDescent="0.25">
      <c r="A54" s="21" t="s">
        <v>6</v>
      </c>
      <c r="B54" s="21" t="s">
        <v>6</v>
      </c>
      <c r="C54" s="21" t="s">
        <v>6</v>
      </c>
      <c r="D54" s="22" t="s">
        <v>306</v>
      </c>
      <c r="E54" s="21" t="s">
        <v>229</v>
      </c>
      <c r="F54" s="22" t="s">
        <v>6</v>
      </c>
      <c r="G54" s="23" t="s">
        <v>236</v>
      </c>
    </row>
    <row r="55" spans="1:7" x14ac:dyDescent="0.25">
      <c r="A55" s="14" t="s">
        <v>14</v>
      </c>
      <c r="B55" s="14" t="s">
        <v>146</v>
      </c>
      <c r="C55" s="14" t="s">
        <v>295</v>
      </c>
      <c r="D55" s="19" t="s">
        <v>307</v>
      </c>
      <c r="E55" s="14" t="s">
        <v>297</v>
      </c>
      <c r="F55" s="19" t="s">
        <v>298</v>
      </c>
      <c r="G55" s="20" t="s">
        <v>180</v>
      </c>
    </row>
    <row r="56" spans="1:7" x14ac:dyDescent="0.25">
      <c r="A56" s="21" t="s">
        <v>6</v>
      </c>
      <c r="B56" s="21" t="s">
        <v>6</v>
      </c>
      <c r="C56" s="21" t="s">
        <v>6</v>
      </c>
      <c r="D56" s="22" t="s">
        <v>308</v>
      </c>
      <c r="E56" s="21" t="s">
        <v>309</v>
      </c>
      <c r="F56" s="22" t="s">
        <v>6</v>
      </c>
      <c r="G56" s="23" t="s">
        <v>236</v>
      </c>
    </row>
    <row r="57" spans="1:7" x14ac:dyDescent="0.25">
      <c r="A57" s="21" t="s">
        <v>6</v>
      </c>
      <c r="B57" s="21" t="s">
        <v>6</v>
      </c>
      <c r="C57" s="21" t="s">
        <v>6</v>
      </c>
      <c r="D57" s="22" t="s">
        <v>310</v>
      </c>
      <c r="E57" s="21" t="s">
        <v>311</v>
      </c>
      <c r="F57" s="22" t="s">
        <v>6</v>
      </c>
      <c r="G57" s="23" t="s">
        <v>236</v>
      </c>
    </row>
    <row r="58" spans="1:7" x14ac:dyDescent="0.25">
      <c r="A58" s="14" t="s">
        <v>14</v>
      </c>
      <c r="B58" s="14" t="s">
        <v>146</v>
      </c>
      <c r="C58" s="14" t="s">
        <v>295</v>
      </c>
      <c r="D58" s="19" t="s">
        <v>312</v>
      </c>
      <c r="E58" s="14" t="s">
        <v>297</v>
      </c>
      <c r="F58" s="19" t="s">
        <v>298</v>
      </c>
      <c r="G58" s="20" t="s">
        <v>180</v>
      </c>
    </row>
    <row r="59" spans="1:7" x14ac:dyDescent="0.25">
      <c r="A59" s="21" t="s">
        <v>6</v>
      </c>
      <c r="B59" s="21" t="s">
        <v>6</v>
      </c>
      <c r="C59" s="21" t="s">
        <v>6</v>
      </c>
      <c r="D59" s="22" t="s">
        <v>313</v>
      </c>
      <c r="E59" s="21" t="s">
        <v>314</v>
      </c>
      <c r="F59" s="22" t="s">
        <v>6</v>
      </c>
      <c r="G59" s="23" t="s">
        <v>236</v>
      </c>
    </row>
    <row r="60" spans="1:7" x14ac:dyDescent="0.25">
      <c r="A60" s="21" t="s">
        <v>6</v>
      </c>
      <c r="B60" s="21" t="s">
        <v>6</v>
      </c>
      <c r="C60" s="21" t="s">
        <v>6</v>
      </c>
      <c r="D60" s="22" t="s">
        <v>315</v>
      </c>
      <c r="E60" s="21" t="s">
        <v>316</v>
      </c>
      <c r="F60" s="22" t="s">
        <v>6</v>
      </c>
      <c r="G60" s="23" t="s">
        <v>236</v>
      </c>
    </row>
    <row r="61" spans="1:7" x14ac:dyDescent="0.25">
      <c r="A61" s="14" t="s">
        <v>14</v>
      </c>
      <c r="B61" s="14" t="s">
        <v>158</v>
      </c>
      <c r="C61" s="14" t="s">
        <v>317</v>
      </c>
      <c r="D61" s="19" t="s">
        <v>318</v>
      </c>
      <c r="E61" s="14" t="s">
        <v>319</v>
      </c>
      <c r="F61" s="19" t="s">
        <v>320</v>
      </c>
      <c r="G61" s="20" t="s">
        <v>180</v>
      </c>
    </row>
    <row r="62" spans="1:7" x14ac:dyDescent="0.25">
      <c r="A62" s="24" t="s">
        <v>15</v>
      </c>
      <c r="B62" s="24" t="s">
        <v>54</v>
      </c>
      <c r="C62" s="24" t="s">
        <v>321</v>
      </c>
      <c r="D62" s="25" t="s">
        <v>322</v>
      </c>
      <c r="E62" s="24" t="s">
        <v>323</v>
      </c>
      <c r="F62" s="25" t="s">
        <v>324</v>
      </c>
      <c r="G62" s="26" t="s">
        <v>180</v>
      </c>
    </row>
    <row r="63" spans="1:7" x14ac:dyDescent="0.25">
      <c r="A63" s="24" t="s">
        <v>15</v>
      </c>
      <c r="B63" s="24" t="s">
        <v>56</v>
      </c>
      <c r="C63" s="24" t="s">
        <v>321</v>
      </c>
      <c r="D63" s="25" t="s">
        <v>325</v>
      </c>
      <c r="E63" s="24" t="s">
        <v>326</v>
      </c>
      <c r="F63" s="25" t="s">
        <v>327</v>
      </c>
      <c r="G63" s="24" t="s">
        <v>6</v>
      </c>
    </row>
    <row r="64" spans="1:7" x14ac:dyDescent="0.25">
      <c r="A64" s="24" t="s">
        <v>15</v>
      </c>
      <c r="B64" s="24" t="s">
        <v>108</v>
      </c>
      <c r="C64" s="24" t="s">
        <v>224</v>
      </c>
      <c r="D64" s="25" t="s">
        <v>328</v>
      </c>
      <c r="E64" s="24" t="s">
        <v>329</v>
      </c>
      <c r="F64" s="25" t="s">
        <v>330</v>
      </c>
      <c r="G64" s="26" t="s">
        <v>180</v>
      </c>
    </row>
    <row r="65" spans="1:7" x14ac:dyDescent="0.25">
      <c r="A65" s="24" t="s">
        <v>15</v>
      </c>
      <c r="B65" s="24" t="s">
        <v>108</v>
      </c>
      <c r="C65" s="24" t="s">
        <v>224</v>
      </c>
      <c r="D65" s="25" t="s">
        <v>331</v>
      </c>
      <c r="E65" s="24" t="s">
        <v>332</v>
      </c>
      <c r="F65" s="25" t="s">
        <v>330</v>
      </c>
      <c r="G65" s="26" t="s">
        <v>180</v>
      </c>
    </row>
    <row r="66" spans="1:7" x14ac:dyDescent="0.25">
      <c r="A66" s="24" t="s">
        <v>15</v>
      </c>
      <c r="B66" s="24" t="s">
        <v>108</v>
      </c>
      <c r="C66" s="24" t="s">
        <v>224</v>
      </c>
      <c r="D66" s="25" t="s">
        <v>333</v>
      </c>
      <c r="E66" s="24" t="s">
        <v>334</v>
      </c>
      <c r="F66" s="25" t="s">
        <v>330</v>
      </c>
      <c r="G66" s="26" t="s">
        <v>180</v>
      </c>
    </row>
    <row r="67" spans="1:7" x14ac:dyDescent="0.25">
      <c r="A67" s="24" t="s">
        <v>15</v>
      </c>
      <c r="B67" s="24" t="s">
        <v>108</v>
      </c>
      <c r="C67" s="24" t="s">
        <v>224</v>
      </c>
      <c r="D67" s="25" t="s">
        <v>335</v>
      </c>
      <c r="E67" s="24" t="s">
        <v>336</v>
      </c>
      <c r="F67" s="25" t="s">
        <v>330</v>
      </c>
      <c r="G67" s="26" t="s">
        <v>180</v>
      </c>
    </row>
    <row r="68" spans="1:7" x14ac:dyDescent="0.25">
      <c r="A68" s="24" t="s">
        <v>15</v>
      </c>
      <c r="B68" s="24" t="s">
        <v>108</v>
      </c>
      <c r="C68" s="24" t="s">
        <v>224</v>
      </c>
      <c r="D68" s="25" t="s">
        <v>337</v>
      </c>
      <c r="E68" s="24" t="s">
        <v>338</v>
      </c>
      <c r="F68" s="25" t="s">
        <v>330</v>
      </c>
      <c r="G68" s="26" t="s">
        <v>180</v>
      </c>
    </row>
    <row r="69" spans="1:7" x14ac:dyDescent="0.25">
      <c r="A69" s="24" t="s">
        <v>15</v>
      </c>
      <c r="B69" s="24" t="s">
        <v>128</v>
      </c>
      <c r="C69" s="24" t="s">
        <v>287</v>
      </c>
      <c r="D69" s="25" t="s">
        <v>339</v>
      </c>
      <c r="E69" s="24" t="s">
        <v>340</v>
      </c>
      <c r="F69" s="25" t="s">
        <v>341</v>
      </c>
      <c r="G69" s="26" t="s">
        <v>180</v>
      </c>
    </row>
    <row r="70" spans="1:7" x14ac:dyDescent="0.25">
      <c r="A70" s="24" t="s">
        <v>15</v>
      </c>
      <c r="B70" s="24" t="s">
        <v>128</v>
      </c>
      <c r="C70" s="24" t="s">
        <v>287</v>
      </c>
      <c r="D70" s="25" t="s">
        <v>342</v>
      </c>
      <c r="E70" s="24" t="s">
        <v>343</v>
      </c>
      <c r="F70" s="25" t="s">
        <v>341</v>
      </c>
      <c r="G70" s="26" t="s">
        <v>180</v>
      </c>
    </row>
  </sheetData>
  <autoFilter ref="A1:G70"/>
  <hyperlinks>
    <hyperlink ref="G2" r:id="rId1"/>
    <hyperlink ref="G3" r:id="rId2"/>
    <hyperlink ref="G4" r:id="rId3"/>
    <hyperlink ref="G8" r:id="rId4"/>
    <hyperlink ref="G9" r:id="rId5"/>
    <hyperlink ref="G10" r:id="rId6"/>
    <hyperlink ref="G11" r:id="rId7"/>
    <hyperlink ref="G12" r:id="rId8"/>
    <hyperlink ref="G14" r:id="rId9"/>
    <hyperlink ref="G15" r:id="rId10"/>
    <hyperlink ref="G16" r:id="rId11"/>
    <hyperlink ref="G17" r:id="rId12"/>
    <hyperlink ref="G18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28" r:id="rId23"/>
    <hyperlink ref="G29" r:id="rId24"/>
    <hyperlink ref="G30" r:id="rId25"/>
    <hyperlink ref="G31" r:id="rId26"/>
    <hyperlink ref="G32" r:id="rId27"/>
    <hyperlink ref="G33" r:id="rId28"/>
    <hyperlink ref="G34" r:id="rId29"/>
    <hyperlink ref="G35" r:id="rId30"/>
    <hyperlink ref="G36" r:id="rId31"/>
    <hyperlink ref="G37" r:id="rId32"/>
    <hyperlink ref="G38" r:id="rId33"/>
    <hyperlink ref="G39" r:id="rId34"/>
    <hyperlink ref="G40" r:id="rId35"/>
    <hyperlink ref="G41" r:id="rId36"/>
    <hyperlink ref="G42" r:id="rId37"/>
    <hyperlink ref="G43" r:id="rId38"/>
    <hyperlink ref="G44" r:id="rId39"/>
    <hyperlink ref="G45" r:id="rId40"/>
    <hyperlink ref="G46" r:id="rId41"/>
    <hyperlink ref="G47" r:id="rId42"/>
    <hyperlink ref="G48" r:id="rId43"/>
    <hyperlink ref="G49" r:id="rId44"/>
    <hyperlink ref="G50" r:id="rId45"/>
    <hyperlink ref="G51" r:id="rId46"/>
    <hyperlink ref="G52" r:id="rId47"/>
    <hyperlink ref="G53" r:id="rId48"/>
    <hyperlink ref="G54" r:id="rId49"/>
    <hyperlink ref="G55" r:id="rId50"/>
    <hyperlink ref="G56" r:id="rId51"/>
    <hyperlink ref="G57" r:id="rId52"/>
    <hyperlink ref="G58" r:id="rId53"/>
    <hyperlink ref="G59" r:id="rId54"/>
    <hyperlink ref="G60" r:id="rId55"/>
    <hyperlink ref="G61" r:id="rId56"/>
    <hyperlink ref="G62" r:id="rId57"/>
    <hyperlink ref="G64" r:id="rId58"/>
    <hyperlink ref="G65" r:id="rId59"/>
    <hyperlink ref="G66" r:id="rId60"/>
    <hyperlink ref="G67" r:id="rId61"/>
    <hyperlink ref="G68" r:id="rId62"/>
    <hyperlink ref="G69" r:id="rId63"/>
    <hyperlink ref="G70" r:id="rId6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344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146</v>
      </c>
      <c r="C5" s="19" t="s">
        <v>296</v>
      </c>
      <c r="D5" s="14" t="s">
        <v>297</v>
      </c>
      <c r="E5" s="19" t="s">
        <v>298</v>
      </c>
      <c r="F5" s="20" t="s">
        <v>180</v>
      </c>
    </row>
    <row r="6" spans="1:6" x14ac:dyDescent="0.25">
      <c r="A6" s="21" t="s">
        <v>6</v>
      </c>
      <c r="B6" s="21" t="s">
        <v>6</v>
      </c>
      <c r="C6" s="22" t="s">
        <v>299</v>
      </c>
      <c r="D6" s="21" t="s">
        <v>300</v>
      </c>
      <c r="E6" s="22" t="s">
        <v>6</v>
      </c>
      <c r="F6" s="23" t="s">
        <v>236</v>
      </c>
    </row>
    <row r="7" spans="1:6" x14ac:dyDescent="0.25">
      <c r="A7" s="21" t="s">
        <v>6</v>
      </c>
      <c r="B7" s="21" t="s">
        <v>6</v>
      </c>
      <c r="C7" s="22" t="s">
        <v>301</v>
      </c>
      <c r="D7" s="21" t="s">
        <v>302</v>
      </c>
      <c r="E7" s="22" t="s">
        <v>6</v>
      </c>
      <c r="F7" s="23" t="s">
        <v>236</v>
      </c>
    </row>
    <row r="8" spans="1:6" x14ac:dyDescent="0.25">
      <c r="A8" s="14" t="s">
        <v>14</v>
      </c>
      <c r="B8" s="14" t="s">
        <v>146</v>
      </c>
      <c r="C8" s="19" t="s">
        <v>303</v>
      </c>
      <c r="D8" s="14" t="s">
        <v>297</v>
      </c>
      <c r="E8" s="19" t="s">
        <v>298</v>
      </c>
      <c r="F8" s="20" t="s">
        <v>180</v>
      </c>
    </row>
    <row r="9" spans="1:6" x14ac:dyDescent="0.25">
      <c r="A9" s="21" t="s">
        <v>6</v>
      </c>
      <c r="B9" s="21" t="s">
        <v>6</v>
      </c>
      <c r="C9" s="22" t="s">
        <v>304</v>
      </c>
      <c r="D9" s="21" t="s">
        <v>305</v>
      </c>
      <c r="E9" s="22" t="s">
        <v>6</v>
      </c>
      <c r="F9" s="23" t="s">
        <v>236</v>
      </c>
    </row>
    <row r="10" spans="1:6" x14ac:dyDescent="0.25">
      <c r="A10" s="21" t="s">
        <v>6</v>
      </c>
      <c r="B10" s="21" t="s">
        <v>6</v>
      </c>
      <c r="C10" s="22" t="s">
        <v>306</v>
      </c>
      <c r="D10" s="21" t="s">
        <v>229</v>
      </c>
      <c r="E10" s="22" t="s">
        <v>6</v>
      </c>
      <c r="F10" s="23" t="s">
        <v>236</v>
      </c>
    </row>
    <row r="11" spans="1:6" x14ac:dyDescent="0.25">
      <c r="A11" s="14" t="s">
        <v>14</v>
      </c>
      <c r="B11" s="14" t="s">
        <v>146</v>
      </c>
      <c r="C11" s="19" t="s">
        <v>307</v>
      </c>
      <c r="D11" s="14" t="s">
        <v>297</v>
      </c>
      <c r="E11" s="19" t="s">
        <v>298</v>
      </c>
      <c r="F11" s="20" t="s">
        <v>180</v>
      </c>
    </row>
    <row r="12" spans="1:6" x14ac:dyDescent="0.25">
      <c r="A12" s="21" t="s">
        <v>6</v>
      </c>
      <c r="B12" s="21" t="s">
        <v>6</v>
      </c>
      <c r="C12" s="22" t="s">
        <v>308</v>
      </c>
      <c r="D12" s="21" t="s">
        <v>309</v>
      </c>
      <c r="E12" s="22" t="s">
        <v>6</v>
      </c>
      <c r="F12" s="23" t="s">
        <v>236</v>
      </c>
    </row>
    <row r="13" spans="1:6" x14ac:dyDescent="0.25">
      <c r="A13" s="21" t="s">
        <v>6</v>
      </c>
      <c r="B13" s="21" t="s">
        <v>6</v>
      </c>
      <c r="C13" s="22" t="s">
        <v>310</v>
      </c>
      <c r="D13" s="21" t="s">
        <v>311</v>
      </c>
      <c r="E13" s="22" t="s">
        <v>6</v>
      </c>
      <c r="F13" s="23" t="s">
        <v>236</v>
      </c>
    </row>
    <row r="14" spans="1:6" x14ac:dyDescent="0.25">
      <c r="A14" s="14" t="s">
        <v>14</v>
      </c>
      <c r="B14" s="14" t="s">
        <v>146</v>
      </c>
      <c r="C14" s="19" t="s">
        <v>312</v>
      </c>
      <c r="D14" s="14" t="s">
        <v>297</v>
      </c>
      <c r="E14" s="19" t="s">
        <v>298</v>
      </c>
      <c r="F14" s="20" t="s">
        <v>180</v>
      </c>
    </row>
    <row r="15" spans="1:6" x14ac:dyDescent="0.25">
      <c r="A15" s="21" t="s">
        <v>6</v>
      </c>
      <c r="B15" s="21" t="s">
        <v>6</v>
      </c>
      <c r="C15" s="22" t="s">
        <v>313</v>
      </c>
      <c r="D15" s="21" t="s">
        <v>314</v>
      </c>
      <c r="E15" s="22" t="s">
        <v>6</v>
      </c>
      <c r="F15" s="23" t="s">
        <v>236</v>
      </c>
    </row>
    <row r="16" spans="1:6" x14ac:dyDescent="0.25">
      <c r="A16" s="21" t="s">
        <v>6</v>
      </c>
      <c r="B16" s="21" t="s">
        <v>6</v>
      </c>
      <c r="C16" s="22" t="s">
        <v>315</v>
      </c>
      <c r="D16" s="21" t="s">
        <v>316</v>
      </c>
      <c r="E16" s="22" t="s">
        <v>6</v>
      </c>
      <c r="F16" s="23" t="s">
        <v>236</v>
      </c>
    </row>
  </sheetData>
  <autoFilter ref="A4:F16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345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158</v>
      </c>
      <c r="C5" s="19" t="s">
        <v>318</v>
      </c>
      <c r="D5" s="14" t="s">
        <v>319</v>
      </c>
      <c r="E5" s="19" t="s">
        <v>320</v>
      </c>
      <c r="F5" s="20" t="s">
        <v>180</v>
      </c>
    </row>
  </sheetData>
  <autoFilter ref="A4:F5"/>
  <mergeCells count="1">
    <mergeCell ref="A1:F1"/>
  </mergeCells>
  <hyperlinks>
    <hyperlink ref="F5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346</v>
      </c>
    </row>
    <row r="4" spans="1:1" x14ac:dyDescent="0.25">
      <c r="A4" s="29" t="s">
        <v>347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3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348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64</v>
      </c>
      <c r="C5" s="17" t="s">
        <v>182</v>
      </c>
      <c r="D5" s="16" t="s">
        <v>183</v>
      </c>
      <c r="E5" s="17" t="s">
        <v>184</v>
      </c>
      <c r="F5" s="18" t="s">
        <v>180</v>
      </c>
    </row>
    <row r="6" spans="1:6" x14ac:dyDescent="0.25">
      <c r="A6" s="16" t="s">
        <v>13</v>
      </c>
      <c r="B6" s="16" t="s">
        <v>110</v>
      </c>
      <c r="C6" s="17" t="s">
        <v>186</v>
      </c>
      <c r="D6" s="16" t="s">
        <v>187</v>
      </c>
      <c r="E6" s="17" t="s">
        <v>188</v>
      </c>
      <c r="F6" s="18" t="s">
        <v>180</v>
      </c>
    </row>
    <row r="7" spans="1:6" x14ac:dyDescent="0.25">
      <c r="A7" s="14" t="s">
        <v>14</v>
      </c>
      <c r="B7" s="14" t="s">
        <v>42</v>
      </c>
      <c r="C7" s="19" t="s">
        <v>197</v>
      </c>
      <c r="D7" s="14" t="s">
        <v>198</v>
      </c>
      <c r="E7" s="19" t="s">
        <v>199</v>
      </c>
      <c r="F7" s="20" t="s">
        <v>180</v>
      </c>
    </row>
    <row r="8" spans="1:6" x14ac:dyDescent="0.25">
      <c r="A8" s="14" t="s">
        <v>14</v>
      </c>
      <c r="B8" s="14" t="s">
        <v>60</v>
      </c>
      <c r="C8" s="19" t="s">
        <v>201</v>
      </c>
      <c r="D8" s="14" t="s">
        <v>202</v>
      </c>
      <c r="E8" s="19" t="s">
        <v>203</v>
      </c>
      <c r="F8" s="20" t="s">
        <v>180</v>
      </c>
    </row>
    <row r="9" spans="1:6" x14ac:dyDescent="0.25">
      <c r="A9" s="14" t="s">
        <v>14</v>
      </c>
      <c r="B9" s="14" t="s">
        <v>66</v>
      </c>
      <c r="C9" s="19" t="s">
        <v>204</v>
      </c>
      <c r="D9" s="14" t="s">
        <v>205</v>
      </c>
      <c r="E9" s="19" t="s">
        <v>206</v>
      </c>
      <c r="F9" s="20" t="s">
        <v>180</v>
      </c>
    </row>
    <row r="10" spans="1:6" x14ac:dyDescent="0.25">
      <c r="A10" s="14" t="s">
        <v>14</v>
      </c>
      <c r="B10" s="14" t="s">
        <v>112</v>
      </c>
      <c r="C10" s="19" t="s">
        <v>231</v>
      </c>
      <c r="D10" s="14" t="s">
        <v>232</v>
      </c>
      <c r="E10" s="19" t="s">
        <v>233</v>
      </c>
      <c r="F10" s="20" t="s">
        <v>180</v>
      </c>
    </row>
    <row r="11" spans="1:6" x14ac:dyDescent="0.25">
      <c r="A11" s="21" t="s">
        <v>6</v>
      </c>
      <c r="B11" s="21" t="s">
        <v>6</v>
      </c>
      <c r="C11" s="22" t="s">
        <v>234</v>
      </c>
      <c r="D11" s="21" t="s">
        <v>235</v>
      </c>
      <c r="E11" s="22" t="s">
        <v>6</v>
      </c>
      <c r="F11" s="23" t="s">
        <v>236</v>
      </c>
    </row>
    <row r="12" spans="1:6" x14ac:dyDescent="0.25">
      <c r="A12" s="21" t="s">
        <v>6</v>
      </c>
      <c r="B12" s="21" t="s">
        <v>6</v>
      </c>
      <c r="C12" s="22" t="s">
        <v>237</v>
      </c>
      <c r="D12" s="21" t="s">
        <v>238</v>
      </c>
      <c r="E12" s="22" t="s">
        <v>6</v>
      </c>
      <c r="F12" s="23" t="s">
        <v>236</v>
      </c>
    </row>
    <row r="13" spans="1:6" x14ac:dyDescent="0.25">
      <c r="A13" s="21" t="s">
        <v>6</v>
      </c>
      <c r="B13" s="21" t="s">
        <v>6</v>
      </c>
      <c r="C13" s="22" t="s">
        <v>239</v>
      </c>
      <c r="D13" s="21" t="s">
        <v>240</v>
      </c>
      <c r="E13" s="22" t="s">
        <v>6</v>
      </c>
      <c r="F13" s="23" t="s">
        <v>236</v>
      </c>
    </row>
    <row r="14" spans="1:6" x14ac:dyDescent="0.25">
      <c r="A14" s="21" t="s">
        <v>6</v>
      </c>
      <c r="B14" s="21" t="s">
        <v>6</v>
      </c>
      <c r="C14" s="22" t="s">
        <v>241</v>
      </c>
      <c r="D14" s="21" t="s">
        <v>242</v>
      </c>
      <c r="E14" s="22" t="s">
        <v>6</v>
      </c>
      <c r="F14" s="23" t="s">
        <v>236</v>
      </c>
    </row>
    <row r="15" spans="1:6" x14ac:dyDescent="0.25">
      <c r="A15" s="21" t="s">
        <v>6</v>
      </c>
      <c r="B15" s="21" t="s">
        <v>6</v>
      </c>
      <c r="C15" s="22" t="s">
        <v>243</v>
      </c>
      <c r="D15" s="21" t="s">
        <v>244</v>
      </c>
      <c r="E15" s="22" t="s">
        <v>6</v>
      </c>
      <c r="F15" s="23" t="s">
        <v>236</v>
      </c>
    </row>
    <row r="16" spans="1:6" x14ac:dyDescent="0.25">
      <c r="A16" s="14" t="s">
        <v>14</v>
      </c>
      <c r="B16" s="14" t="s">
        <v>112</v>
      </c>
      <c r="C16" s="19" t="s">
        <v>245</v>
      </c>
      <c r="D16" s="14" t="s">
        <v>246</v>
      </c>
      <c r="E16" s="19" t="s">
        <v>233</v>
      </c>
      <c r="F16" s="20" t="s">
        <v>180</v>
      </c>
    </row>
    <row r="17" spans="1:6" x14ac:dyDescent="0.25">
      <c r="A17" s="21" t="s">
        <v>6</v>
      </c>
      <c r="B17" s="21" t="s">
        <v>6</v>
      </c>
      <c r="C17" s="22" t="s">
        <v>237</v>
      </c>
      <c r="D17" s="21" t="s">
        <v>247</v>
      </c>
      <c r="E17" s="22" t="s">
        <v>6</v>
      </c>
      <c r="F17" s="23" t="s">
        <v>236</v>
      </c>
    </row>
    <row r="18" spans="1:6" x14ac:dyDescent="0.25">
      <c r="A18" s="14" t="s">
        <v>14</v>
      </c>
      <c r="B18" s="14" t="s">
        <v>112</v>
      </c>
      <c r="C18" s="19" t="s">
        <v>248</v>
      </c>
      <c r="D18" s="14" t="s">
        <v>249</v>
      </c>
      <c r="E18" s="19" t="s">
        <v>233</v>
      </c>
      <c r="F18" s="20" t="s">
        <v>180</v>
      </c>
    </row>
    <row r="19" spans="1:6" x14ac:dyDescent="0.25">
      <c r="A19" s="21" t="s">
        <v>6</v>
      </c>
      <c r="B19" s="21" t="s">
        <v>6</v>
      </c>
      <c r="C19" s="22" t="s">
        <v>250</v>
      </c>
      <c r="D19" s="21" t="s">
        <v>251</v>
      </c>
      <c r="E19" s="22" t="s">
        <v>6</v>
      </c>
      <c r="F19" s="23" t="s">
        <v>236</v>
      </c>
    </row>
    <row r="20" spans="1:6" x14ac:dyDescent="0.25">
      <c r="A20" s="21" t="s">
        <v>6</v>
      </c>
      <c r="B20" s="21" t="s">
        <v>6</v>
      </c>
      <c r="C20" s="22" t="s">
        <v>252</v>
      </c>
      <c r="D20" s="21" t="s">
        <v>253</v>
      </c>
      <c r="E20" s="22" t="s">
        <v>6</v>
      </c>
      <c r="F20" s="23" t="s">
        <v>236</v>
      </c>
    </row>
    <row r="21" spans="1:6" x14ac:dyDescent="0.25">
      <c r="A21" s="14" t="s">
        <v>14</v>
      </c>
      <c r="B21" s="14" t="s">
        <v>112</v>
      </c>
      <c r="C21" s="19" t="s">
        <v>254</v>
      </c>
      <c r="D21" s="14" t="s">
        <v>255</v>
      </c>
      <c r="E21" s="19" t="s">
        <v>233</v>
      </c>
      <c r="F21" s="20" t="s">
        <v>180</v>
      </c>
    </row>
    <row r="22" spans="1:6" x14ac:dyDescent="0.25">
      <c r="A22" s="21" t="s">
        <v>6</v>
      </c>
      <c r="B22" s="21" t="s">
        <v>6</v>
      </c>
      <c r="C22" s="22" t="s">
        <v>256</v>
      </c>
      <c r="D22" s="21" t="s">
        <v>257</v>
      </c>
      <c r="E22" s="22" t="s">
        <v>6</v>
      </c>
      <c r="F22" s="23" t="s">
        <v>236</v>
      </c>
    </row>
    <row r="23" spans="1:6" x14ac:dyDescent="0.25">
      <c r="A23" s="14" t="s">
        <v>14</v>
      </c>
      <c r="B23" s="14" t="s">
        <v>112</v>
      </c>
      <c r="C23" s="19" t="s">
        <v>258</v>
      </c>
      <c r="D23" s="14" t="s">
        <v>259</v>
      </c>
      <c r="E23" s="19" t="s">
        <v>233</v>
      </c>
      <c r="F23" s="20" t="s">
        <v>180</v>
      </c>
    </row>
    <row r="24" spans="1:6" x14ac:dyDescent="0.25">
      <c r="A24" s="21" t="s">
        <v>6</v>
      </c>
      <c r="B24" s="21" t="s">
        <v>6</v>
      </c>
      <c r="C24" s="22" t="s">
        <v>260</v>
      </c>
      <c r="D24" s="21" t="s">
        <v>261</v>
      </c>
      <c r="E24" s="22" t="s">
        <v>6</v>
      </c>
      <c r="F24" s="23" t="s">
        <v>236</v>
      </c>
    </row>
    <row r="25" spans="1:6" x14ac:dyDescent="0.25">
      <c r="A25" s="14" t="s">
        <v>14</v>
      </c>
      <c r="B25" s="14" t="s">
        <v>116</v>
      </c>
      <c r="C25" s="19" t="s">
        <v>262</v>
      </c>
      <c r="D25" s="14" t="s">
        <v>263</v>
      </c>
      <c r="E25" s="19" t="s">
        <v>264</v>
      </c>
      <c r="F25" s="20" t="s">
        <v>180</v>
      </c>
    </row>
    <row r="26" spans="1:6" x14ac:dyDescent="0.25">
      <c r="A26" s="14" t="s">
        <v>14</v>
      </c>
      <c r="B26" s="14" t="s">
        <v>116</v>
      </c>
      <c r="C26" s="19" t="s">
        <v>265</v>
      </c>
      <c r="D26" s="14" t="s">
        <v>266</v>
      </c>
      <c r="E26" s="19" t="s">
        <v>264</v>
      </c>
      <c r="F26" s="20" t="s">
        <v>180</v>
      </c>
    </row>
    <row r="27" spans="1:6" x14ac:dyDescent="0.25">
      <c r="A27" s="14" t="s">
        <v>14</v>
      </c>
      <c r="B27" s="14" t="s">
        <v>116</v>
      </c>
      <c r="C27" s="19" t="s">
        <v>267</v>
      </c>
      <c r="D27" s="14" t="s">
        <v>268</v>
      </c>
      <c r="E27" s="19" t="s">
        <v>264</v>
      </c>
      <c r="F27" s="20" t="s">
        <v>180</v>
      </c>
    </row>
    <row r="28" spans="1:6" x14ac:dyDescent="0.25">
      <c r="A28" s="21" t="s">
        <v>6</v>
      </c>
      <c r="B28" s="21" t="s">
        <v>6</v>
      </c>
      <c r="C28" s="22" t="s">
        <v>269</v>
      </c>
      <c r="D28" s="21" t="s">
        <v>270</v>
      </c>
      <c r="E28" s="22" t="s">
        <v>271</v>
      </c>
      <c r="F28" s="23" t="s">
        <v>236</v>
      </c>
    </row>
    <row r="29" spans="1:6" x14ac:dyDescent="0.25">
      <c r="A29" s="14" t="s">
        <v>14</v>
      </c>
      <c r="B29" s="14" t="s">
        <v>116</v>
      </c>
      <c r="C29" s="19" t="s">
        <v>272</v>
      </c>
      <c r="D29" s="14" t="s">
        <v>273</v>
      </c>
      <c r="E29" s="19" t="s">
        <v>264</v>
      </c>
      <c r="F29" s="20" t="s">
        <v>180</v>
      </c>
    </row>
    <row r="30" spans="1:6" x14ac:dyDescent="0.25">
      <c r="A30" s="14" t="s">
        <v>14</v>
      </c>
      <c r="B30" s="14" t="s">
        <v>116</v>
      </c>
      <c r="C30" s="19" t="s">
        <v>274</v>
      </c>
      <c r="D30" s="14" t="s">
        <v>275</v>
      </c>
      <c r="E30" s="19" t="s">
        <v>264</v>
      </c>
      <c r="F30" s="20" t="s">
        <v>180</v>
      </c>
    </row>
    <row r="31" spans="1:6" x14ac:dyDescent="0.25">
      <c r="A31" s="14" t="s">
        <v>14</v>
      </c>
      <c r="B31" s="14" t="s">
        <v>116</v>
      </c>
      <c r="C31" s="19" t="s">
        <v>276</v>
      </c>
      <c r="D31" s="14" t="s">
        <v>277</v>
      </c>
      <c r="E31" s="19" t="s">
        <v>264</v>
      </c>
      <c r="F31" s="20" t="s">
        <v>180</v>
      </c>
    </row>
    <row r="32" spans="1:6" x14ac:dyDescent="0.25">
      <c r="A32" s="14" t="s">
        <v>14</v>
      </c>
      <c r="B32" s="14" t="s">
        <v>116</v>
      </c>
      <c r="C32" s="19" t="s">
        <v>278</v>
      </c>
      <c r="D32" s="14" t="s">
        <v>279</v>
      </c>
      <c r="E32" s="19" t="s">
        <v>264</v>
      </c>
      <c r="F32" s="20" t="s">
        <v>180</v>
      </c>
    </row>
    <row r="33" spans="1:6" x14ac:dyDescent="0.25">
      <c r="A33" s="21" t="s">
        <v>6</v>
      </c>
      <c r="B33" s="21" t="s">
        <v>6</v>
      </c>
      <c r="C33" s="22" t="s">
        <v>280</v>
      </c>
      <c r="D33" s="21" t="s">
        <v>281</v>
      </c>
      <c r="E33" s="22" t="s">
        <v>271</v>
      </c>
      <c r="F33" s="23" t="s">
        <v>236</v>
      </c>
    </row>
    <row r="34" spans="1:6" x14ac:dyDescent="0.25">
      <c r="A34" s="21" t="s">
        <v>6</v>
      </c>
      <c r="B34" s="21" t="s">
        <v>6</v>
      </c>
      <c r="C34" s="22" t="s">
        <v>282</v>
      </c>
      <c r="D34" s="21" t="s">
        <v>283</v>
      </c>
      <c r="E34" s="22" t="s">
        <v>284</v>
      </c>
      <c r="F34" s="23" t="s">
        <v>236</v>
      </c>
    </row>
    <row r="35" spans="1:6" x14ac:dyDescent="0.25">
      <c r="A35" s="21" t="s">
        <v>6</v>
      </c>
      <c r="B35" s="21" t="s">
        <v>6</v>
      </c>
      <c r="C35" s="22" t="s">
        <v>282</v>
      </c>
      <c r="D35" s="21" t="s">
        <v>283</v>
      </c>
      <c r="E35" s="22" t="s">
        <v>271</v>
      </c>
      <c r="F35" s="23" t="s">
        <v>236</v>
      </c>
    </row>
    <row r="36" spans="1:6" x14ac:dyDescent="0.25">
      <c r="A36" s="21" t="s">
        <v>6</v>
      </c>
      <c r="B36" s="21" t="s">
        <v>6</v>
      </c>
      <c r="C36" s="22" t="s">
        <v>285</v>
      </c>
      <c r="D36" s="21" t="s">
        <v>286</v>
      </c>
      <c r="E36" s="22" t="s">
        <v>284</v>
      </c>
      <c r="F36" s="23" t="s">
        <v>236</v>
      </c>
    </row>
    <row r="37" spans="1:6" x14ac:dyDescent="0.25">
      <c r="A37" s="21" t="s">
        <v>6</v>
      </c>
      <c r="B37" s="21" t="s">
        <v>6</v>
      </c>
      <c r="C37" s="22" t="s">
        <v>285</v>
      </c>
      <c r="D37" s="21" t="s">
        <v>286</v>
      </c>
      <c r="E37" s="22" t="s">
        <v>271</v>
      </c>
      <c r="F37" s="23" t="s">
        <v>236</v>
      </c>
    </row>
  </sheetData>
  <autoFilter ref="A4:F37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  <hyperlink ref="F27" r:id="rId23"/>
    <hyperlink ref="F28" r:id="rId24"/>
    <hyperlink ref="F29" r:id="rId25"/>
    <hyperlink ref="F30" r:id="rId26"/>
    <hyperlink ref="F31" r:id="rId27"/>
    <hyperlink ref="F32" r:id="rId28"/>
    <hyperlink ref="F33" r:id="rId29"/>
    <hyperlink ref="F34" r:id="rId30"/>
    <hyperlink ref="F35" r:id="rId31"/>
    <hyperlink ref="F36" r:id="rId32"/>
    <hyperlink ref="F37" r:id="rId3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349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78</v>
      </c>
      <c r="C5" s="19" t="s">
        <v>208</v>
      </c>
      <c r="D5" s="14" t="s">
        <v>209</v>
      </c>
      <c r="E5" s="19" t="s">
        <v>210</v>
      </c>
      <c r="F5" s="20" t="s">
        <v>180</v>
      </c>
    </row>
    <row r="6" spans="1:6" x14ac:dyDescent="0.25">
      <c r="A6" s="14" t="s">
        <v>14</v>
      </c>
      <c r="B6" s="14" t="s">
        <v>92</v>
      </c>
      <c r="C6" s="19" t="s">
        <v>212</v>
      </c>
      <c r="D6" s="14" t="s">
        <v>213</v>
      </c>
      <c r="E6" s="19" t="s">
        <v>214</v>
      </c>
      <c r="F6" s="20" t="s">
        <v>180</v>
      </c>
    </row>
    <row r="7" spans="1:6" x14ac:dyDescent="0.25">
      <c r="A7" s="14" t="s">
        <v>14</v>
      </c>
      <c r="B7" s="14" t="s">
        <v>96</v>
      </c>
      <c r="C7" s="19" t="s">
        <v>216</v>
      </c>
      <c r="D7" s="14" t="s">
        <v>217</v>
      </c>
      <c r="E7" s="19" t="s">
        <v>218</v>
      </c>
      <c r="F7" s="14" t="s">
        <v>6</v>
      </c>
    </row>
    <row r="8" spans="1:6" x14ac:dyDescent="0.25">
      <c r="A8" s="14" t="s">
        <v>14</v>
      </c>
      <c r="B8" s="14" t="s">
        <v>98</v>
      </c>
      <c r="C8" s="19" t="s">
        <v>219</v>
      </c>
      <c r="D8" s="14" t="s">
        <v>220</v>
      </c>
      <c r="E8" s="19" t="s">
        <v>221</v>
      </c>
      <c r="F8" s="20" t="s">
        <v>180</v>
      </c>
    </row>
    <row r="9" spans="1:6" x14ac:dyDescent="0.25">
      <c r="A9" s="14" t="s">
        <v>14</v>
      </c>
      <c r="B9" s="14" t="s">
        <v>98</v>
      </c>
      <c r="C9" s="19" t="s">
        <v>222</v>
      </c>
      <c r="D9" s="14" t="s">
        <v>223</v>
      </c>
      <c r="E9" s="19" t="s">
        <v>221</v>
      </c>
      <c r="F9" s="20" t="s">
        <v>180</v>
      </c>
    </row>
    <row r="10" spans="1:6" x14ac:dyDescent="0.25">
      <c r="A10" s="14" t="s">
        <v>14</v>
      </c>
      <c r="B10" s="14" t="s">
        <v>102</v>
      </c>
      <c r="C10" s="19" t="s">
        <v>225</v>
      </c>
      <c r="D10" s="14" t="s">
        <v>226</v>
      </c>
      <c r="E10" s="19" t="s">
        <v>227</v>
      </c>
      <c r="F10" s="20" t="s">
        <v>180</v>
      </c>
    </row>
    <row r="11" spans="1:6" x14ac:dyDescent="0.25">
      <c r="A11" s="14" t="s">
        <v>14</v>
      </c>
      <c r="B11" s="14" t="s">
        <v>106</v>
      </c>
      <c r="C11" s="19" t="s">
        <v>228</v>
      </c>
      <c r="D11" s="14" t="s">
        <v>229</v>
      </c>
      <c r="E11" s="19" t="s">
        <v>230</v>
      </c>
      <c r="F11" s="20" t="s">
        <v>180</v>
      </c>
    </row>
    <row r="12" spans="1:6" x14ac:dyDescent="0.25">
      <c r="A12" s="14" t="s">
        <v>14</v>
      </c>
      <c r="B12" s="14" t="s">
        <v>126</v>
      </c>
      <c r="C12" s="19" t="s">
        <v>288</v>
      </c>
      <c r="D12" s="14" t="s">
        <v>289</v>
      </c>
      <c r="E12" s="19" t="s">
        <v>290</v>
      </c>
      <c r="F12" s="20" t="s">
        <v>180</v>
      </c>
    </row>
    <row r="13" spans="1:6" x14ac:dyDescent="0.25">
      <c r="A13" s="14" t="s">
        <v>14</v>
      </c>
      <c r="B13" s="14" t="s">
        <v>126</v>
      </c>
      <c r="C13" s="19" t="s">
        <v>291</v>
      </c>
      <c r="D13" s="14" t="s">
        <v>289</v>
      </c>
      <c r="E13" s="19" t="s">
        <v>292</v>
      </c>
      <c r="F13" s="20" t="s">
        <v>180</v>
      </c>
    </row>
    <row r="14" spans="1:6" x14ac:dyDescent="0.25">
      <c r="A14" s="14" t="s">
        <v>14</v>
      </c>
      <c r="B14" s="14" t="s">
        <v>126</v>
      </c>
      <c r="C14" s="19" t="s">
        <v>293</v>
      </c>
      <c r="D14" s="14" t="s">
        <v>289</v>
      </c>
      <c r="E14" s="19" t="s">
        <v>294</v>
      </c>
      <c r="F14" s="20" t="s">
        <v>180</v>
      </c>
    </row>
    <row r="15" spans="1:6" x14ac:dyDescent="0.25">
      <c r="A15" s="24" t="s">
        <v>15</v>
      </c>
      <c r="B15" s="24" t="s">
        <v>108</v>
      </c>
      <c r="C15" s="25" t="s">
        <v>328</v>
      </c>
      <c r="D15" s="24" t="s">
        <v>329</v>
      </c>
      <c r="E15" s="25" t="s">
        <v>330</v>
      </c>
      <c r="F15" s="26" t="s">
        <v>180</v>
      </c>
    </row>
    <row r="16" spans="1:6" x14ac:dyDescent="0.25">
      <c r="A16" s="24" t="s">
        <v>15</v>
      </c>
      <c r="B16" s="24" t="s">
        <v>108</v>
      </c>
      <c r="C16" s="25" t="s">
        <v>331</v>
      </c>
      <c r="D16" s="24" t="s">
        <v>332</v>
      </c>
      <c r="E16" s="25" t="s">
        <v>330</v>
      </c>
      <c r="F16" s="26" t="s">
        <v>180</v>
      </c>
    </row>
    <row r="17" spans="1:6" x14ac:dyDescent="0.25">
      <c r="A17" s="24" t="s">
        <v>15</v>
      </c>
      <c r="B17" s="24" t="s">
        <v>108</v>
      </c>
      <c r="C17" s="25" t="s">
        <v>333</v>
      </c>
      <c r="D17" s="24" t="s">
        <v>334</v>
      </c>
      <c r="E17" s="25" t="s">
        <v>330</v>
      </c>
      <c r="F17" s="26" t="s">
        <v>180</v>
      </c>
    </row>
    <row r="18" spans="1:6" x14ac:dyDescent="0.25">
      <c r="A18" s="24" t="s">
        <v>15</v>
      </c>
      <c r="B18" s="24" t="s">
        <v>108</v>
      </c>
      <c r="C18" s="25" t="s">
        <v>335</v>
      </c>
      <c r="D18" s="24" t="s">
        <v>336</v>
      </c>
      <c r="E18" s="25" t="s">
        <v>330</v>
      </c>
      <c r="F18" s="26" t="s">
        <v>180</v>
      </c>
    </row>
    <row r="19" spans="1:6" x14ac:dyDescent="0.25">
      <c r="A19" s="24" t="s">
        <v>15</v>
      </c>
      <c r="B19" s="24" t="s">
        <v>108</v>
      </c>
      <c r="C19" s="25" t="s">
        <v>337</v>
      </c>
      <c r="D19" s="24" t="s">
        <v>338</v>
      </c>
      <c r="E19" s="25" t="s">
        <v>330</v>
      </c>
      <c r="F19" s="26" t="s">
        <v>180</v>
      </c>
    </row>
    <row r="20" spans="1:6" x14ac:dyDescent="0.25">
      <c r="A20" s="24" t="s">
        <v>15</v>
      </c>
      <c r="B20" s="24" t="s">
        <v>128</v>
      </c>
      <c r="C20" s="25" t="s">
        <v>339</v>
      </c>
      <c r="D20" s="24" t="s">
        <v>340</v>
      </c>
      <c r="E20" s="25" t="s">
        <v>341</v>
      </c>
      <c r="F20" s="26" t="s">
        <v>180</v>
      </c>
    </row>
    <row r="21" spans="1:6" x14ac:dyDescent="0.25">
      <c r="A21" s="24" t="s">
        <v>15</v>
      </c>
      <c r="B21" s="24" t="s">
        <v>128</v>
      </c>
      <c r="C21" s="25" t="s">
        <v>342</v>
      </c>
      <c r="D21" s="24" t="s">
        <v>343</v>
      </c>
      <c r="E21" s="25" t="s">
        <v>341</v>
      </c>
      <c r="F21" s="26" t="s">
        <v>180</v>
      </c>
    </row>
  </sheetData>
  <autoFilter ref="A4:F21"/>
  <mergeCells count="1">
    <mergeCell ref="A1:F1"/>
  </mergeCells>
  <hyperlinks>
    <hyperlink ref="F5" r:id="rId1"/>
    <hyperlink ref="F6" r:id="rId2"/>
    <hyperlink ref="F8" r:id="rId3"/>
    <hyperlink ref="F9" r:id="rId4"/>
    <hyperlink ref="F10" r:id="rId5"/>
    <hyperlink ref="F11" r:id="rId6"/>
    <hyperlink ref="F12" r:id="rId7"/>
    <hyperlink ref="F13" r:id="rId8"/>
    <hyperlink ref="F14" r:id="rId9"/>
    <hyperlink ref="F15" r:id="rId10"/>
    <hyperlink ref="F16" r:id="rId11"/>
    <hyperlink ref="F17" r:id="rId12"/>
    <hyperlink ref="F18" r:id="rId13"/>
    <hyperlink ref="F19" r:id="rId14"/>
    <hyperlink ref="F20" r:id="rId15"/>
    <hyperlink ref="F21" r:id="rId1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350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28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4" t="s">
        <v>14</v>
      </c>
      <c r="B6" s="14" t="s">
        <v>31</v>
      </c>
      <c r="C6" s="19" t="s">
        <v>189</v>
      </c>
      <c r="D6" s="14" t="s">
        <v>190</v>
      </c>
      <c r="E6" s="19" t="s">
        <v>191</v>
      </c>
      <c r="F6" s="14" t="s">
        <v>6</v>
      </c>
    </row>
    <row r="7" spans="1:6" x14ac:dyDescent="0.25">
      <c r="A7" s="14" t="s">
        <v>14</v>
      </c>
      <c r="B7" s="14" t="s">
        <v>31</v>
      </c>
      <c r="C7" s="19" t="s">
        <v>192</v>
      </c>
      <c r="D7" s="14" t="s">
        <v>193</v>
      </c>
      <c r="E7" s="19" t="s">
        <v>191</v>
      </c>
      <c r="F7" s="14" t="s">
        <v>6</v>
      </c>
    </row>
    <row r="8" spans="1:6" x14ac:dyDescent="0.25">
      <c r="A8" s="14" t="s">
        <v>14</v>
      </c>
      <c r="B8" s="14" t="s">
        <v>31</v>
      </c>
      <c r="C8" s="19" t="s">
        <v>194</v>
      </c>
      <c r="D8" s="14" t="s">
        <v>195</v>
      </c>
      <c r="E8" s="19" t="s">
        <v>191</v>
      </c>
      <c r="F8" s="14" t="s">
        <v>6</v>
      </c>
    </row>
    <row r="9" spans="1:6" x14ac:dyDescent="0.25">
      <c r="A9" s="24" t="s">
        <v>15</v>
      </c>
      <c r="B9" s="24" t="s">
        <v>54</v>
      </c>
      <c r="C9" s="25" t="s">
        <v>322</v>
      </c>
      <c r="D9" s="24" t="s">
        <v>323</v>
      </c>
      <c r="E9" s="25" t="s">
        <v>324</v>
      </c>
      <c r="F9" s="26" t="s">
        <v>180</v>
      </c>
    </row>
    <row r="10" spans="1:6" x14ac:dyDescent="0.25">
      <c r="A10" s="24" t="s">
        <v>15</v>
      </c>
      <c r="B10" s="24" t="s">
        <v>56</v>
      </c>
      <c r="C10" s="25" t="s">
        <v>325</v>
      </c>
      <c r="D10" s="24" t="s">
        <v>326</v>
      </c>
      <c r="E10" s="25" t="s">
        <v>327</v>
      </c>
      <c r="F10" s="24" t="s">
        <v>6</v>
      </c>
    </row>
  </sheetData>
  <autoFilter ref="A4:F10"/>
  <mergeCells count="1">
    <mergeCell ref="A1:F1"/>
  </mergeCells>
  <hyperlinks>
    <hyperlink ref="F5" r:id="rId1"/>
    <hyperlink ref="F9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351</v>
      </c>
      <c r="B1" s="5" t="s">
        <v>352</v>
      </c>
      <c r="C1" s="5" t="s">
        <v>353</v>
      </c>
      <c r="D1" s="5" t="s">
        <v>354</v>
      </c>
      <c r="E1" s="5" t="s">
        <v>355</v>
      </c>
      <c r="F1" s="5" t="s">
        <v>356</v>
      </c>
      <c r="G1" s="5" t="s">
        <v>357</v>
      </c>
    </row>
    <row r="2" spans="1:7" x14ac:dyDescent="0.25">
      <c r="A2" s="10" t="s">
        <v>358</v>
      </c>
      <c r="B2" s="30">
        <v>133184</v>
      </c>
      <c r="C2" s="30">
        <v>133184</v>
      </c>
      <c r="D2" s="30">
        <v>0</v>
      </c>
      <c r="E2" s="31" t="s">
        <v>359</v>
      </c>
      <c r="F2" s="10" t="s">
        <v>6</v>
      </c>
      <c r="G2" s="32" t="s">
        <v>360</v>
      </c>
    </row>
    <row r="3" spans="1:7" x14ac:dyDescent="0.25">
      <c r="A3" s="10" t="s">
        <v>361</v>
      </c>
      <c r="B3" s="30">
        <v>9923755</v>
      </c>
      <c r="C3" s="30">
        <v>16008484</v>
      </c>
      <c r="D3" s="30">
        <v>-6084729</v>
      </c>
      <c r="E3" s="31" t="s">
        <v>362</v>
      </c>
      <c r="F3" s="10" t="s">
        <v>6</v>
      </c>
      <c r="G3" s="32" t="s">
        <v>360</v>
      </c>
    </row>
    <row r="4" spans="1:7" x14ac:dyDescent="0.25">
      <c r="A4" s="10" t="s">
        <v>363</v>
      </c>
      <c r="B4" s="30">
        <v>380371</v>
      </c>
      <c r="C4" s="30">
        <v>3193620</v>
      </c>
      <c r="D4" s="33">
        <v>-2813249</v>
      </c>
      <c r="E4" s="31" t="s">
        <v>364</v>
      </c>
      <c r="F4" s="10" t="s">
        <v>365</v>
      </c>
      <c r="G4" s="32" t="s">
        <v>360</v>
      </c>
    </row>
    <row r="5" spans="1:7" x14ac:dyDescent="0.25">
      <c r="A5" s="10" t="s">
        <v>366</v>
      </c>
      <c r="B5" s="30">
        <v>20200056</v>
      </c>
      <c r="C5" s="30">
        <v>13552596</v>
      </c>
      <c r="D5" s="30">
        <v>6647460</v>
      </c>
      <c r="E5" s="31" t="s">
        <v>367</v>
      </c>
      <c r="F5" s="10" t="s">
        <v>6</v>
      </c>
      <c r="G5" s="32" t="s">
        <v>360</v>
      </c>
    </row>
    <row r="6" spans="1:7" x14ac:dyDescent="0.25">
      <c r="A6" s="10" t="s">
        <v>368</v>
      </c>
      <c r="B6" s="30">
        <v>240000</v>
      </c>
      <c r="C6" s="30">
        <v>210000</v>
      </c>
      <c r="D6" s="30">
        <v>30000</v>
      </c>
      <c r="E6" s="31" t="s">
        <v>369</v>
      </c>
      <c r="F6" s="10" t="s">
        <v>6</v>
      </c>
      <c r="G6" s="32" t="s">
        <v>360</v>
      </c>
    </row>
    <row r="7" spans="1:7" x14ac:dyDescent="0.25">
      <c r="A7" s="10" t="s">
        <v>370</v>
      </c>
      <c r="B7" s="30">
        <v>2521033</v>
      </c>
      <c r="C7" s="30">
        <v>2521033</v>
      </c>
      <c r="D7" s="30">
        <v>0</v>
      </c>
      <c r="E7" s="31" t="s">
        <v>359</v>
      </c>
      <c r="F7" s="10" t="s">
        <v>6</v>
      </c>
      <c r="G7" s="32" t="s">
        <v>360</v>
      </c>
    </row>
    <row r="8" spans="1:7" x14ac:dyDescent="0.25">
      <c r="A8" s="10" t="s">
        <v>371</v>
      </c>
      <c r="B8" s="30">
        <v>200129</v>
      </c>
      <c r="C8" s="30">
        <v>200000</v>
      </c>
      <c r="D8" s="30">
        <v>129</v>
      </c>
      <c r="E8" s="31" t="s">
        <v>372</v>
      </c>
      <c r="F8" s="10" t="s">
        <v>6</v>
      </c>
      <c r="G8" s="32" t="s">
        <v>360</v>
      </c>
    </row>
    <row r="9" spans="1:7" x14ac:dyDescent="0.25">
      <c r="A9" s="10" t="s">
        <v>373</v>
      </c>
      <c r="B9" s="30">
        <v>6798000</v>
      </c>
      <c r="C9" s="30">
        <v>6798000</v>
      </c>
      <c r="D9" s="30">
        <v>0</v>
      </c>
      <c r="E9" s="31" t="s">
        <v>359</v>
      </c>
      <c r="F9" s="10" t="s">
        <v>6</v>
      </c>
      <c r="G9" s="32" t="s">
        <v>360</v>
      </c>
    </row>
    <row r="10" spans="1:7" x14ac:dyDescent="0.25">
      <c r="A10" s="10" t="s">
        <v>374</v>
      </c>
      <c r="B10" s="30">
        <v>39318</v>
      </c>
      <c r="C10" s="30">
        <v>270000</v>
      </c>
      <c r="D10" s="33">
        <v>-230682</v>
      </c>
      <c r="E10" s="31" t="s">
        <v>375</v>
      </c>
      <c r="F10" s="10" t="s">
        <v>365</v>
      </c>
      <c r="G10" s="32" t="s">
        <v>360</v>
      </c>
    </row>
    <row r="11" spans="1:7" x14ac:dyDescent="0.25">
      <c r="A11" s="10" t="s">
        <v>376</v>
      </c>
      <c r="B11" s="30">
        <v>69512</v>
      </c>
      <c r="C11" s="30">
        <v>66847</v>
      </c>
      <c r="D11" s="30">
        <v>2665</v>
      </c>
      <c r="E11" s="31" t="s">
        <v>377</v>
      </c>
      <c r="F11" s="10" t="s">
        <v>6</v>
      </c>
      <c r="G11" s="32" t="s">
        <v>360</v>
      </c>
    </row>
    <row r="12" spans="1:7" x14ac:dyDescent="0.25">
      <c r="A12" s="10" t="s">
        <v>378</v>
      </c>
      <c r="B12" s="30">
        <v>0</v>
      </c>
      <c r="C12" s="30">
        <v>0</v>
      </c>
      <c r="D12" s="30">
        <v>0</v>
      </c>
      <c r="E12" s="31" t="s">
        <v>6</v>
      </c>
      <c r="F12" s="10" t="s">
        <v>6</v>
      </c>
      <c r="G12" s="32" t="s">
        <v>360</v>
      </c>
    </row>
    <row r="13" spans="1:7" x14ac:dyDescent="0.25">
      <c r="A13" s="10" t="s">
        <v>379</v>
      </c>
      <c r="B13" s="30">
        <v>0</v>
      </c>
      <c r="C13" s="30">
        <v>0</v>
      </c>
      <c r="D13" s="30">
        <v>0</v>
      </c>
      <c r="E13" s="31" t="s">
        <v>6</v>
      </c>
      <c r="F13" s="10" t="s">
        <v>6</v>
      </c>
      <c r="G13" s="32" t="s">
        <v>360</v>
      </c>
    </row>
    <row r="14" spans="1:7" x14ac:dyDescent="0.25">
      <c r="A14" s="10" t="s">
        <v>380</v>
      </c>
      <c r="B14" s="30">
        <v>4374939</v>
      </c>
      <c r="C14" s="30">
        <v>4556963</v>
      </c>
      <c r="D14" s="30">
        <v>-182024</v>
      </c>
      <c r="E14" s="31" t="s">
        <v>381</v>
      </c>
      <c r="F14" s="10" t="s">
        <v>6</v>
      </c>
      <c r="G14" s="32" t="s">
        <v>360</v>
      </c>
    </row>
    <row r="15" spans="1:7" x14ac:dyDescent="0.25">
      <c r="A15" s="10" t="s">
        <v>382</v>
      </c>
      <c r="B15" s="30">
        <v>0</v>
      </c>
      <c r="C15" s="30">
        <v>28700</v>
      </c>
      <c r="D15" s="33">
        <v>-28700</v>
      </c>
      <c r="E15" s="31" t="s">
        <v>383</v>
      </c>
      <c r="F15" s="10" t="s">
        <v>365</v>
      </c>
      <c r="G15" s="32" t="s">
        <v>360</v>
      </c>
    </row>
    <row r="16" spans="1:7" x14ac:dyDescent="0.25">
      <c r="A16" s="10" t="s">
        <v>384</v>
      </c>
      <c r="B16" s="30">
        <v>10000</v>
      </c>
      <c r="C16" s="30">
        <v>10000</v>
      </c>
      <c r="D16" s="30">
        <v>0</v>
      </c>
      <c r="E16" s="31" t="s">
        <v>359</v>
      </c>
      <c r="F16" s="10" t="s">
        <v>6</v>
      </c>
      <c r="G16" s="32" t="s">
        <v>360</v>
      </c>
    </row>
    <row r="17" spans="1:7" x14ac:dyDescent="0.25">
      <c r="A17" s="10" t="s">
        <v>385</v>
      </c>
      <c r="B17" s="30">
        <v>23000</v>
      </c>
      <c r="C17" s="30">
        <v>23000</v>
      </c>
      <c r="D17" s="30">
        <v>0</v>
      </c>
      <c r="E17" s="31" t="s">
        <v>359</v>
      </c>
      <c r="F17" s="10" t="s">
        <v>6</v>
      </c>
      <c r="G17" s="32" t="s">
        <v>360</v>
      </c>
    </row>
    <row r="18" spans="1:7" x14ac:dyDescent="0.25">
      <c r="A18" s="10" t="s">
        <v>386</v>
      </c>
      <c r="B18" s="30">
        <v>138246</v>
      </c>
      <c r="C18" s="30">
        <v>155943</v>
      </c>
      <c r="D18" s="30">
        <v>-17697</v>
      </c>
      <c r="E18" s="31" t="s">
        <v>387</v>
      </c>
      <c r="F18" s="10" t="s">
        <v>6</v>
      </c>
      <c r="G18" s="32" t="s">
        <v>360</v>
      </c>
    </row>
    <row r="19" spans="1:7" x14ac:dyDescent="0.25">
      <c r="A19" s="10" t="s">
        <v>388</v>
      </c>
      <c r="B19" s="30">
        <v>11670</v>
      </c>
      <c r="C19" s="30">
        <v>11670</v>
      </c>
      <c r="D19" s="30">
        <v>0</v>
      </c>
      <c r="E19" s="31" t="s">
        <v>359</v>
      </c>
      <c r="F19" s="10" t="s">
        <v>6</v>
      </c>
      <c r="G19" s="32" t="s">
        <v>360</v>
      </c>
    </row>
    <row r="20" spans="1:7" x14ac:dyDescent="0.25">
      <c r="A20" s="10" t="s">
        <v>389</v>
      </c>
      <c r="B20" s="30">
        <v>7180000</v>
      </c>
      <c r="C20" s="30">
        <v>5980000</v>
      </c>
      <c r="D20" s="30">
        <v>1200000</v>
      </c>
      <c r="E20" s="31" t="s">
        <v>390</v>
      </c>
      <c r="F20" s="10" t="s">
        <v>6</v>
      </c>
      <c r="G20" s="32" t="s">
        <v>360</v>
      </c>
    </row>
    <row r="21" spans="1:7" x14ac:dyDescent="0.25">
      <c r="A21" s="10" t="s">
        <v>391</v>
      </c>
      <c r="B21" s="30">
        <v>0</v>
      </c>
      <c r="C21" s="30">
        <v>11250</v>
      </c>
      <c r="D21" s="33">
        <v>-11250</v>
      </c>
      <c r="E21" s="31" t="s">
        <v>383</v>
      </c>
      <c r="F21" s="10" t="s">
        <v>365</v>
      </c>
      <c r="G21" s="32" t="s">
        <v>360</v>
      </c>
    </row>
    <row r="22" spans="1:7" x14ac:dyDescent="0.25">
      <c r="A22" s="10" t="s">
        <v>392</v>
      </c>
      <c r="B22" s="30">
        <v>0</v>
      </c>
      <c r="C22" s="30">
        <v>-1709352</v>
      </c>
      <c r="D22" s="33">
        <v>1709352</v>
      </c>
      <c r="E22" s="31" t="s">
        <v>393</v>
      </c>
      <c r="F22" s="10" t="s">
        <v>365</v>
      </c>
      <c r="G22" s="32" t="s">
        <v>360</v>
      </c>
    </row>
    <row r="23" spans="1:7" x14ac:dyDescent="0.25">
      <c r="A23" s="10" t="s">
        <v>394</v>
      </c>
      <c r="B23" s="30">
        <v>4423638</v>
      </c>
      <c r="C23" s="30">
        <v>331088</v>
      </c>
      <c r="D23" s="33">
        <v>4092550</v>
      </c>
      <c r="E23" s="31" t="s">
        <v>395</v>
      </c>
      <c r="F23" s="10" t="s">
        <v>365</v>
      </c>
      <c r="G23" s="32" t="s">
        <v>360</v>
      </c>
    </row>
    <row r="24" spans="1:7" x14ac:dyDescent="0.25">
      <c r="A24" s="10" t="s">
        <v>396</v>
      </c>
      <c r="B24" s="30">
        <v>0</v>
      </c>
      <c r="C24" s="30">
        <v>1599546</v>
      </c>
      <c r="D24" s="33">
        <v>-1599546</v>
      </c>
      <c r="E24" s="31" t="s">
        <v>383</v>
      </c>
      <c r="F24" s="10" t="s">
        <v>365</v>
      </c>
      <c r="G24" s="32" t="s">
        <v>360</v>
      </c>
    </row>
    <row r="25" spans="1:7" x14ac:dyDescent="0.25">
      <c r="A25" s="10" t="s">
        <v>397</v>
      </c>
      <c r="B25" s="30">
        <v>0</v>
      </c>
      <c r="C25" s="30">
        <v>707165</v>
      </c>
      <c r="D25" s="33">
        <v>-707165</v>
      </c>
      <c r="E25" s="31" t="s">
        <v>383</v>
      </c>
      <c r="F25" s="10" t="s">
        <v>365</v>
      </c>
      <c r="G25" s="32" t="s">
        <v>360</v>
      </c>
    </row>
    <row r="26" spans="1:7" x14ac:dyDescent="0.25">
      <c r="A26" s="10" t="s">
        <v>398</v>
      </c>
      <c r="B26" s="30">
        <v>72451</v>
      </c>
      <c r="C26" s="30">
        <v>0</v>
      </c>
      <c r="D26" s="30">
        <v>72451</v>
      </c>
      <c r="E26" s="31" t="s">
        <v>6</v>
      </c>
      <c r="F26" s="10" t="s">
        <v>6</v>
      </c>
      <c r="G26" s="32" t="s">
        <v>360</v>
      </c>
    </row>
    <row r="27" spans="1:7" x14ac:dyDescent="0.25">
      <c r="A27" s="10" t="s">
        <v>399</v>
      </c>
      <c r="B27" s="30">
        <v>0</v>
      </c>
      <c r="C27" s="30">
        <v>0</v>
      </c>
      <c r="D27" s="30">
        <v>0</v>
      </c>
      <c r="E27" s="31" t="s">
        <v>6</v>
      </c>
      <c r="F27" s="10" t="s">
        <v>6</v>
      </c>
      <c r="G27" s="32" t="s">
        <v>360</v>
      </c>
    </row>
    <row r="28" spans="1:7" x14ac:dyDescent="0.25">
      <c r="A28" s="10" t="s">
        <v>400</v>
      </c>
      <c r="B28" s="30">
        <v>0</v>
      </c>
      <c r="C28" s="30">
        <v>0</v>
      </c>
      <c r="D28" s="30">
        <v>0</v>
      </c>
      <c r="E28" s="31" t="s">
        <v>6</v>
      </c>
      <c r="F28" s="10" t="s">
        <v>6</v>
      </c>
      <c r="G28" s="32" t="s">
        <v>360</v>
      </c>
    </row>
    <row r="29" spans="1:7" x14ac:dyDescent="0.25">
      <c r="A29" s="10" t="s">
        <v>401</v>
      </c>
      <c r="B29" s="30">
        <v>237014</v>
      </c>
      <c r="C29" s="30">
        <v>108081</v>
      </c>
      <c r="D29" s="33">
        <v>128933</v>
      </c>
      <c r="E29" s="31" t="s">
        <v>402</v>
      </c>
      <c r="F29" s="10" t="s">
        <v>365</v>
      </c>
      <c r="G29" s="32" t="s">
        <v>360</v>
      </c>
    </row>
    <row r="30" spans="1:7" x14ac:dyDescent="0.25">
      <c r="A30" s="10" t="s">
        <v>403</v>
      </c>
      <c r="B30" s="30">
        <v>20584000</v>
      </c>
      <c r="C30" s="30">
        <v>21807000</v>
      </c>
      <c r="D30" s="30">
        <v>-1223000</v>
      </c>
      <c r="E30" s="31" t="s">
        <v>404</v>
      </c>
      <c r="F30" s="10" t="s">
        <v>6</v>
      </c>
      <c r="G30" s="32" t="s">
        <v>360</v>
      </c>
    </row>
    <row r="31" spans="1:7" x14ac:dyDescent="0.25">
      <c r="A31" s="10" t="s">
        <v>405</v>
      </c>
      <c r="B31" s="30">
        <v>5000000</v>
      </c>
      <c r="C31" s="30">
        <v>5000000</v>
      </c>
      <c r="D31" s="30">
        <v>0</v>
      </c>
      <c r="E31" s="31" t="s">
        <v>359</v>
      </c>
      <c r="F31" s="10" t="s">
        <v>6</v>
      </c>
      <c r="G31" s="32" t="s">
        <v>360</v>
      </c>
    </row>
    <row r="32" spans="1:7" x14ac:dyDescent="0.25">
      <c r="A32" s="10" t="s">
        <v>406</v>
      </c>
      <c r="B32" s="30">
        <v>31836157</v>
      </c>
      <c r="C32" s="30">
        <v>31836157</v>
      </c>
      <c r="D32" s="30">
        <v>0</v>
      </c>
      <c r="E32" s="31" t="s">
        <v>359</v>
      </c>
      <c r="F32" s="10" t="s">
        <v>6</v>
      </c>
      <c r="G32" s="32" t="s">
        <v>360</v>
      </c>
    </row>
    <row r="33" spans="1:7" x14ac:dyDescent="0.25">
      <c r="A33" s="10" t="s">
        <v>407</v>
      </c>
      <c r="B33" s="34">
        <v>-10028025</v>
      </c>
      <c r="C33" s="30">
        <v>-10028025</v>
      </c>
      <c r="D33" s="30">
        <v>0</v>
      </c>
      <c r="E33" s="31" t="s">
        <v>359</v>
      </c>
      <c r="F33" s="10" t="s">
        <v>30</v>
      </c>
      <c r="G33" s="32" t="s">
        <v>360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44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  <col min="15" max="15" width="14" customWidth="1"/>
  </cols>
  <sheetData>
    <row r="1" spans="1:15" x14ac:dyDescent="0.25">
      <c r="A1" s="35" t="s">
        <v>408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3" ht="22" customHeight="1" spans="1:15" x14ac:dyDescent="0.25">
      <c r="A3" s="5" t="s">
        <v>351</v>
      </c>
      <c r="B3" s="5" t="s">
        <v>409</v>
      </c>
      <c r="C3" s="5" t="s">
        <v>410</v>
      </c>
      <c r="D3" s="5" t="s">
        <v>411</v>
      </c>
      <c r="E3" s="5" t="s">
        <v>412</v>
      </c>
      <c r="F3" s="5" t="s">
        <v>413</v>
      </c>
      <c r="G3" s="5" t="s">
        <v>414</v>
      </c>
      <c r="H3" s="5" t="s">
        <v>415</v>
      </c>
      <c r="I3" s="5" t="s">
        <v>416</v>
      </c>
      <c r="J3" s="5" t="s">
        <v>417</v>
      </c>
      <c r="K3" s="5" t="s">
        <v>418</v>
      </c>
      <c r="L3" s="5" t="s">
        <v>419</v>
      </c>
      <c r="M3" s="36" t="s">
        <v>420</v>
      </c>
      <c r="N3" s="5" t="s">
        <v>421</v>
      </c>
      <c r="O3" s="5" t="s">
        <v>357</v>
      </c>
    </row>
    <row r="4" spans="1:15" x14ac:dyDescent="0.25">
      <c r="A4" s="10" t="s">
        <v>422</v>
      </c>
      <c r="B4" s="30">
        <v>9280332</v>
      </c>
      <c r="C4" s="30">
        <v>10017332</v>
      </c>
      <c r="D4" s="30">
        <v>7047332</v>
      </c>
      <c r="E4" s="30">
        <v>7047332</v>
      </c>
      <c r="F4" s="30">
        <v>7047332</v>
      </c>
      <c r="G4" s="30">
        <v>7047332</v>
      </c>
      <c r="H4" s="30">
        <v>7047332</v>
      </c>
      <c r="I4" s="30">
        <v>7047332</v>
      </c>
      <c r="J4" s="30">
        <v>7047332</v>
      </c>
      <c r="K4" s="30">
        <v>7047332</v>
      </c>
      <c r="L4" s="30">
        <v>6798000</v>
      </c>
      <c r="M4" s="37">
        <v>6798000</v>
      </c>
      <c r="N4" s="38">
        <f>SUM(B4:M4)</f>
        <v>89272320</v>
      </c>
      <c r="O4" s="39"/>
    </row>
    <row r="5" spans="1:15" x14ac:dyDescent="0.25">
      <c r="A5" s="10" t="s">
        <v>423</v>
      </c>
      <c r="B5" s="40">
        <v>0</v>
      </c>
      <c r="C5" s="40">
        <v>0</v>
      </c>
      <c r="D5" s="40">
        <v>0</v>
      </c>
      <c r="E5" s="40">
        <v>0</v>
      </c>
      <c r="F5" s="40">
        <v>0</v>
      </c>
      <c r="G5" s="40">
        <v>0</v>
      </c>
      <c r="H5" s="40">
        <v>0</v>
      </c>
      <c r="I5" s="40">
        <v>0</v>
      </c>
      <c r="J5" s="40">
        <v>0</v>
      </c>
      <c r="K5" s="40">
        <v>0</v>
      </c>
      <c r="L5" s="40">
        <v>0</v>
      </c>
      <c r="M5" s="41">
        <v>0</v>
      </c>
      <c r="N5" s="38">
        <f>SUM(B5:M5)</f>
        <v>0</v>
      </c>
      <c r="O5" s="39"/>
    </row>
    <row r="6" spans="1:15" x14ac:dyDescent="0.25">
      <c r="A6" s="42" t="s">
        <v>424</v>
      </c>
      <c r="B6" s="43">
        <v>9280332</v>
      </c>
      <c r="C6" s="43">
        <v>10017332</v>
      </c>
      <c r="D6" s="43">
        <v>7047332</v>
      </c>
      <c r="E6" s="43">
        <v>7047332</v>
      </c>
      <c r="F6" s="43">
        <v>7047332</v>
      </c>
      <c r="G6" s="43">
        <v>7047332</v>
      </c>
      <c r="H6" s="43">
        <v>7047332</v>
      </c>
      <c r="I6" s="43">
        <v>7047332</v>
      </c>
      <c r="J6" s="43">
        <v>7047332</v>
      </c>
      <c r="K6" s="43">
        <v>7047332</v>
      </c>
      <c r="L6" s="43">
        <v>6798000</v>
      </c>
      <c r="M6" s="43">
        <v>6798000</v>
      </c>
      <c r="N6" s="43">
        <f>SUM(B6:M6)</f>
        <v>89272320</v>
      </c>
      <c r="O6" s="44"/>
    </row>
    <row r="7" spans="1:15" x14ac:dyDescent="0.25">
      <c r="A7" s="10" t="s">
        <v>425</v>
      </c>
      <c r="B7" s="30">
        <f>HYPERLINK("https://secure.freee.co.jp/reports/general_ledgers/show?name=%E5%BD%B9%E5%93%A1%E5%A0%B1%E9%85%AC&amp;start_date=2025-03-01&amp;end_date=2025-03-31&amp;fiscal_year_id=9701717",1050000)</f>
        <v>1050000</v>
      </c>
      <c r="C7" s="30">
        <f>HYPERLINK("https://secure.freee.co.jp/reports/general_ledgers/show?name=%E5%BD%B9%E5%93%A1%E5%A0%B1%E9%85%AC&amp;start_date=2025-04-01&amp;end_date=2025-04-30&amp;fiscal_year_id=9701717",1050000)</f>
        <v>1050000</v>
      </c>
      <c r="D7" s="30">
        <f>HYPERLINK("https://secure.freee.co.jp/reports/general_ledgers/show?name=%E5%BD%B9%E5%93%A1%E5%A0%B1%E9%85%AC&amp;start_date=2025-05-01&amp;end_date=2025-05-31&amp;fiscal_year_id=9701717",1050000)</f>
        <v>1050000</v>
      </c>
      <c r="E7" s="30">
        <f>HYPERLINK("https://secure.freee.co.jp/reports/general_ledgers/show?name=%E5%BD%B9%E5%93%A1%E5%A0%B1%E9%85%AC&amp;start_date=2025-06-01&amp;end_date=2025-06-30&amp;fiscal_year_id=9701717",1050000)</f>
        <v>1050000</v>
      </c>
      <c r="F7" s="30">
        <f>HYPERLINK("https://secure.freee.co.jp/reports/general_ledgers/show?name=%E5%BD%B9%E5%93%A1%E5%A0%B1%E9%85%AC&amp;start_date=2025-07-01&amp;end_date=2025-07-31&amp;fiscal_year_id=9701717",1050000)</f>
        <v>1050000</v>
      </c>
      <c r="G7" s="30">
        <f>HYPERLINK("https://secure.freee.co.jp/reports/general_ledgers/show?name=%E5%BD%B9%E5%93%A1%E5%A0%B1%E9%85%AC&amp;start_date=2025-08-01&amp;end_date=2025-08-31&amp;fiscal_year_id=9701717",1050000)</f>
        <v>1050000</v>
      </c>
      <c r="H7" s="30">
        <f>HYPERLINK("https://secure.freee.co.jp/reports/general_ledgers/show?name=%E5%BD%B9%E5%93%A1%E5%A0%B1%E9%85%AC&amp;start_date=2025-09-01&amp;end_date=2025-09-30&amp;fiscal_year_id=9701717",1050000)</f>
        <v>1050000</v>
      </c>
      <c r="I7" s="30">
        <f>HYPERLINK("https://secure.freee.co.jp/reports/general_ledgers/show?name=%E5%BD%B9%E5%93%A1%E5%A0%B1%E9%85%AC&amp;start_date=2025-10-01&amp;end_date=2025-10-31&amp;fiscal_year_id=9701717",1050000)</f>
        <v>1050000</v>
      </c>
      <c r="J7" s="30">
        <f>HYPERLINK("https://secure.freee.co.jp/reports/general_ledgers/show?name=%E5%BD%B9%E5%93%A1%E5%A0%B1%E9%85%AC&amp;start_date=2025-11-01&amp;end_date=2025-11-30&amp;fiscal_year_id=9701717",1050000)</f>
        <v>1050000</v>
      </c>
      <c r="K7" s="30">
        <f>HYPERLINK("https://secure.freee.co.jp/reports/general_ledgers/show?name=%E5%BD%B9%E5%93%A1%E5%A0%B1%E9%85%AC&amp;start_date=2025-12-01&amp;end_date=2025-12-31&amp;fiscal_year_id=9701717",1050000)</f>
        <v>1050000</v>
      </c>
      <c r="L7" s="30">
        <f>HYPERLINK("https://secure.freee.co.jp/reports/general_ledgers/show?name=%E5%BD%B9%E5%93%A1%E5%A0%B1%E9%85%AC&amp;start_date=2026-01-01&amp;end_date=2026-01-31&amp;fiscal_year_id=9701717",1050000)</f>
        <v>1050000</v>
      </c>
      <c r="M7" s="37">
        <f>HYPERLINK("https://secure.freee.co.jp/reports/general_ledgers/show?name=%E5%BD%B9%E5%93%A1%E5%A0%B1%E9%85%AC&amp;start_date=2026-02-01&amp;end_date=2026-02-28&amp;fiscal_year_id=9701717",1050000)</f>
        <v>1050000</v>
      </c>
      <c r="N7" s="38">
        <f>SUM(B7:M7)</f>
        <v>12600000</v>
      </c>
      <c r="O7" s="32" t="s">
        <v>357</v>
      </c>
    </row>
    <row r="8" spans="1:15" x14ac:dyDescent="0.25">
      <c r="A8" s="10" t="s">
        <v>426</v>
      </c>
      <c r="B8" s="30">
        <f>HYPERLINK("https://secure.freee.co.jp/reports/general_ledgers/show?name=%E7%B5%A6%E6%96%99%E6%89%8B%E5%BD%93&amp;start_date=2025-03-01&amp;end_date=2025-03-31&amp;fiscal_year_id=9701717",289000)</f>
        <v>289000</v>
      </c>
      <c r="C8" s="30">
        <f>HYPERLINK("https://secure.freee.co.jp/reports/general_ledgers/show?name=%E7%B5%A6%E6%96%99%E6%89%8B%E5%BD%93&amp;start_date=2025-04-01&amp;end_date=2025-04-30&amp;fiscal_year_id=9701717",289000)</f>
        <v>289000</v>
      </c>
      <c r="D8" s="30">
        <f>HYPERLINK("https://secure.freee.co.jp/reports/general_ledgers/show?name=%E7%B5%A6%E6%96%99%E6%89%8B%E5%BD%93&amp;start_date=2025-05-01&amp;end_date=2025-05-31&amp;fiscal_year_id=9701717",289000)</f>
        <v>289000</v>
      </c>
      <c r="E8" s="30">
        <f>HYPERLINK("https://secure.freee.co.jp/reports/general_ledgers/show?name=%E7%B5%A6%E6%96%99%E6%89%8B%E5%BD%93&amp;start_date=2025-06-01&amp;end_date=2025-06-30&amp;fiscal_year_id=9701717",289000)</f>
        <v>289000</v>
      </c>
      <c r="F8" s="30">
        <f>HYPERLINK("https://secure.freee.co.jp/reports/general_ledgers/show?name=%E7%B5%A6%E6%96%99%E6%89%8B%E5%BD%93&amp;start_date=2025-07-01&amp;end_date=2025-07-31&amp;fiscal_year_id=9701717",289000)</f>
        <v>289000</v>
      </c>
      <c r="G8" s="30">
        <f>HYPERLINK("https://secure.freee.co.jp/reports/general_ledgers/show?name=%E7%B5%A6%E6%96%99%E6%89%8B%E5%BD%93&amp;start_date=2025-08-01&amp;end_date=2025-08-31&amp;fiscal_year_id=9701717",309000)</f>
        <v>309000</v>
      </c>
      <c r="H8" s="30">
        <f>HYPERLINK("https://secure.freee.co.jp/reports/general_ledgers/show?name=%E7%B5%A6%E6%96%99%E6%89%8B%E5%BD%93&amp;start_date=2025-09-01&amp;end_date=2025-09-30&amp;fiscal_year_id=9701717",309000)</f>
        <v>309000</v>
      </c>
      <c r="I8" s="30">
        <f>HYPERLINK("https://secure.freee.co.jp/reports/general_ledgers/show?name=%E7%B5%A6%E6%96%99%E6%89%8B%E5%BD%93&amp;start_date=2025-10-01&amp;end_date=2025-10-31&amp;fiscal_year_id=9701717",309000)</f>
        <v>309000</v>
      </c>
      <c r="J8" s="30">
        <f>HYPERLINK("https://secure.freee.co.jp/reports/general_ledgers/show?name=%E7%B5%A6%E6%96%99%E6%89%8B%E5%BD%93&amp;start_date=2025-11-01&amp;end_date=2025-11-30&amp;fiscal_year_id=9701717",309000)</f>
        <v>309000</v>
      </c>
      <c r="K8" s="30">
        <f>HYPERLINK("https://secure.freee.co.jp/reports/general_ledgers/show?name=%E7%B5%A6%E6%96%99%E6%89%8B%E5%BD%93&amp;start_date=2025-12-01&amp;end_date=2025-12-31&amp;fiscal_year_id=9701717",309000)</f>
        <v>309000</v>
      </c>
      <c r="L8" s="30">
        <f>HYPERLINK("https://secure.freee.co.jp/reports/general_ledgers/show?name=%E7%B5%A6%E6%96%99%E6%89%8B%E5%BD%93&amp;start_date=2026-01-01&amp;end_date=2026-01-31&amp;fiscal_year_id=9701717",309000)</f>
        <v>309000</v>
      </c>
      <c r="M8" s="37">
        <f>HYPERLINK("https://secure.freee.co.jp/reports/general_ledgers/show?name=%E7%B5%A6%E6%96%99%E6%89%8B%E5%BD%93&amp;start_date=2026-02-01&amp;end_date=2026-02-28&amp;fiscal_year_id=9701717",309000)</f>
        <v>309000</v>
      </c>
      <c r="N8" s="38">
        <f>SUM(B8:M8)</f>
        <v>3608000</v>
      </c>
      <c r="O8" s="32" t="s">
        <v>357</v>
      </c>
    </row>
    <row r="9" spans="1:15" x14ac:dyDescent="0.25">
      <c r="A9" s="10" t="s">
        <v>427</v>
      </c>
      <c r="B9" s="40">
        <v>0</v>
      </c>
      <c r="C9" s="40">
        <v>0</v>
      </c>
      <c r="D9" s="40">
        <v>0</v>
      </c>
      <c r="E9" s="40">
        <v>0</v>
      </c>
      <c r="F9" s="40">
        <v>0</v>
      </c>
      <c r="G9" s="30">
        <f>HYPERLINK("https://secure.freee.co.jp/reports/general_ledgers/show?name=%E8%B3%9E%E4%B8%8E&amp;start_date=2025-08-01&amp;end_date=2025-08-31&amp;fiscal_year_id=9701717",400000)</f>
        <v>400000</v>
      </c>
      <c r="H9" s="45">
        <v>0</v>
      </c>
      <c r="I9" s="40">
        <v>0</v>
      </c>
      <c r="J9" s="40">
        <v>0</v>
      </c>
      <c r="K9" s="40">
        <v>0</v>
      </c>
      <c r="L9" s="40">
        <v>0</v>
      </c>
      <c r="M9" s="37">
        <f>HYPERLINK("https://secure.freee.co.jp/reports/general_ledgers/show?name=%E8%B3%9E%E4%B8%8E&amp;start_date=2026-02-01&amp;end_date=2026-02-28&amp;fiscal_year_id=9701717",400000)</f>
        <v>400000</v>
      </c>
      <c r="N9" s="38">
        <f>SUM(B9:M9)</f>
        <v>800000</v>
      </c>
      <c r="O9" s="32" t="s">
        <v>357</v>
      </c>
    </row>
    <row r="10" spans="1:15" x14ac:dyDescent="0.25">
      <c r="A10" s="10" t="s">
        <v>428</v>
      </c>
      <c r="B10" s="30">
        <f>HYPERLINK("https://secure.freee.co.jp/reports/general_ledgers/show?name=%E6%B3%95%E5%AE%9A%E7%A6%8F%E5%88%A9%E8%B2%BB&amp;start_date=2025-03-01&amp;end_date=2025-03-31&amp;fiscal_year_id=9701717",161232)</f>
        <v>161232</v>
      </c>
      <c r="C10" s="30">
        <f>HYPERLINK("https://secure.freee.co.jp/reports/general_ledgers/show?name=%E6%B3%95%E5%AE%9A%E7%A6%8F%E5%88%A9%E8%B2%BB&amp;start_date=2025-04-01&amp;end_date=2025-04-30&amp;fiscal_year_id=9701717",160716)</f>
        <v>160716</v>
      </c>
      <c r="D10" s="30">
        <f>HYPERLINK("https://secure.freee.co.jp/reports/general_ledgers/show?name=%E6%B3%95%E5%AE%9A%E7%A6%8F%E5%88%A9%E8%B2%BB&amp;start_date=2025-05-01&amp;end_date=2025-05-31&amp;fiscal_year_id=9701717",160716)</f>
        <v>160716</v>
      </c>
      <c r="E10" s="30">
        <f>HYPERLINK("https://secure.freee.co.jp/reports/general_ledgers/show?name=%E6%B3%95%E5%AE%9A%E7%A6%8F%E5%88%A9%E8%B2%BB&amp;start_date=2025-06-01&amp;end_date=2025-06-30&amp;fiscal_year_id=9701717",160716)</f>
        <v>160716</v>
      </c>
      <c r="F10" s="30">
        <f>HYPERLINK("https://secure.freee.co.jp/reports/general_ledgers/show?name=%E6%B3%95%E5%AE%9A%E7%A6%8F%E5%88%A9%E8%B2%BB&amp;start_date=2025-07-01&amp;end_date=2025-07-31&amp;fiscal_year_id=9701717",160716)</f>
        <v>160716</v>
      </c>
      <c r="G10" s="30">
        <f>HYPERLINK("https://secure.freee.co.jp/reports/general_ledgers/show?name=%E6%B3%95%E5%AE%9A%E7%A6%8F%E5%88%A9%E8%B2%BB&amp;start_date=2025-08-01&amp;end_date=2025-08-31&amp;fiscal_year_id=9701717",221756)</f>
        <v>221756</v>
      </c>
      <c r="H10" s="30">
        <f>HYPERLINK("https://secure.freee.co.jp/reports/general_ledgers/show?name=%E6%B3%95%E5%AE%9A%E7%A6%8F%E5%88%A9%E8%B2%BB&amp;start_date=2025-09-01&amp;end_date=2025-09-30&amp;fiscal_year_id=9701717",160716)</f>
        <v>160716</v>
      </c>
      <c r="I10" s="30">
        <f>HYPERLINK("https://secure.freee.co.jp/reports/general_ledgers/show?name=%E6%B3%95%E5%AE%9A%E7%A6%8F%E5%88%A9%E8%B2%BB&amp;start_date=2025-10-01&amp;end_date=2025-10-31&amp;fiscal_year_id=9701717",167218)</f>
        <v>167218</v>
      </c>
      <c r="J10" s="30">
        <f>HYPERLINK("https://secure.freee.co.jp/reports/general_ledgers/show?name=%E6%B3%95%E5%AE%9A%E7%A6%8F%E5%88%A9%E8%B2%BB&amp;start_date=2025-11-01&amp;end_date=2025-11-30&amp;fiscal_year_id=9701717",167218)</f>
        <v>167218</v>
      </c>
      <c r="K10" s="30">
        <f>HYPERLINK("https://secure.freee.co.jp/reports/general_ledgers/show?name=%E6%B3%95%E5%AE%9A%E7%A6%8F%E5%88%A9%E8%B2%BB&amp;start_date=2025-12-01&amp;end_date=2025-12-31&amp;fiscal_year_id=9701717",167218)</f>
        <v>167218</v>
      </c>
      <c r="L10" s="30">
        <f>HYPERLINK("https://secure.freee.co.jp/reports/general_ledgers/show?name=%E6%B3%95%E5%AE%9A%E7%A6%8F%E5%88%A9%E8%B2%BB&amp;start_date=2026-01-01&amp;end_date=2026-01-31&amp;fiscal_year_id=9701717",167218)</f>
        <v>167218</v>
      </c>
      <c r="M10" s="37">
        <f>HYPERLINK("https://secure.freee.co.jp/reports/general_ledgers/show?name=%E6%B3%95%E5%AE%9A%E7%A6%8F%E5%88%A9%E8%B2%BB&amp;start_date=2026-02-01&amp;end_date=2026-02-28&amp;fiscal_year_id=9701717",228258)</f>
        <v>228258</v>
      </c>
      <c r="N10" s="38">
        <f>SUM(B10:M10)</f>
        <v>2083698</v>
      </c>
      <c r="O10" s="32" t="s">
        <v>357</v>
      </c>
    </row>
    <row r="11" spans="1:15" x14ac:dyDescent="0.25">
      <c r="A11" s="10" t="s">
        <v>429</v>
      </c>
      <c r="B11" s="30">
        <f>HYPERLINK("https://secure.freee.co.jp/reports/general_ledgers/show?name=%E7%A6%8F%E5%88%A9%E5%8E%9A%E7%94%9F%E8%B2%BB&amp;start_date=2025-03-01&amp;end_date=2025-03-31&amp;fiscal_year_id=9701717",15000)</f>
        <v>15000</v>
      </c>
      <c r="C11" s="33">
        <f>HYPERLINK("https://secure.freee.co.jp/reports/general_ledgers/show?name=%E7%A6%8F%E5%88%A9%E5%8E%9A%E7%94%9F%E8%B2%BB&amp;start_date=2025-04-01&amp;end_date=2025-04-30&amp;fiscal_year_id=9701717",2077)</f>
        <v>2077</v>
      </c>
      <c r="D11" s="45">
        <v>0</v>
      </c>
      <c r="E11" s="40">
        <v>0</v>
      </c>
      <c r="F11" s="40">
        <v>0</v>
      </c>
      <c r="G11" s="40">
        <v>0</v>
      </c>
      <c r="H11" s="40">
        <v>0</v>
      </c>
      <c r="I11" s="30">
        <f>HYPERLINK("https://secure.freee.co.jp/reports/general_ledgers/show?name=%E7%A6%8F%E5%88%A9%E5%8E%9A%E7%94%9F%E8%B2%BB&amp;start_date=2025-10-01&amp;end_date=2025-10-31&amp;fiscal_year_id=9701717",17600)</f>
        <v>17600</v>
      </c>
      <c r="J11" s="33">
        <f>HYPERLINK("https://secure.freee.co.jp/reports/general_ledgers/show?name=%E7%A6%8F%E5%88%A9%E5%8E%9A%E7%94%9F%E8%B2%BB&amp;start_date=2025-11-01&amp;end_date=2025-11-30&amp;fiscal_year_id=9701717",3930)</f>
        <v>3930</v>
      </c>
      <c r="K11" s="45">
        <v>0</v>
      </c>
      <c r="L11" s="40">
        <v>0</v>
      </c>
      <c r="M11" s="41">
        <v>0</v>
      </c>
      <c r="N11" s="38">
        <f>SUM(B11:M11)</f>
        <v>38607</v>
      </c>
      <c r="O11" s="32" t="s">
        <v>357</v>
      </c>
    </row>
    <row r="12" spans="1:15" x14ac:dyDescent="0.25">
      <c r="A12" s="10" t="s">
        <v>430</v>
      </c>
      <c r="B12" s="40">
        <v>0</v>
      </c>
      <c r="C12" s="30">
        <f>HYPERLINK("https://secure.freee.co.jp/reports/general_ledgers/show?name=%E5%A4%96%E6%B3%A8%E8%B2%BB&amp;start_date=2025-04-01&amp;end_date=2025-04-30&amp;fiscal_year_id=9701717",5876330)</f>
        <v>5876330</v>
      </c>
      <c r="D12" s="30">
        <f>HYPERLINK("https://secure.freee.co.jp/reports/general_ledgers/show?name=%E5%A4%96%E6%B3%A8%E8%B2%BB&amp;start_date=2025-05-01&amp;end_date=2025-05-31&amp;fiscal_year_id=9701717",3872580)</f>
        <v>3872580</v>
      </c>
      <c r="E12" s="30">
        <f>HYPERLINK("https://secure.freee.co.jp/reports/general_ledgers/show?name=%E5%A4%96%E6%B3%A8%E8%B2%BB&amp;start_date=2025-06-01&amp;end_date=2025-06-30&amp;fiscal_year_id=9701717",3896580)</f>
        <v>3896580</v>
      </c>
      <c r="F12" s="33">
        <f>HYPERLINK("https://secure.freee.co.jp/reports/general_ledgers/show?name=%E5%A4%96%E6%B3%A8%E8%B2%BB&amp;start_date=2025-07-01&amp;end_date=2025-07-31&amp;fiscal_year_id=9701717",7157330)</f>
        <v>7157330</v>
      </c>
      <c r="G12" s="30">
        <f>HYPERLINK("https://secure.freee.co.jp/reports/general_ledgers/show?name=%E5%A4%96%E6%B3%A8%E8%B2%BB&amp;start_date=2025-08-01&amp;end_date=2025-08-31&amp;fiscal_year_id=9701717",3883080)</f>
        <v>3883080</v>
      </c>
      <c r="H12" s="30">
        <f>HYPERLINK("https://secure.freee.co.jp/reports/general_ledgers/show?name=%E5%A4%96%E6%B3%A8%E8%B2%BB&amp;start_date=2025-09-01&amp;end_date=2025-09-30&amp;fiscal_year_id=9701717",3897830)</f>
        <v>3897830</v>
      </c>
      <c r="I12" s="30">
        <f>HYPERLINK("https://secure.freee.co.jp/reports/general_ledgers/show?name=%E5%A4%96%E6%B3%A8%E8%B2%BB&amp;start_date=2025-10-01&amp;end_date=2025-10-31&amp;fiscal_year_id=9701717",3869330)</f>
        <v>3869330</v>
      </c>
      <c r="J12" s="30">
        <f>HYPERLINK("https://secure.freee.co.jp/reports/general_ledgers/show?name=%E5%A4%96%E6%B3%A8%E8%B2%BB&amp;start_date=2025-11-01&amp;end_date=2025-11-30&amp;fiscal_year_id=9701717",3890080)</f>
        <v>3890080</v>
      </c>
      <c r="K12" s="30">
        <f>HYPERLINK("https://secure.freee.co.jp/reports/general_ledgers/show?name=%E5%A4%96%E6%B3%A8%E8%B2%BB&amp;start_date=2025-12-01&amp;end_date=2025-12-31&amp;fiscal_year_id=9701717",3887080)</f>
        <v>3887080</v>
      </c>
      <c r="L12" s="30">
        <f>HYPERLINK("https://secure.freee.co.jp/reports/general_ledgers/show?name=%E5%A4%96%E6%B3%A8%E8%B2%BB&amp;start_date=2026-01-01&amp;end_date=2026-01-31&amp;fiscal_year_id=9701717",3901830)</f>
        <v>3901830</v>
      </c>
      <c r="M12" s="33">
        <f>HYPERLINK("https://secure.freee.co.jp/reports/general_ledgers/show?name=%E5%A4%96%E6%B3%A8%E8%B2%BB&amp;start_date=2026-02-01&amp;end_date=2026-02-28&amp;fiscal_year_id=9701717",7778160)</f>
        <v>7778160</v>
      </c>
      <c r="N12" s="38">
        <f>SUM(B12:M12)</f>
        <v>51910210</v>
      </c>
      <c r="O12" s="32" t="s">
        <v>357</v>
      </c>
    </row>
    <row r="13" spans="1:15" x14ac:dyDescent="0.25">
      <c r="A13" s="10" t="s">
        <v>431</v>
      </c>
      <c r="B13" s="40">
        <v>0</v>
      </c>
      <c r="C13" s="40">
        <v>0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30">
        <f>HYPERLINK("https://secure.freee.co.jp/reports/general_ledgers/show?name=%E5%BA%83%E5%91%8A%E5%AE%A3%E4%BC%9D%E8%B2%BB&amp;start_date=2025-10-01&amp;end_date=2025-10-31&amp;fiscal_year_id=9701717",50000)</f>
        <v>50000</v>
      </c>
      <c r="J13" s="45">
        <v>0</v>
      </c>
      <c r="K13" s="40">
        <v>0</v>
      </c>
      <c r="L13" s="40">
        <v>0</v>
      </c>
      <c r="M13" s="41">
        <v>0</v>
      </c>
      <c r="N13" s="38">
        <f>SUM(B13:M13)</f>
        <v>50000</v>
      </c>
      <c r="O13" s="32" t="s">
        <v>357</v>
      </c>
    </row>
    <row r="14" spans="1:15" x14ac:dyDescent="0.25">
      <c r="A14" s="10" t="s">
        <v>432</v>
      </c>
      <c r="B14" s="30">
        <f>HYPERLINK("https://secure.freee.co.jp/reports/general_ledgers/show?name=%E4%BA%A4%E9%9A%9B%E8%B2%BB&amp;start_date=2025-03-01&amp;end_date=2025-03-31&amp;fiscal_year_id=9701717",141825)</f>
        <v>141825</v>
      </c>
      <c r="C14" s="33">
        <f>HYPERLINK("https://secure.freee.co.jp/reports/general_ledgers/show?name=%E4%BA%A4%E9%9A%9B%E8%B2%BB&amp;start_date=2025-04-01&amp;end_date=2025-04-30&amp;fiscal_year_id=9701717",68840)</f>
        <v>68840</v>
      </c>
      <c r="D14" s="30">
        <f>HYPERLINK("https://secure.freee.co.jp/reports/general_ledgers/show?name=%E4%BA%A4%E9%9A%9B%E8%B2%BB&amp;start_date=2025-05-01&amp;end_date=2025-05-31&amp;fiscal_year_id=9701717",58322)</f>
        <v>58322</v>
      </c>
      <c r="E14" s="30">
        <f>HYPERLINK("https://secure.freee.co.jp/reports/general_ledgers/show?name=%E4%BA%A4%E9%9A%9B%E8%B2%BB&amp;start_date=2025-06-01&amp;end_date=2025-06-30&amp;fiscal_year_id=9701717",36003)</f>
        <v>36003</v>
      </c>
      <c r="F14" s="33">
        <f>HYPERLINK("https://secure.freee.co.jp/reports/general_ledgers/show?name=%E4%BA%A4%E9%9A%9B%E8%B2%BB&amp;start_date=2025-07-01&amp;end_date=2025-07-31&amp;fiscal_year_id=9701717",11631)</f>
        <v>11631</v>
      </c>
      <c r="G14" s="33">
        <f>HYPERLINK("https://secure.freee.co.jp/reports/general_ledgers/show?name=%E4%BA%A4%E9%9A%9B%E8%B2%BB&amp;start_date=2025-08-01&amp;end_date=2025-08-31&amp;fiscal_year_id=9701717",47898)</f>
        <v>47898</v>
      </c>
      <c r="H14" s="33">
        <f>HYPERLINK("https://secure.freee.co.jp/reports/general_ledgers/show?name=%E4%BA%A4%E9%9A%9B%E8%B2%BB&amp;start_date=2025-09-01&amp;end_date=2025-09-30&amp;fiscal_year_id=9701717",96148)</f>
        <v>96148</v>
      </c>
      <c r="I14" s="33">
        <f>HYPERLINK("https://secure.freee.co.jp/reports/general_ledgers/show?name=%E4%BA%A4%E9%9A%9B%E8%B2%BB&amp;start_date=2025-10-01&amp;end_date=2025-10-31&amp;fiscal_year_id=9701717",26960)</f>
        <v>26960</v>
      </c>
      <c r="J14" s="30">
        <f>HYPERLINK("https://secure.freee.co.jp/reports/general_ledgers/show?name=%E4%BA%A4%E9%9A%9B%E8%B2%BB&amp;start_date=2025-11-01&amp;end_date=2025-11-30&amp;fiscal_year_id=9701717",25113)</f>
        <v>25113</v>
      </c>
      <c r="K14" s="33">
        <f>HYPERLINK("https://secure.freee.co.jp/reports/general_ledgers/show?name=%E4%BA%A4%E9%9A%9B%E8%B2%BB&amp;start_date=2025-12-01&amp;end_date=2025-12-31&amp;fiscal_year_id=9701717",106128)</f>
        <v>106128</v>
      </c>
      <c r="L14" s="33">
        <f>HYPERLINK("https://secure.freee.co.jp/reports/general_ledgers/show?name=%E4%BA%A4%E9%9A%9B%E8%B2%BB&amp;start_date=2026-01-01&amp;end_date=2026-01-31&amp;fiscal_year_id=9701717",41854)</f>
        <v>41854</v>
      </c>
      <c r="M14" s="33">
        <f>HYPERLINK("https://secure.freee.co.jp/reports/general_ledgers/show?name=%E4%BA%A4%E9%9A%9B%E8%B2%BB&amp;start_date=2026-02-01&amp;end_date=2026-02-28&amp;fiscal_year_id=9701717",142805)</f>
        <v>142805</v>
      </c>
      <c r="N14" s="38">
        <f>SUM(B14:M14)</f>
        <v>803527</v>
      </c>
      <c r="O14" s="32" t="s">
        <v>357</v>
      </c>
    </row>
    <row r="15" spans="1:15" x14ac:dyDescent="0.25">
      <c r="A15" s="10" t="s">
        <v>433</v>
      </c>
      <c r="B15" s="30">
        <f>HYPERLINK("https://secure.freee.co.jp/reports/general_ledgers/show?name=%E4%BC%9A%E8%AD%B0%E8%B2%BB&amp;start_date=2025-03-01&amp;end_date=2025-03-31&amp;fiscal_year_id=9701717",3750)</f>
        <v>3750</v>
      </c>
      <c r="C15" s="33">
        <f>HYPERLINK("https://secure.freee.co.jp/reports/general_ledgers/show?name=%E4%BC%9A%E8%AD%B0%E8%B2%BB&amp;start_date=2025-04-01&amp;end_date=2025-04-30&amp;fiscal_year_id=9701717",20932)</f>
        <v>20932</v>
      </c>
      <c r="D15" s="30">
        <f>HYPERLINK("https://secure.freee.co.jp/reports/general_ledgers/show?name=%E4%BC%9A%E8%AD%B0%E8%B2%BB&amp;start_date=2025-05-01&amp;end_date=2025-05-31&amp;fiscal_year_id=9701717",13259)</f>
        <v>13259</v>
      </c>
      <c r="E15" s="30">
        <f>HYPERLINK("https://secure.freee.co.jp/reports/general_ledgers/show?name=%E4%BC%9A%E8%AD%B0%E8%B2%BB&amp;start_date=2025-06-01&amp;end_date=2025-06-30&amp;fiscal_year_id=9701717",14360)</f>
        <v>14360</v>
      </c>
      <c r="F15" s="30">
        <f>HYPERLINK("https://secure.freee.co.jp/reports/general_ledgers/show?name=%E4%BC%9A%E8%AD%B0%E8%B2%BB&amp;start_date=2025-07-01&amp;end_date=2025-07-31&amp;fiscal_year_id=9701717",14550)</f>
        <v>14550</v>
      </c>
      <c r="G15" s="33">
        <f>HYPERLINK("https://secure.freee.co.jp/reports/general_ledgers/show?name=%E4%BC%9A%E8%AD%B0%E8%B2%BB&amp;start_date=2025-08-01&amp;end_date=2025-08-31&amp;fiscal_year_id=9701717",27520)</f>
        <v>27520</v>
      </c>
      <c r="H15" s="45">
        <v>0</v>
      </c>
      <c r="I15" s="30">
        <f>HYPERLINK("https://secure.freee.co.jp/reports/general_ledgers/show?name=%E4%BC%9A%E8%AD%B0%E8%B2%BB&amp;start_date=2025-10-01&amp;end_date=2025-10-31&amp;fiscal_year_id=9701717",6948)</f>
        <v>6948</v>
      </c>
      <c r="J15" s="30">
        <f>HYPERLINK("https://secure.freee.co.jp/reports/general_ledgers/show?name=%E4%BC%9A%E8%AD%B0%E8%B2%BB&amp;start_date=2025-11-01&amp;end_date=2025-11-30&amp;fiscal_year_id=9701717",10374)</f>
        <v>10374</v>
      </c>
      <c r="K15" s="33">
        <f>HYPERLINK("https://secure.freee.co.jp/reports/general_ledgers/show?name=%E4%BC%9A%E8%AD%B0%E8%B2%BB&amp;start_date=2025-12-01&amp;end_date=2025-12-31&amp;fiscal_year_id=9701717",4741)</f>
        <v>4741</v>
      </c>
      <c r="L15" s="33">
        <f>HYPERLINK("https://secure.freee.co.jp/reports/general_ledgers/show?name=%E4%BC%9A%E8%AD%B0%E8%B2%BB&amp;start_date=2026-01-01&amp;end_date=2026-01-31&amp;fiscal_year_id=9701717",9787)</f>
        <v>9787</v>
      </c>
      <c r="M15" s="45">
        <v>0</v>
      </c>
      <c r="N15" s="38">
        <f>SUM(B15:M15)</f>
        <v>126221</v>
      </c>
      <c r="O15" s="32" t="s">
        <v>357</v>
      </c>
    </row>
    <row r="16" spans="1:15" x14ac:dyDescent="0.25">
      <c r="A16" s="10" t="s">
        <v>434</v>
      </c>
      <c r="B16" s="30">
        <f>HYPERLINK("https://secure.freee.co.jp/reports/general_ledgers/show?name=%E6%97%85%E8%B2%BB%E4%BA%A4%E9%80%9A%E8%B2%BB&amp;start_date=2025-03-01&amp;end_date=2025-03-31&amp;fiscal_year_id=9701717",37858)</f>
        <v>37858</v>
      </c>
      <c r="C16" s="30">
        <f>HYPERLINK("https://secure.freee.co.jp/reports/general_ledgers/show?name=%E6%97%85%E8%B2%BB%E4%BA%A4%E9%80%9A%E8%B2%BB&amp;start_date=2025-04-01&amp;end_date=2025-04-30&amp;fiscal_year_id=9701717",24270)</f>
        <v>24270</v>
      </c>
      <c r="D16" s="33">
        <f>HYPERLINK("https://secure.freee.co.jp/reports/general_ledgers/show?name=%E6%97%85%E8%B2%BB%E4%BA%A4%E9%80%9A%E8%B2%BB&amp;start_date=2025-05-01&amp;end_date=2025-05-31&amp;fiscal_year_id=9701717",36540)</f>
        <v>36540</v>
      </c>
      <c r="E16" s="30">
        <f>HYPERLINK("https://secure.freee.co.jp/reports/general_ledgers/show?name=%E6%97%85%E8%B2%BB%E4%BA%A4%E9%80%9A%E8%B2%BB&amp;start_date=2025-06-01&amp;end_date=2025-06-30&amp;fiscal_year_id=9701717",20300)</f>
        <v>20300</v>
      </c>
      <c r="F16" s="30">
        <f>HYPERLINK("https://secure.freee.co.jp/reports/general_ledgers/show?name=%E6%97%85%E8%B2%BB%E4%BA%A4%E9%80%9A%E8%B2%BB&amp;start_date=2025-07-01&amp;end_date=2025-07-31&amp;fiscal_year_id=9701717",21920)</f>
        <v>21920</v>
      </c>
      <c r="G16" s="33">
        <f>HYPERLINK("https://secure.freee.co.jp/reports/general_ledgers/show?name=%E6%97%85%E8%B2%BB%E4%BA%A4%E9%80%9A%E8%B2%BB&amp;start_date=2025-08-01&amp;end_date=2025-08-31&amp;fiscal_year_id=9701717",105270)</f>
        <v>105270</v>
      </c>
      <c r="H16" s="30">
        <f>HYPERLINK("https://secure.freee.co.jp/reports/general_ledgers/show?name=%E6%97%85%E8%B2%BB%E4%BA%A4%E9%80%9A%E8%B2%BB&amp;start_date=2025-09-01&amp;end_date=2025-09-30&amp;fiscal_year_id=9701717",97932)</f>
        <v>97932</v>
      </c>
      <c r="I16" s="33">
        <f>HYPERLINK("https://secure.freee.co.jp/reports/general_ledgers/show?name=%E6%97%85%E8%B2%BB%E4%BA%A4%E9%80%9A%E8%B2%BB&amp;start_date=2025-10-01&amp;end_date=2025-10-31&amp;fiscal_year_id=9701717",35548)</f>
        <v>35548</v>
      </c>
      <c r="J16" s="30">
        <f>HYPERLINK("https://secure.freee.co.jp/reports/general_ledgers/show?name=%E6%97%85%E8%B2%BB%E4%BA%A4%E9%80%9A%E8%B2%BB&amp;start_date=2025-11-01&amp;end_date=2025-11-30&amp;fiscal_year_id=9701717",35040)</f>
        <v>35040</v>
      </c>
      <c r="K16" s="30">
        <f>HYPERLINK("https://secure.freee.co.jp/reports/general_ledgers/show?name=%E6%97%85%E8%B2%BB%E4%BA%A4%E9%80%9A%E8%B2%BB&amp;start_date=2025-12-01&amp;end_date=2025-12-31&amp;fiscal_year_id=9701717",24140)</f>
        <v>24140</v>
      </c>
      <c r="L16" s="33">
        <f>HYPERLINK("https://secure.freee.co.jp/reports/general_ledgers/show?name=%E6%97%85%E8%B2%BB%E4%BA%A4%E9%80%9A%E8%B2%BB&amp;start_date=2026-01-01&amp;end_date=2026-01-31&amp;fiscal_year_id=9701717",246734)</f>
        <v>246734</v>
      </c>
      <c r="M16" s="33">
        <f>HYPERLINK("https://secure.freee.co.jp/reports/general_ledgers/show?name=%E6%97%85%E8%B2%BB%E4%BA%A4%E9%80%9A%E8%B2%BB&amp;start_date=2026-02-01&amp;end_date=2026-02-28&amp;fiscal_year_id=9701717",22011)</f>
        <v>22011</v>
      </c>
      <c r="N16" s="38">
        <f>SUM(B16:M16)</f>
        <v>707563</v>
      </c>
      <c r="O16" s="32" t="s">
        <v>357</v>
      </c>
    </row>
    <row r="17" spans="1:15" x14ac:dyDescent="0.25">
      <c r="A17" s="10" t="s">
        <v>435</v>
      </c>
      <c r="B17" s="30">
        <f>HYPERLINK("https://secure.freee.co.jp/reports/general_ledgers/show?name=%E9%80%9A%E4%BF%A1%E8%B2%BB&amp;start_date=2025-03-01&amp;end_date=2025-03-31&amp;fiscal_year_id=9701717",18870)</f>
        <v>18870</v>
      </c>
      <c r="C17" s="30">
        <f>HYPERLINK("https://secure.freee.co.jp/reports/general_ledgers/show?name=%E9%80%9A%E4%BF%A1%E8%B2%BB&amp;start_date=2025-04-01&amp;end_date=2025-04-30&amp;fiscal_year_id=9701717",16158)</f>
        <v>16158</v>
      </c>
      <c r="D17" s="30">
        <f>HYPERLINK("https://secure.freee.co.jp/reports/general_ledgers/show?name=%E9%80%9A%E4%BF%A1%E8%B2%BB&amp;start_date=2025-05-01&amp;end_date=2025-05-31&amp;fiscal_year_id=9701717",22961)</f>
        <v>22961</v>
      </c>
      <c r="E17" s="30">
        <f>HYPERLINK("https://secure.freee.co.jp/reports/general_ledgers/show?name=%E9%80%9A%E4%BF%A1%E8%B2%BB&amp;start_date=2025-06-01&amp;end_date=2025-06-30&amp;fiscal_year_id=9701717",16117)</f>
        <v>16117</v>
      </c>
      <c r="F17" s="33">
        <f>HYPERLINK("https://secure.freee.co.jp/reports/general_ledgers/show?name=%E9%80%9A%E4%BF%A1%E8%B2%BB&amp;start_date=2025-07-01&amp;end_date=2025-07-31&amp;fiscal_year_id=9701717",71203)</f>
        <v>71203</v>
      </c>
      <c r="G17" s="33">
        <f>HYPERLINK("https://secure.freee.co.jp/reports/general_ledgers/show?name=%E9%80%9A%E4%BF%A1%E8%B2%BB&amp;start_date=2025-08-01&amp;end_date=2025-08-31&amp;fiscal_year_id=9701717",135951)</f>
        <v>135951</v>
      </c>
      <c r="H17" s="33">
        <f>HYPERLINK("https://secure.freee.co.jp/reports/general_ledgers/show?name=%E9%80%9A%E4%BF%A1%E8%B2%BB&amp;start_date=2025-09-01&amp;end_date=2025-09-30&amp;fiscal_year_id=9701717",23221)</f>
        <v>23221</v>
      </c>
      <c r="I17" s="30">
        <f>HYPERLINK("https://secure.freee.co.jp/reports/general_ledgers/show?name=%E9%80%9A%E4%BF%A1%E8%B2%BB&amp;start_date=2025-10-01&amp;end_date=2025-10-31&amp;fiscal_year_id=9701717",17698)</f>
        <v>17698</v>
      </c>
      <c r="J17" s="30">
        <f>HYPERLINK("https://secure.freee.co.jp/reports/general_ledgers/show?name=%E9%80%9A%E4%BF%A1%E8%B2%BB&amp;start_date=2025-11-01&amp;end_date=2025-11-30&amp;fiscal_year_id=9701717",11703)</f>
        <v>11703</v>
      </c>
      <c r="K17" s="30">
        <f>HYPERLINK("https://secure.freee.co.jp/reports/general_ledgers/show?name=%E9%80%9A%E4%BF%A1%E8%B2%BB&amp;start_date=2025-12-01&amp;end_date=2025-12-31&amp;fiscal_year_id=9701717",12285)</f>
        <v>12285</v>
      </c>
      <c r="L17" s="33">
        <f>HYPERLINK("https://secure.freee.co.jp/reports/general_ledgers/show?name=%E9%80%9A%E4%BF%A1%E8%B2%BB&amp;start_date=2026-01-01&amp;end_date=2026-01-31&amp;fiscal_year_id=9701717",20343)</f>
        <v>20343</v>
      </c>
      <c r="M17" s="33">
        <f>HYPERLINK("https://secure.freee.co.jp/reports/general_ledgers/show?name=%E9%80%9A%E4%BF%A1%E8%B2%BB&amp;start_date=2026-02-01&amp;end_date=2026-02-28&amp;fiscal_year_id=9701717",140029)</f>
        <v>140029</v>
      </c>
      <c r="N17" s="38">
        <f>SUM(B17:M17)</f>
        <v>506539</v>
      </c>
      <c r="O17" s="32" t="s">
        <v>357</v>
      </c>
    </row>
    <row r="18" spans="1:15" x14ac:dyDescent="0.25">
      <c r="A18" s="10" t="s">
        <v>436</v>
      </c>
      <c r="B18" s="30">
        <f>HYPERLINK("https://secure.freee.co.jp/reports/general_ledgers/show?name=%E6%B6%88%E8%80%97%E5%93%81%E8%B2%BB&amp;start_date=2025-03-01&amp;end_date=2025-03-31&amp;fiscal_year_id=9701717",85824)</f>
        <v>85824</v>
      </c>
      <c r="C18" s="33">
        <f>HYPERLINK("https://secure.freee.co.jp/reports/general_ledgers/show?name=%E6%B6%88%E8%80%97%E5%93%81%E8%B2%BB&amp;start_date=2025-04-01&amp;end_date=2025-04-30&amp;fiscal_year_id=9701717",36045)</f>
        <v>36045</v>
      </c>
      <c r="D18" s="45">
        <v>0</v>
      </c>
      <c r="E18" s="30">
        <f>HYPERLINK("https://secure.freee.co.jp/reports/general_ledgers/show?name=%E6%B6%88%E8%80%97%E5%93%81%E8%B2%BB&amp;start_date=2025-06-01&amp;end_date=2025-06-30&amp;fiscal_year_id=9701717",6695)</f>
        <v>6695</v>
      </c>
      <c r="F18" s="30">
        <f>HYPERLINK("https://secure.freee.co.jp/reports/general_ledgers/show?name=%E6%B6%88%E8%80%97%E5%93%81%E8%B2%BB&amp;start_date=2025-07-01&amp;end_date=2025-07-31&amp;fiscal_year_id=9701717",4577)</f>
        <v>4577</v>
      </c>
      <c r="G18" s="30">
        <f>HYPERLINK("https://secure.freee.co.jp/reports/general_ledgers/show?name=%E6%B6%88%E8%80%97%E5%93%81%E8%B2%BB&amp;start_date=2025-08-01&amp;end_date=2025-08-31&amp;fiscal_year_id=9701717",5717)</f>
        <v>5717</v>
      </c>
      <c r="H18" s="45">
        <v>0</v>
      </c>
      <c r="I18" s="30">
        <f>HYPERLINK("https://secure.freee.co.jp/reports/general_ledgers/show?name=%E6%B6%88%E8%80%97%E5%93%81%E8%B2%BB&amp;start_date=2025-10-01&amp;end_date=2025-10-31&amp;fiscal_year_id=9701717",17736)</f>
        <v>17736</v>
      </c>
      <c r="J18" s="30">
        <f>HYPERLINK("https://secure.freee.co.jp/reports/general_ledgers/show?name=%E6%B6%88%E8%80%97%E5%93%81%E8%B2%BB&amp;start_date=2025-11-01&amp;end_date=2025-11-30&amp;fiscal_year_id=9701717",11845)</f>
        <v>11845</v>
      </c>
      <c r="K18" s="33">
        <f>HYPERLINK("https://secure.freee.co.jp/reports/general_ledgers/show?name=%E6%B6%88%E8%80%97%E5%93%81%E8%B2%BB&amp;start_date=2025-12-01&amp;end_date=2025-12-31&amp;fiscal_year_id=9701717",173264)</f>
        <v>173264</v>
      </c>
      <c r="L18" s="33">
        <f>HYPERLINK("https://secure.freee.co.jp/reports/general_ledgers/show?name=%E6%B6%88%E8%80%97%E5%93%81%E8%B2%BB&amp;start_date=2026-01-01&amp;end_date=2026-01-31&amp;fiscal_year_id=9701717",1100)</f>
        <v>1100</v>
      </c>
      <c r="M18" s="33">
        <f>HYPERLINK("https://secure.freee.co.jp/reports/general_ledgers/show?name=%E6%B6%88%E8%80%97%E5%93%81%E8%B2%BB&amp;start_date=2026-02-01&amp;end_date=2026-02-28&amp;fiscal_year_id=9701717",50409)</f>
        <v>50409</v>
      </c>
      <c r="N18" s="38">
        <f>SUM(B18:M18)</f>
        <v>393212</v>
      </c>
      <c r="O18" s="32" t="s">
        <v>357</v>
      </c>
    </row>
    <row r="19" spans="1:15" x14ac:dyDescent="0.25">
      <c r="A19" s="10" t="s">
        <v>437</v>
      </c>
      <c r="B19" s="40">
        <v>0</v>
      </c>
      <c r="C19" s="40">
        <v>0</v>
      </c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30">
        <f>HYPERLINK("https://secure.freee.co.jp/reports/general_ledgers/show?name=%E4%BF%AE%E7%B9%95%E8%B2%BB&amp;start_date=2026-01-01&amp;end_date=2026-01-31&amp;fiscal_year_id=9701717",229159)</f>
        <v>229159</v>
      </c>
      <c r="M19" s="45">
        <v>0</v>
      </c>
      <c r="N19" s="38">
        <f>SUM(B19:M19)</f>
        <v>229159</v>
      </c>
      <c r="O19" s="32" t="s">
        <v>357</v>
      </c>
    </row>
    <row r="20" spans="1:15" x14ac:dyDescent="0.25">
      <c r="A20" s="10" t="s">
        <v>438</v>
      </c>
      <c r="B20" s="30">
        <f>HYPERLINK("https://secure.freee.co.jp/reports/general_ledgers/show?name=%E6%96%B0%E8%81%9E%E5%9B%B3%E6%9B%B8%E8%B2%BB&amp;start_date=2025-03-01&amp;end_date=2025-03-31&amp;fiscal_year_id=9701717",4400)</f>
        <v>4400</v>
      </c>
      <c r="C20" s="45">
        <v>0</v>
      </c>
      <c r="D20" s="40">
        <v>0</v>
      </c>
      <c r="E20" s="30">
        <f>HYPERLINK("https://secure.freee.co.jp/reports/general_ledgers/show?name=%E6%96%B0%E8%81%9E%E5%9B%B3%E6%9B%B8%E8%B2%BB&amp;start_date=2025-06-01&amp;end_date=2025-06-30&amp;fiscal_year_id=9701717",3465)</f>
        <v>3465</v>
      </c>
      <c r="F20" s="45">
        <v>0</v>
      </c>
      <c r="G20" s="30">
        <f>HYPERLINK("https://secure.freee.co.jp/reports/general_ledgers/show?name=%E6%96%B0%E8%81%9E%E5%9B%B3%E6%9B%B8%E8%B2%BB&amp;start_date=2025-08-01&amp;end_date=2025-08-31&amp;fiscal_year_id=9701717",1870)</f>
        <v>1870</v>
      </c>
      <c r="H20" s="45">
        <v>0</v>
      </c>
      <c r="I20" s="40">
        <v>0</v>
      </c>
      <c r="J20" s="40">
        <v>0</v>
      </c>
      <c r="K20" s="40">
        <v>0</v>
      </c>
      <c r="L20" s="40">
        <v>0</v>
      </c>
      <c r="M20" s="41">
        <v>0</v>
      </c>
      <c r="N20" s="38">
        <f>SUM(B20:M20)</f>
        <v>9735</v>
      </c>
      <c r="O20" s="32" t="s">
        <v>357</v>
      </c>
    </row>
    <row r="21" spans="1:15" x14ac:dyDescent="0.25">
      <c r="A21" s="10" t="s">
        <v>439</v>
      </c>
      <c r="B21" s="40">
        <v>0</v>
      </c>
      <c r="C21" s="40">
        <v>0</v>
      </c>
      <c r="D21" s="30">
        <f>HYPERLINK("https://secure.freee.co.jp/reports/general_ledgers/show?name=%E8%AB%B8%E4%BC%9A%E8%B2%BB&amp;start_date=2025-05-01&amp;end_date=2025-05-31&amp;fiscal_year_id=9701717",4400)</f>
        <v>4400</v>
      </c>
      <c r="E21" s="45">
        <v>0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1">
        <v>0</v>
      </c>
      <c r="N21" s="38">
        <f>SUM(B21:M21)</f>
        <v>4400</v>
      </c>
      <c r="O21" s="32" t="s">
        <v>357</v>
      </c>
    </row>
    <row r="22" spans="1:15" x14ac:dyDescent="0.25">
      <c r="A22" s="10" t="s">
        <v>440</v>
      </c>
      <c r="B22" s="30">
        <f>HYPERLINK("https://secure.freee.co.jp/reports/general_ledgers/show?name=%E6%94%AF%E6%89%95%E6%89%8B%E6%95%B0%E6%96%99&amp;start_date=2025-03-01&amp;end_date=2025-03-31&amp;fiscal_year_id=9701717",44850)</f>
        <v>44850</v>
      </c>
      <c r="C22" s="30">
        <f>HYPERLINK("https://secure.freee.co.jp/reports/general_ledgers/show?name=%E6%94%AF%E6%89%95%E6%89%8B%E6%95%B0%E6%96%99&amp;start_date=2025-04-01&amp;end_date=2025-04-30&amp;fiscal_year_id=9701717",52712)</f>
        <v>52712</v>
      </c>
      <c r="D22" s="33">
        <f>HYPERLINK("https://secure.freee.co.jp/reports/general_ledgers/show?name=%E6%94%AF%E6%89%95%E6%89%8B%E6%95%B0%E6%96%99&amp;start_date=2025-05-01&amp;end_date=2025-05-31&amp;fiscal_year_id=9701717",261845)</f>
        <v>261845</v>
      </c>
      <c r="E22" s="33">
        <f>HYPERLINK("https://secure.freee.co.jp/reports/general_ledgers/show?name=%E6%94%AF%E6%89%95%E6%89%8B%E6%95%B0%E6%96%99&amp;start_date=2025-06-01&amp;end_date=2025-06-30&amp;fiscal_year_id=9701717",52853)</f>
        <v>52853</v>
      </c>
      <c r="F22" s="30">
        <f>HYPERLINK("https://secure.freee.co.jp/reports/general_ledgers/show?name=%E6%94%AF%E6%89%95%E6%89%8B%E6%95%B0%E6%96%99&amp;start_date=2025-07-01&amp;end_date=2025-07-31&amp;fiscal_year_id=9701717",53812)</f>
        <v>53812</v>
      </c>
      <c r="G22" s="30">
        <f>HYPERLINK("https://secure.freee.co.jp/reports/general_ledgers/show?name=%E6%94%AF%E6%89%95%E6%89%8B%E6%95%B0%E6%96%99&amp;start_date=2025-08-01&amp;end_date=2025-08-31&amp;fiscal_year_id=9701717",52764)</f>
        <v>52764</v>
      </c>
      <c r="H22" s="30">
        <f>HYPERLINK("https://secure.freee.co.jp/reports/general_ledgers/show?name=%E6%94%AF%E6%89%95%E6%89%8B%E6%95%B0%E6%96%99&amp;start_date=2025-09-01&amp;end_date=2025-09-30&amp;fiscal_year_id=9701717",54814)</f>
        <v>54814</v>
      </c>
      <c r="I22" s="30">
        <f>HYPERLINK("https://secure.freee.co.jp/reports/general_ledgers/show?name=%E6%94%AF%E6%89%95%E6%89%8B%E6%95%B0%E6%96%99&amp;start_date=2025-10-01&amp;end_date=2025-10-31&amp;fiscal_year_id=9701717",65011)</f>
        <v>65011</v>
      </c>
      <c r="J22" s="30">
        <f>HYPERLINK("https://secure.freee.co.jp/reports/general_ledgers/show?name=%E6%94%AF%E6%89%95%E6%89%8B%E6%95%B0%E6%96%99&amp;start_date=2025-11-01&amp;end_date=2025-11-30&amp;fiscal_year_id=9701717",81596)</f>
        <v>81596</v>
      </c>
      <c r="K22" s="30">
        <f>HYPERLINK("https://secure.freee.co.jp/reports/general_ledgers/show?name=%E6%94%AF%E6%89%95%E6%89%8B%E6%95%B0%E6%96%99&amp;start_date=2025-12-01&amp;end_date=2025-12-31&amp;fiscal_year_id=9701717",54112)</f>
        <v>54112</v>
      </c>
      <c r="L22" s="30">
        <f>HYPERLINK("https://secure.freee.co.jp/reports/general_ledgers/show?name=%E6%94%AF%E6%89%95%E6%89%8B%E6%95%B0%E6%96%99&amp;start_date=2026-01-01&amp;end_date=2026-01-31&amp;fiscal_year_id=9701717",57311)</f>
        <v>57311</v>
      </c>
      <c r="M22" s="33">
        <f>HYPERLINK("https://secure.freee.co.jp/reports/general_ledgers/show?name=%E6%94%AF%E6%89%95%E6%89%8B%E6%95%B0%E6%96%99&amp;start_date=2026-02-01&amp;end_date=2026-02-28&amp;fiscal_year_id=9701717",104056)</f>
        <v>104056</v>
      </c>
      <c r="N22" s="38">
        <f>SUM(B22:M22)</f>
        <v>935736</v>
      </c>
      <c r="O22" s="32" t="s">
        <v>357</v>
      </c>
    </row>
    <row r="23" spans="1:15" x14ac:dyDescent="0.25">
      <c r="A23" s="10" t="s">
        <v>441</v>
      </c>
      <c r="B23" s="40">
        <v>0</v>
      </c>
      <c r="C23" s="30">
        <f>HYPERLINK("https://secure.freee.co.jp/reports/general_ledgers/show?name=%E8%BB%8A%E4%B8%A1%E8%B2%BB&amp;start_date=2025-04-01&amp;end_date=2025-04-30&amp;fiscal_year_id=9701717",8706)</f>
        <v>8706</v>
      </c>
      <c r="D23" s="33">
        <f>HYPERLINK("https://secure.freee.co.jp/reports/general_ledgers/show?name=%E8%BB%8A%E4%B8%A1%E8%B2%BB&amp;start_date=2025-05-01&amp;end_date=2025-05-31&amp;fiscal_year_id=9701717",23731)</f>
        <v>23731</v>
      </c>
      <c r="E23" s="45">
        <v>0</v>
      </c>
      <c r="F23" s="30">
        <f>HYPERLINK("https://secure.freee.co.jp/reports/general_ledgers/show?name=%E8%BB%8A%E4%B8%A1%E8%B2%BB&amp;start_date=2025-07-01&amp;end_date=2025-07-31&amp;fiscal_year_id=9701717",14621)</f>
        <v>14621</v>
      </c>
      <c r="G23" s="45">
        <v>0</v>
      </c>
      <c r="H23" s="30">
        <f>HYPERLINK("https://secure.freee.co.jp/reports/general_ledgers/show?name=%E8%BB%8A%E4%B8%A1%E8%B2%BB&amp;start_date=2025-09-01&amp;end_date=2025-09-30&amp;fiscal_year_id=9701717",9352)</f>
        <v>9352</v>
      </c>
      <c r="I23" s="30">
        <f>HYPERLINK("https://secure.freee.co.jp/reports/general_ledgers/show?name=%E8%BB%8A%E4%B8%A1%E8%B2%BB&amp;start_date=2025-10-01&amp;end_date=2025-10-31&amp;fiscal_year_id=9701717",7425)</f>
        <v>7425</v>
      </c>
      <c r="J23" s="30">
        <f>HYPERLINK("https://secure.freee.co.jp/reports/general_ledgers/show?name=%E8%BB%8A%E4%B8%A1%E8%B2%BB&amp;start_date=2025-11-01&amp;end_date=2025-11-30&amp;fiscal_year_id=9701717",6208)</f>
        <v>6208</v>
      </c>
      <c r="K23" s="30">
        <f>HYPERLINK("https://secure.freee.co.jp/reports/general_ledgers/show?name=%E8%BB%8A%E4%B8%A1%E8%B2%BB&amp;start_date=2025-12-01&amp;end_date=2025-12-31&amp;fiscal_year_id=9701717",7520)</f>
        <v>7520</v>
      </c>
      <c r="L23" s="45">
        <v>0</v>
      </c>
      <c r="M23" s="37">
        <f>HYPERLINK("https://secure.freee.co.jp/reports/general_ledgers/show?name=%E8%BB%8A%E4%B8%A1%E8%B2%BB&amp;start_date=2026-02-01&amp;end_date=2026-02-28&amp;fiscal_year_id=9701717",6600)</f>
        <v>6600</v>
      </c>
      <c r="N23" s="38">
        <f>SUM(B23:M23)</f>
        <v>84163</v>
      </c>
      <c r="O23" s="32" t="s">
        <v>357</v>
      </c>
    </row>
    <row r="24" spans="1:15" x14ac:dyDescent="0.25">
      <c r="A24" s="10" t="s">
        <v>442</v>
      </c>
      <c r="B24" s="30">
        <f>HYPERLINK("https://secure.freee.co.jp/reports/general_ledgers/show?name=%E5%9C%B0%E4%BB%A3%E5%AE%B6%E8%B3%83&amp;start_date=2025-03-01&amp;end_date=2025-03-31&amp;fiscal_year_id=9701717",287770)</f>
        <v>287770</v>
      </c>
      <c r="C24" s="30">
        <f>HYPERLINK("https://secure.freee.co.jp/reports/general_ledgers/show?name=%E5%9C%B0%E4%BB%A3%E5%AE%B6%E8%B3%83&amp;start_date=2025-04-01&amp;end_date=2025-04-30&amp;fiscal_year_id=9701717",287770)</f>
        <v>287770</v>
      </c>
      <c r="D24" s="30">
        <f>HYPERLINK("https://secure.freee.co.jp/reports/general_ledgers/show?name=%E5%9C%B0%E4%BB%A3%E5%AE%B6%E8%B3%83&amp;start_date=2025-05-01&amp;end_date=2025-05-31&amp;fiscal_year_id=9701717",287770)</f>
        <v>287770</v>
      </c>
      <c r="E24" s="30">
        <f>HYPERLINK("https://secure.freee.co.jp/reports/general_ledgers/show?name=%E5%9C%B0%E4%BB%A3%E5%AE%B6%E8%B3%83&amp;start_date=2025-06-01&amp;end_date=2025-06-30&amp;fiscal_year_id=9701717",287770)</f>
        <v>287770</v>
      </c>
      <c r="F24" s="30">
        <f>HYPERLINK("https://secure.freee.co.jp/reports/general_ledgers/show?name=%E5%9C%B0%E4%BB%A3%E5%AE%B6%E8%B3%83&amp;start_date=2025-07-01&amp;end_date=2025-07-31&amp;fiscal_year_id=9701717",287770)</f>
        <v>287770</v>
      </c>
      <c r="G24" s="30">
        <f>HYPERLINK("https://secure.freee.co.jp/reports/general_ledgers/show?name=%E5%9C%B0%E4%BB%A3%E5%AE%B6%E8%B3%83&amp;start_date=2025-08-01&amp;end_date=2025-08-31&amp;fiscal_year_id=9701717",287770)</f>
        <v>287770</v>
      </c>
      <c r="H24" s="30">
        <f>HYPERLINK("https://secure.freee.co.jp/reports/general_ledgers/show?name=%E5%9C%B0%E4%BB%A3%E5%AE%B6%E8%B3%83&amp;start_date=2025-09-01&amp;end_date=2025-09-30&amp;fiscal_year_id=9701717",287770)</f>
        <v>287770</v>
      </c>
      <c r="I24" s="30">
        <f>HYPERLINK("https://secure.freee.co.jp/reports/general_ledgers/show?name=%E5%9C%B0%E4%BB%A3%E5%AE%B6%E8%B3%83&amp;start_date=2025-10-01&amp;end_date=2025-10-31&amp;fiscal_year_id=9701717",287770)</f>
        <v>287770</v>
      </c>
      <c r="J24" s="30">
        <f>HYPERLINK("https://secure.freee.co.jp/reports/general_ledgers/show?name=%E5%9C%B0%E4%BB%A3%E5%AE%B6%E8%B3%83&amp;start_date=2025-11-01&amp;end_date=2025-11-30&amp;fiscal_year_id=9701717",326943)</f>
        <v>326943</v>
      </c>
      <c r="K24" s="33">
        <f>HYPERLINK("https://secure.freee.co.jp/reports/general_ledgers/show?name=%E5%9C%B0%E4%BB%A3%E5%AE%B6%E8%B3%83&amp;start_date=2025-12-01&amp;end_date=2025-12-31&amp;fiscal_year_id=9701717",15070)</f>
        <v>15070</v>
      </c>
      <c r="L24" s="33">
        <f>HYPERLINK("https://secure.freee.co.jp/reports/general_ledgers/show?name=%E5%9C%B0%E4%BB%A3%E5%AE%B6%E8%B3%83&amp;start_date=2026-01-01&amp;end_date=2026-01-31&amp;fiscal_year_id=9701717",54388)</f>
        <v>54388</v>
      </c>
      <c r="M24" s="33">
        <f>HYPERLINK("https://secure.freee.co.jp/reports/general_ledgers/show?name=%E5%9C%B0%E4%BB%A3%E5%AE%B6%E8%B3%83&amp;start_date=2026-02-01&amp;end_date=2026-02-28&amp;fiscal_year_id=9701717",285070)</f>
        <v>285070</v>
      </c>
      <c r="N24" s="38">
        <f>SUM(B24:M24)</f>
        <v>2983631</v>
      </c>
      <c r="O24" s="32" t="s">
        <v>357</v>
      </c>
    </row>
    <row r="25" spans="1:15" x14ac:dyDescent="0.25">
      <c r="A25" s="10" t="s">
        <v>443</v>
      </c>
      <c r="B25" s="30">
        <f>HYPERLINK("https://secure.freee.co.jp/reports/general_ledgers/show?name=%E4%BF%9D%E9%99%BA%E6%96%99&amp;start_date=2025-03-01&amp;end_date=2025-03-31&amp;fiscal_year_id=9701717",1564)</f>
        <v>1564</v>
      </c>
      <c r="C25" s="30">
        <f>HYPERLINK("https://secure.freee.co.jp/reports/general_ledgers/show?name=%E4%BF%9D%E9%99%BA%E6%96%99&amp;start_date=2025-04-01&amp;end_date=2025-04-30&amp;fiscal_year_id=9701717",1564)</f>
        <v>1564</v>
      </c>
      <c r="D25" s="30">
        <f>HYPERLINK("https://secure.freee.co.jp/reports/general_ledgers/show?name=%E4%BF%9D%E9%99%BA%E6%96%99&amp;start_date=2025-05-01&amp;end_date=2025-05-31&amp;fiscal_year_id=9701717",1564)</f>
        <v>1564</v>
      </c>
      <c r="E25" s="30">
        <f>HYPERLINK("https://secure.freee.co.jp/reports/general_ledgers/show?name=%E4%BF%9D%E9%99%BA%E6%96%99&amp;start_date=2025-06-01&amp;end_date=2025-06-30&amp;fiscal_year_id=9701717",1564)</f>
        <v>1564</v>
      </c>
      <c r="F25" s="30">
        <f>HYPERLINK("https://secure.freee.co.jp/reports/general_ledgers/show?name=%E4%BF%9D%E9%99%BA%E6%96%99&amp;start_date=2025-07-01&amp;end_date=2025-07-31&amp;fiscal_year_id=9701717",1564)</f>
        <v>1564</v>
      </c>
      <c r="G25" s="30">
        <f>HYPERLINK("https://secure.freee.co.jp/reports/general_ledgers/show?name=%E4%BF%9D%E9%99%BA%E6%96%99&amp;start_date=2025-08-01&amp;end_date=2025-08-31&amp;fiscal_year_id=9701717",1564)</f>
        <v>1564</v>
      </c>
      <c r="H25" s="30">
        <f>HYPERLINK("https://secure.freee.co.jp/reports/general_ledgers/show?name=%E4%BF%9D%E9%99%BA%E6%96%99&amp;start_date=2025-09-01&amp;end_date=2025-09-30&amp;fiscal_year_id=9701717",1564)</f>
        <v>1564</v>
      </c>
      <c r="I25" s="30">
        <f>HYPERLINK("https://secure.freee.co.jp/reports/general_ledgers/show?name=%E4%BF%9D%E9%99%BA%E6%96%99&amp;start_date=2025-10-01&amp;end_date=2025-10-31&amp;fiscal_year_id=9701717",1564)</f>
        <v>1564</v>
      </c>
      <c r="J25" s="30">
        <f>HYPERLINK("https://secure.freee.co.jp/reports/general_ledgers/show?name=%E4%BF%9D%E9%99%BA%E6%96%99&amp;start_date=2025-11-01&amp;end_date=2025-11-30&amp;fiscal_year_id=9701717",1564)</f>
        <v>1564</v>
      </c>
      <c r="K25" s="33">
        <f>HYPERLINK("https://secure.freee.co.jp/reports/general_ledgers/show?name=%E4%BF%9D%E9%99%BA%E6%96%99&amp;start_date=2025-12-01&amp;end_date=2025-12-31&amp;fiscal_year_id=9701717",188254)</f>
        <v>188254</v>
      </c>
      <c r="L25" s="33">
        <f>HYPERLINK("https://secure.freee.co.jp/reports/general_ledgers/show?name=%E4%BF%9D%E9%99%BA%E6%96%99&amp;start_date=2026-01-01&amp;end_date=2026-01-31&amp;fiscal_year_id=9701717",-1436)</f>
        <v>-1436</v>
      </c>
      <c r="M25" s="33">
        <f>HYPERLINK("https://secure.freee.co.jp/reports/general_ledgers/show?name=%E4%BF%9D%E9%99%BA%E6%96%99&amp;start_date=2026-02-01&amp;end_date=2026-02-28&amp;fiscal_year_id=9701717",1571)</f>
        <v>1571</v>
      </c>
      <c r="N25" s="38">
        <f>SUM(B25:M25)</f>
        <v>202465</v>
      </c>
      <c r="O25" s="32" t="s">
        <v>357</v>
      </c>
    </row>
    <row r="26" spans="1:15" x14ac:dyDescent="0.25">
      <c r="A26" s="10" t="s">
        <v>444</v>
      </c>
      <c r="B26" s="40">
        <v>0</v>
      </c>
      <c r="C26" s="40">
        <v>0</v>
      </c>
      <c r="D26" s="40">
        <v>0</v>
      </c>
      <c r="E26" s="40">
        <v>0</v>
      </c>
      <c r="F26" s="30">
        <f>HYPERLINK("https://secure.freee.co.jp/reports/general_ledgers/show?name=%E7%A7%9F%E7%A8%8E%E5%85%AC%E8%AA%B2&amp;start_date=2025-07-01&amp;end_date=2025-07-31&amp;fiscal_year_id=9701717",2561000)</f>
        <v>2561000</v>
      </c>
      <c r="G26" s="33">
        <f>HYPERLINK("https://secure.freee.co.jp/reports/general_ledgers/show?name=%E7%A7%9F%E7%A8%8E%E5%85%AC%E8%AA%B2&amp;start_date=2025-08-01&amp;end_date=2025-08-31&amp;fiscal_year_id=9701717",1200)</f>
        <v>1200</v>
      </c>
      <c r="H26" s="45">
        <v>0</v>
      </c>
      <c r="I26" s="30">
        <f>HYPERLINK("https://secure.freee.co.jp/reports/general_ledgers/show?name=%E7%A7%9F%E7%A8%8E%E5%85%AC%E8%AA%B2&amp;start_date=2025-10-01&amp;end_date=2025-10-31&amp;fiscal_year_id=9701717",2560800)</f>
        <v>2560800</v>
      </c>
      <c r="J26" s="45">
        <v>0</v>
      </c>
      <c r="K26" s="40">
        <v>0</v>
      </c>
      <c r="L26" s="30">
        <f>HYPERLINK("https://secure.freee.co.jp/reports/general_ledgers/show?name=%E7%A7%9F%E7%A8%8E%E5%85%AC%E8%AA%B2&amp;start_date=2026-01-01&amp;end_date=2026-01-31&amp;fiscal_year_id=9701717",2560800)</f>
        <v>2560800</v>
      </c>
      <c r="M26" s="45">
        <v>0</v>
      </c>
      <c r="N26" s="38">
        <f>SUM(B26:M26)</f>
        <v>7683800</v>
      </c>
      <c r="O26" s="32" t="s">
        <v>357</v>
      </c>
    </row>
    <row r="27" spans="1:15" x14ac:dyDescent="0.25">
      <c r="A27" s="10" t="s">
        <v>445</v>
      </c>
      <c r="B27" s="40">
        <v>0</v>
      </c>
      <c r="C27" s="40">
        <v>0</v>
      </c>
      <c r="D27" s="30">
        <f>HYPERLINK("https://secure.freee.co.jp/reports/general_ledgers/show?name=%E7%A0%94%E4%BF%AE%E8%B2%BB&amp;start_date=2025-05-01&amp;end_date=2025-05-31&amp;fiscal_year_id=9701717",3300)</f>
        <v>3300</v>
      </c>
      <c r="E27" s="45">
        <v>0</v>
      </c>
      <c r="F27" s="40">
        <v>0</v>
      </c>
      <c r="G27" s="40">
        <v>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41">
        <v>0</v>
      </c>
      <c r="N27" s="38">
        <f>SUM(B27:M27)</f>
        <v>3300</v>
      </c>
      <c r="O27" s="32" t="s">
        <v>357</v>
      </c>
    </row>
    <row r="28" spans="1:15" x14ac:dyDescent="0.25">
      <c r="A28" s="10" t="s">
        <v>446</v>
      </c>
      <c r="B28" s="30">
        <f>HYPERLINK("https://secure.freee.co.jp/reports/general_ledgers/show?name=%E7%A0%94%E7%A9%B6%E9%96%8B%E7%99%BA%E8%B2%BB&amp;start_date=2025-03-01&amp;end_date=2025-03-31&amp;fiscal_year_id=9701717",14410)</f>
        <v>14410</v>
      </c>
      <c r="C28" s="30">
        <f>HYPERLINK("https://secure.freee.co.jp/reports/general_ledgers/show?name=%E7%A0%94%E7%A9%B6%E9%96%8B%E7%99%BA%E8%B2%BB&amp;start_date=2025-04-01&amp;end_date=2025-04-30&amp;fiscal_year_id=9701717",9928)</f>
        <v>9928</v>
      </c>
      <c r="D28" s="30">
        <f>HYPERLINK("https://secure.freee.co.jp/reports/general_ledgers/show?name=%E7%A0%94%E7%A9%B6%E9%96%8B%E7%99%BA%E8%B2%BB&amp;start_date=2025-05-01&amp;end_date=2025-05-31&amp;fiscal_year_id=9701717",12803)</f>
        <v>12803</v>
      </c>
      <c r="E28" s="30">
        <f>HYPERLINK("https://secure.freee.co.jp/reports/general_ledgers/show?name=%E7%A0%94%E7%A9%B6%E9%96%8B%E7%99%BA%E8%B2%BB&amp;start_date=2025-06-01&amp;end_date=2025-06-30&amp;fiscal_year_id=9701717",18129)</f>
        <v>18129</v>
      </c>
      <c r="F28" s="30">
        <f>HYPERLINK("https://secure.freee.co.jp/reports/general_ledgers/show?name=%E7%A0%94%E7%A9%B6%E9%96%8B%E7%99%BA%E8%B2%BB&amp;start_date=2025-07-01&amp;end_date=2025-07-31&amp;fiscal_year_id=9701717",16815)</f>
        <v>16815</v>
      </c>
      <c r="G28" s="30">
        <f>HYPERLINK("https://secure.freee.co.jp/reports/general_ledgers/show?name=%E7%A0%94%E7%A9%B6%E9%96%8B%E7%99%BA%E8%B2%BB&amp;start_date=2025-08-01&amp;end_date=2025-08-31&amp;fiscal_year_id=9701717",12888)</f>
        <v>12888</v>
      </c>
      <c r="H28" s="30">
        <f>HYPERLINK("https://secure.freee.co.jp/reports/general_ledgers/show?name=%E7%A0%94%E7%A9%B6%E9%96%8B%E7%99%BA%E8%B2%BB&amp;start_date=2025-09-01&amp;end_date=2025-09-30&amp;fiscal_year_id=9701717",10240)</f>
        <v>10240</v>
      </c>
      <c r="I28" s="33">
        <f>HYPERLINK("https://secure.freee.co.jp/reports/general_ledgers/show?name=%E7%A0%94%E7%A9%B6%E9%96%8B%E7%99%BA%E8%B2%BB&amp;start_date=2025-10-01&amp;end_date=2025-10-31&amp;fiscal_year_id=9701717",34550)</f>
        <v>34550</v>
      </c>
      <c r="J28" s="33">
        <f>HYPERLINK("https://secure.freee.co.jp/reports/general_ledgers/show?name=%E7%A0%94%E7%A9%B6%E9%96%8B%E7%99%BA%E8%B2%BB&amp;start_date=2025-11-01&amp;end_date=2025-11-30&amp;fiscal_year_id=9701717",8263)</f>
        <v>8263</v>
      </c>
      <c r="K28" s="30">
        <f>HYPERLINK("https://secure.freee.co.jp/reports/general_ledgers/show?name=%E7%A0%94%E7%A9%B6%E9%96%8B%E7%99%BA%E8%B2%BB&amp;start_date=2025-12-01&amp;end_date=2025-12-31&amp;fiscal_year_id=9701717",8297)</f>
        <v>8297</v>
      </c>
      <c r="L28" s="30">
        <f>HYPERLINK("https://secure.freee.co.jp/reports/general_ledgers/show?name=%E7%A0%94%E7%A9%B6%E9%96%8B%E7%99%BA%E8%B2%BB&amp;start_date=2026-01-01&amp;end_date=2026-01-31&amp;fiscal_year_id=9701717",4750)</f>
        <v>4750</v>
      </c>
      <c r="M28" s="37">
        <f>HYPERLINK("https://secure.freee.co.jp/reports/general_ledgers/show?name=%E7%A0%94%E7%A9%B6%E9%96%8B%E7%99%BA%E8%B2%BB&amp;start_date=2026-02-01&amp;end_date=2026-02-28&amp;fiscal_year_id=9701717",4750)</f>
        <v>4750</v>
      </c>
      <c r="N28" s="38">
        <f>SUM(B28:M28)</f>
        <v>155823</v>
      </c>
      <c r="O28" s="32" t="s">
        <v>357</v>
      </c>
    </row>
    <row r="29" spans="1:15" x14ac:dyDescent="0.25">
      <c r="A29" s="10" t="s">
        <v>447</v>
      </c>
      <c r="B29" s="30">
        <f>HYPERLINK("https://secure.freee.co.jp/reports/general_ledgers/show?name=%E6%B8%9B%E4%BE%A1%E5%84%9F%E5%8D%B4%E8%B2%BB&amp;start_date=2025-03-01&amp;end_date=2025-03-31&amp;fiscal_year_id=9701717",182015)</f>
        <v>182015</v>
      </c>
      <c r="C29" s="30">
        <f>HYPERLINK("https://secure.freee.co.jp/reports/general_ledgers/show?name=%E6%B8%9B%E4%BE%A1%E5%84%9F%E5%8D%B4%E8%B2%BB&amp;start_date=2025-04-01&amp;end_date=2025-04-30&amp;fiscal_year_id=9701717",182015)</f>
        <v>182015</v>
      </c>
      <c r="D29" s="30">
        <f>HYPERLINK("https://secure.freee.co.jp/reports/general_ledgers/show?name=%E6%B8%9B%E4%BE%A1%E5%84%9F%E5%8D%B4%E8%B2%BB&amp;start_date=2025-05-01&amp;end_date=2025-05-31&amp;fiscal_year_id=9701717",182015)</f>
        <v>182015</v>
      </c>
      <c r="E29" s="30">
        <f>HYPERLINK("https://secure.freee.co.jp/reports/general_ledgers/show?name=%E6%B8%9B%E4%BE%A1%E5%84%9F%E5%8D%B4%E8%B2%BB&amp;start_date=2025-06-01&amp;end_date=2025-06-30&amp;fiscal_year_id=9701717",182015)</f>
        <v>182015</v>
      </c>
      <c r="F29" s="30">
        <f>HYPERLINK("https://secure.freee.co.jp/reports/general_ledgers/show?name=%E6%B8%9B%E4%BE%A1%E5%84%9F%E5%8D%B4%E8%B2%BB&amp;start_date=2025-07-01&amp;end_date=2025-07-31&amp;fiscal_year_id=9701717",182015)</f>
        <v>182015</v>
      </c>
      <c r="G29" s="30">
        <f>HYPERLINK("https://secure.freee.co.jp/reports/general_ledgers/show?name=%E6%B8%9B%E4%BE%A1%E5%84%9F%E5%8D%B4%E8%B2%BB&amp;start_date=2025-08-01&amp;end_date=2025-08-31&amp;fiscal_year_id=9701717",182015)</f>
        <v>182015</v>
      </c>
      <c r="H29" s="30">
        <f>HYPERLINK("https://secure.freee.co.jp/reports/general_ledgers/show?name=%E6%B8%9B%E4%BE%A1%E5%84%9F%E5%8D%B4%E8%B2%BB&amp;start_date=2025-09-01&amp;end_date=2025-09-30&amp;fiscal_year_id=9701717",182015)</f>
        <v>182015</v>
      </c>
      <c r="I29" s="30">
        <f>HYPERLINK("https://secure.freee.co.jp/reports/general_ledgers/show?name=%E6%B8%9B%E4%BE%A1%E5%84%9F%E5%8D%B4%E8%B2%BB&amp;start_date=2025-10-01&amp;end_date=2025-10-31&amp;fiscal_year_id=9701717",182015)</f>
        <v>182015</v>
      </c>
      <c r="J29" s="30">
        <f>HYPERLINK("https://secure.freee.co.jp/reports/general_ledgers/show?name=%E6%B8%9B%E4%BE%A1%E5%84%9F%E5%8D%B4%E8%B2%BB&amp;start_date=2025-11-01&amp;end_date=2025-11-30&amp;fiscal_year_id=9701717",210715)</f>
        <v>210715</v>
      </c>
      <c r="K29" s="30">
        <f>HYPERLINK("https://secure.freee.co.jp/reports/general_ledgers/show?name=%E6%B8%9B%E4%BE%A1%E5%84%9F%E5%8D%B4%E8%B2%BB&amp;start_date=2025-12-01&amp;end_date=2025-12-31&amp;fiscal_year_id=9701717",210715)</f>
        <v>210715</v>
      </c>
      <c r="L29" s="30">
        <f>HYPERLINK("https://secure.freee.co.jp/reports/general_ledgers/show?name=%E6%B8%9B%E4%BE%A1%E5%84%9F%E5%8D%B4%E8%B2%BB&amp;start_date=2026-01-01&amp;end_date=2026-01-31&amp;fiscal_year_id=9701717",210715)</f>
        <v>210715</v>
      </c>
      <c r="M29" s="37">
        <f>HYPERLINK("https://secure.freee.co.jp/reports/general_ledgers/show?name=%E6%B8%9B%E4%BE%A1%E5%84%9F%E5%8D%B4%E8%B2%BB&amp;start_date=2026-02-01&amp;end_date=2026-02-28&amp;fiscal_year_id=9701717",210724)</f>
        <v>210724</v>
      </c>
      <c r="N29" s="38">
        <f>SUM(B29:M29)</f>
        <v>2298989</v>
      </c>
      <c r="O29" s="32" t="s">
        <v>357</v>
      </c>
    </row>
    <row r="30" spans="1:15" x14ac:dyDescent="0.25">
      <c r="A30" s="42" t="s">
        <v>448</v>
      </c>
      <c r="B30" s="43">
        <v>2338368</v>
      </c>
      <c r="C30" s="43">
        <v>8087063</v>
      </c>
      <c r="D30" s="43">
        <v>6280806</v>
      </c>
      <c r="E30" s="43">
        <v>6035567</v>
      </c>
      <c r="F30" s="43">
        <v>11898524</v>
      </c>
      <c r="G30" s="43">
        <v>6726263</v>
      </c>
      <c r="H30" s="43">
        <v>6180602</v>
      </c>
      <c r="I30" s="43">
        <v>8707173</v>
      </c>
      <c r="J30" s="43">
        <v>6149592</v>
      </c>
      <c r="K30" s="43">
        <v>6217824</v>
      </c>
      <c r="L30" s="43">
        <v>8863553</v>
      </c>
      <c r="M30" s="43">
        <v>10733443</v>
      </c>
      <c r="N30" s="43">
        <f>SUM(B30:M30)</f>
        <v>88218778</v>
      </c>
      <c r="O30" s="44"/>
    </row>
    <row r="31" spans="1:15" x14ac:dyDescent="0.25">
      <c r="A31" s="42" t="s">
        <v>449</v>
      </c>
      <c r="B31" s="43">
        <v>6941964</v>
      </c>
      <c r="C31" s="43">
        <v>1930269</v>
      </c>
      <c r="D31" s="43">
        <v>766526</v>
      </c>
      <c r="E31" s="43">
        <v>1011765</v>
      </c>
      <c r="F31" s="43">
        <v>-4851192</v>
      </c>
      <c r="G31" s="43">
        <v>321069</v>
      </c>
      <c r="H31" s="43">
        <v>866730</v>
      </c>
      <c r="I31" s="43">
        <v>-1659841</v>
      </c>
      <c r="J31" s="43">
        <v>897740</v>
      </c>
      <c r="K31" s="43">
        <v>829508</v>
      </c>
      <c r="L31" s="43">
        <v>-2065553</v>
      </c>
      <c r="M31" s="43">
        <v>-3935443</v>
      </c>
      <c r="N31" s="43">
        <f>SUM(B31:M31)</f>
        <v>1053542</v>
      </c>
      <c r="O31" s="44"/>
    </row>
    <row r="32" spans="1:15" x14ac:dyDescent="0.25">
      <c r="A32" s="10" t="s">
        <v>450</v>
      </c>
      <c r="B32" s="30">
        <f>HYPERLINK("https://secure.freee.co.jp/reports/general_ledgers/show?name=%E5%8F%97%E5%8F%96%E5%88%A9%E6%81%AF&amp;start_date=2025-03-01&amp;end_date=2025-03-31&amp;fiscal_year_id=9701717",21340)</f>
        <v>21340</v>
      </c>
      <c r="C32" s="33">
        <f>HYPERLINK("https://secure.freee.co.jp/reports/general_ledgers/show?name=%E5%8F%97%E5%8F%96%E5%88%A9%E6%81%AF&amp;start_date=2025-04-01&amp;end_date=2025-04-30&amp;fiscal_year_id=9701717",873)</f>
        <v>873</v>
      </c>
      <c r="D32" s="33">
        <f>HYPERLINK("https://secure.freee.co.jp/reports/general_ledgers/show?name=%E5%8F%97%E5%8F%96%E5%88%A9%E6%81%AF&amp;start_date=2025-05-01&amp;end_date=2025-05-31&amp;fiscal_year_id=9701717",2906)</f>
        <v>2906</v>
      </c>
      <c r="E32" s="33">
        <f>HYPERLINK("https://secure.freee.co.jp/reports/general_ledgers/show?name=%E5%8F%97%E5%8F%96%E5%88%A9%E6%81%AF&amp;start_date=2025-06-01&amp;end_date=2025-06-30&amp;fiscal_year_id=9701717",4550)</f>
        <v>4550</v>
      </c>
      <c r="F32" s="30">
        <f>HYPERLINK("https://secure.freee.co.jp/reports/general_ledgers/show?name=%E5%8F%97%E5%8F%96%E5%88%A9%E6%81%AF&amp;start_date=2025-07-01&amp;end_date=2025-07-31&amp;fiscal_year_id=9701717",3137)</f>
        <v>3137</v>
      </c>
      <c r="G32" s="30">
        <f>HYPERLINK("https://secure.freee.co.jp/reports/general_ledgers/show?name=%E5%8F%97%E5%8F%96%E5%88%A9%E6%81%AF&amp;start_date=2025-08-01&amp;end_date=2025-08-31&amp;fiscal_year_id=9701717",2647)</f>
        <v>2647</v>
      </c>
      <c r="H32" s="33">
        <f>HYPERLINK("https://secure.freee.co.jp/reports/general_ledgers/show?name=%E5%8F%97%E5%8F%96%E5%88%A9%E6%81%AF&amp;start_date=2025-09-01&amp;end_date=2025-09-30&amp;fiscal_year_id=9701717",25011)</f>
        <v>25011</v>
      </c>
      <c r="I32" s="33">
        <f>HYPERLINK("https://secure.freee.co.jp/reports/general_ledgers/show?name=%E5%8F%97%E5%8F%96%E5%88%A9%E6%81%AF&amp;start_date=2025-10-01&amp;end_date=2025-10-31&amp;fiscal_year_id=9701717",3986)</f>
        <v>3986</v>
      </c>
      <c r="J32" s="30">
        <f>HYPERLINK("https://secure.freee.co.jp/reports/general_ledgers/show?name=%E5%8F%97%E5%8F%96%E5%88%A9%E6%81%AF&amp;start_date=2025-11-01&amp;end_date=2025-11-30&amp;fiscal_year_id=9701717",2114)</f>
        <v>2114</v>
      </c>
      <c r="K32" s="30">
        <f>HYPERLINK("https://secure.freee.co.jp/reports/general_ledgers/show?name=%E5%8F%97%E5%8F%96%E5%88%A9%E6%81%AF&amp;start_date=2025-12-01&amp;end_date=2025-12-31&amp;fiscal_year_id=9701717",2496)</f>
        <v>2496</v>
      </c>
      <c r="L32" s="33">
        <f>HYPERLINK("https://secure.freee.co.jp/reports/general_ledgers/show?name=%E5%8F%97%E5%8F%96%E5%88%A9%E6%81%AF&amp;start_date=2026-01-01&amp;end_date=2026-01-31&amp;fiscal_year_id=9701717",3871)</f>
        <v>3871</v>
      </c>
      <c r="M32" s="37">
        <f>HYPERLINK("https://secure.freee.co.jp/reports/general_ledgers/show?name=%E5%8F%97%E5%8F%96%E5%88%A9%E6%81%AF&amp;start_date=2026-02-01&amp;end_date=2026-02-28&amp;fiscal_year_id=9701717",2186)</f>
        <v>2186</v>
      </c>
      <c r="N32" s="38">
        <f>SUM(B32:M32)</f>
        <v>75117</v>
      </c>
      <c r="O32" s="32" t="s">
        <v>357</v>
      </c>
    </row>
    <row r="33" spans="1:15" x14ac:dyDescent="0.25">
      <c r="A33" s="10" t="s">
        <v>451</v>
      </c>
      <c r="B33" s="40">
        <v>0</v>
      </c>
      <c r="C33" s="40">
        <v>0</v>
      </c>
      <c r="D33" s="40">
        <v>0</v>
      </c>
      <c r="E33" s="30">
        <f>HYPERLINK("https://secure.freee.co.jp/reports/general_ledgers/show?name=%E5%8F%97%E5%8F%96%E9%85%8D%E5%BD%93%E9%87%91&amp;start_date=2025-06-01&amp;end_date=2025-06-30&amp;fiscal_year_id=9701717",250)</f>
        <v>250</v>
      </c>
      <c r="F33" s="45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1">
        <v>0</v>
      </c>
      <c r="N33" s="38">
        <f>SUM(B33:M33)</f>
        <v>250</v>
      </c>
      <c r="O33" s="32" t="s">
        <v>357</v>
      </c>
    </row>
    <row r="34" spans="1:15" x14ac:dyDescent="0.25">
      <c r="A34" s="10" t="s">
        <v>452</v>
      </c>
      <c r="B34" s="30">
        <f>HYPERLINK("https://secure.freee.co.jp/reports/general_ledgers/show?name=%E9%9B%91%E5%8F%8E%E5%85%A5&amp;start_date=2025-03-01&amp;end_date=2025-03-31&amp;fiscal_year_id=9701717",25189)</f>
        <v>25189</v>
      </c>
      <c r="C34" s="30">
        <f>HYPERLINK("https://secure.freee.co.jp/reports/general_ledgers/show?name=%E9%9B%91%E5%8F%8E%E5%85%A5&amp;start_date=2025-04-01&amp;end_date=2025-04-30&amp;fiscal_year_id=9701717",24747)</f>
        <v>24747</v>
      </c>
      <c r="D34" s="30">
        <f>HYPERLINK("https://secure.freee.co.jp/reports/general_ledgers/show?name=%E9%9B%91%E5%8F%8E%E5%85%A5&amp;start_date=2025-05-01&amp;end_date=2025-05-31&amp;fiscal_year_id=9701717",22716)</f>
        <v>22716</v>
      </c>
      <c r="E34" s="30">
        <f>HYPERLINK("https://secure.freee.co.jp/reports/general_ledgers/show?name=%E9%9B%91%E5%8F%8E%E5%85%A5&amp;start_date=2025-06-01&amp;end_date=2025-06-30&amp;fiscal_year_id=9701717",31455)</f>
        <v>31455</v>
      </c>
      <c r="F34" s="30">
        <f>HYPERLINK("https://secure.freee.co.jp/reports/general_ledgers/show?name=%E9%9B%91%E5%8F%8E%E5%85%A5&amp;start_date=2025-07-01&amp;end_date=2025-07-31&amp;fiscal_year_id=9701717",23761)</f>
        <v>23761</v>
      </c>
      <c r="G34" s="30">
        <f>HYPERLINK("https://secure.freee.co.jp/reports/general_ledgers/show?name=%E9%9B%91%E5%8F%8E%E5%85%A5&amp;start_date=2025-08-01&amp;end_date=2025-08-31&amp;fiscal_year_id=9701717",22716)</f>
        <v>22716</v>
      </c>
      <c r="H34" s="30">
        <f>HYPERLINK("https://secure.freee.co.jp/reports/general_ledgers/show?name=%E9%9B%91%E5%8F%8E%E5%85%A5&amp;start_date=2025-09-01&amp;end_date=2025-09-30&amp;fiscal_year_id=9701717",24063)</f>
        <v>24063</v>
      </c>
      <c r="I34" s="30">
        <f>HYPERLINK("https://secure.freee.co.jp/reports/general_ledgers/show?name=%E9%9B%91%E5%8F%8E%E5%85%A5&amp;start_date=2025-10-01&amp;end_date=2025-10-31&amp;fiscal_year_id=9701717",23001)</f>
        <v>23001</v>
      </c>
      <c r="J34" s="30">
        <f>HYPERLINK("https://secure.freee.co.jp/reports/general_ledgers/show?name=%E9%9B%91%E5%8F%8E%E5%85%A5&amp;start_date=2025-11-01&amp;end_date=2025-11-30&amp;fiscal_year_id=9701717",22716)</f>
        <v>22716</v>
      </c>
      <c r="K34" s="30">
        <f>HYPERLINK("https://secure.freee.co.jp/reports/general_ledgers/show?name=%E9%9B%91%E5%8F%8E%E5%85%A5&amp;start_date=2025-12-01&amp;end_date=2025-12-31&amp;fiscal_year_id=9701717",22716)</f>
        <v>22716</v>
      </c>
      <c r="L34" s="45">
        <v>0</v>
      </c>
      <c r="M34" s="41">
        <v>0</v>
      </c>
      <c r="N34" s="38">
        <f>SUM(B34:M34)</f>
        <v>243080</v>
      </c>
      <c r="O34" s="32" t="s">
        <v>357</v>
      </c>
    </row>
    <row r="35" spans="1:15" x14ac:dyDescent="0.25">
      <c r="A35" s="10" t="s">
        <v>453</v>
      </c>
      <c r="B35" s="30">
        <v>46529</v>
      </c>
      <c r="C35" s="30">
        <v>25620</v>
      </c>
      <c r="D35" s="30">
        <v>25622</v>
      </c>
      <c r="E35" s="30">
        <v>36255</v>
      </c>
      <c r="F35" s="30">
        <v>26898</v>
      </c>
      <c r="G35" s="30">
        <v>25363</v>
      </c>
      <c r="H35" s="30">
        <v>49074</v>
      </c>
      <c r="I35" s="30">
        <v>26987</v>
      </c>
      <c r="J35" s="30">
        <v>24830</v>
      </c>
      <c r="K35" s="30">
        <v>25212</v>
      </c>
      <c r="L35" s="30">
        <v>3871</v>
      </c>
      <c r="M35" s="37">
        <v>2186</v>
      </c>
      <c r="N35" s="38">
        <f>SUM(B35:M35)</f>
        <v>318447</v>
      </c>
      <c r="O35" s="39"/>
    </row>
    <row r="36" spans="1:15" x14ac:dyDescent="0.25">
      <c r="A36" s="10" t="s">
        <v>454</v>
      </c>
      <c r="B36" s="30">
        <f>HYPERLINK("https://secure.freee.co.jp/reports/general_ledgers/show?name=%E6%94%AF%E6%89%95%E5%88%A9%E6%81%AF&amp;start_date=2025-03-01&amp;end_date=2025-03-31&amp;fiscal_year_id=9701717",41945)</f>
        <v>41945</v>
      </c>
      <c r="C36" s="30">
        <f>HYPERLINK("https://secure.freee.co.jp/reports/general_ledgers/show?name=%E6%94%AF%E6%89%95%E5%88%A9%E6%81%AF&amp;start_date=2025-04-01&amp;end_date=2025-04-30&amp;fiscal_year_id=9701717",44649)</f>
        <v>44649</v>
      </c>
      <c r="D36" s="30">
        <f>HYPERLINK("https://secure.freee.co.jp/reports/general_ledgers/show?name=%E6%94%AF%E6%89%95%E5%88%A9%E6%81%AF&amp;start_date=2025-05-01&amp;end_date=2025-05-31&amp;fiscal_year_id=9701717",41478)</f>
        <v>41478</v>
      </c>
      <c r="E36" s="30">
        <f>HYPERLINK("https://secure.freee.co.jp/reports/general_ledgers/show?name=%E6%94%AF%E6%89%95%E5%88%A9%E6%81%AF&amp;start_date=2025-06-01&amp;end_date=2025-06-30&amp;fiscal_year_id=9701717",41071)</f>
        <v>41071</v>
      </c>
      <c r="F36" s="30">
        <f>HYPERLINK("https://secure.freee.co.jp/reports/general_ledgers/show?name=%E6%94%AF%E6%89%95%E5%88%A9%E6%81%AF&amp;start_date=2025-07-01&amp;end_date=2025-07-31&amp;fiscal_year_id=9701717",38014)</f>
        <v>38014</v>
      </c>
      <c r="G36" s="30">
        <f>HYPERLINK("https://secure.freee.co.jp/reports/general_ledgers/show?name=%E6%94%AF%E6%89%95%E5%88%A9%E6%81%AF&amp;start_date=2025-08-01&amp;end_date=2025-08-31&amp;fiscal_year_id=9701717",37585)</f>
        <v>37585</v>
      </c>
      <c r="H36" s="30">
        <f>HYPERLINK("https://secure.freee.co.jp/reports/general_ledgers/show?name=%E6%94%AF%E6%89%95%E5%88%A9%E6%81%AF&amp;start_date=2025-09-01&amp;end_date=2025-09-30&amp;fiscal_year_id=9701717",35683)</f>
        <v>35683</v>
      </c>
      <c r="I36" s="30">
        <f>HYPERLINK("https://secure.freee.co.jp/reports/general_ledgers/show?name=%E6%94%AF%E6%89%95%E5%88%A9%E6%81%AF&amp;start_date=2025-10-01&amp;end_date=2025-10-31&amp;fiscal_year_id=9701717",33057)</f>
        <v>33057</v>
      </c>
      <c r="J36" s="30">
        <f>HYPERLINK("https://secure.freee.co.jp/reports/general_ledgers/show?name=%E6%94%AF%E6%89%95%E5%88%A9%E6%81%AF&amp;start_date=2025-11-01&amp;end_date=2025-11-30&amp;fiscal_year_id=9701717",32633)</f>
        <v>32633</v>
      </c>
      <c r="K36" s="30">
        <f>HYPERLINK("https://secure.freee.co.jp/reports/general_ledgers/show?name=%E6%94%AF%E6%89%95%E5%88%A9%E6%81%AF&amp;start_date=2025-12-01&amp;end_date=2025-12-31&amp;fiscal_year_id=9701717",30106)</f>
        <v>30106</v>
      </c>
      <c r="L36" s="30">
        <f>HYPERLINK("https://secure.freee.co.jp/reports/general_ledgers/show?name=%E6%94%AF%E6%89%95%E5%88%A9%E6%81%AF&amp;start_date=2026-01-01&amp;end_date=2026-01-31&amp;fiscal_year_id=9701717",29586)</f>
        <v>29586</v>
      </c>
      <c r="M36" s="37">
        <f>HYPERLINK("https://secure.freee.co.jp/reports/general_ledgers/show?name=%E6%94%AF%E6%89%95%E5%88%A9%E6%81%AF&amp;start_date=2026-02-01&amp;end_date=2026-02-28&amp;fiscal_year_id=9701717",28061)</f>
        <v>28061</v>
      </c>
      <c r="N36" s="38">
        <f>SUM(B36:M36)</f>
        <v>433868</v>
      </c>
      <c r="O36" s="32" t="s">
        <v>357</v>
      </c>
    </row>
    <row r="37" spans="1:15" x14ac:dyDescent="0.25">
      <c r="A37" s="10" t="s">
        <v>455</v>
      </c>
      <c r="B37" s="30">
        <v>41945</v>
      </c>
      <c r="C37" s="30">
        <v>44649</v>
      </c>
      <c r="D37" s="30">
        <v>41478</v>
      </c>
      <c r="E37" s="30">
        <v>41071</v>
      </c>
      <c r="F37" s="30">
        <v>38014</v>
      </c>
      <c r="G37" s="30">
        <v>37585</v>
      </c>
      <c r="H37" s="30">
        <v>35683</v>
      </c>
      <c r="I37" s="30">
        <v>33057</v>
      </c>
      <c r="J37" s="30">
        <v>32633</v>
      </c>
      <c r="K37" s="30">
        <v>30106</v>
      </c>
      <c r="L37" s="30">
        <v>29586</v>
      </c>
      <c r="M37" s="37">
        <v>28061</v>
      </c>
      <c r="N37" s="38">
        <f>SUM(B37:M37)</f>
        <v>433868</v>
      </c>
      <c r="O37" s="39"/>
    </row>
    <row r="38" spans="1:15" x14ac:dyDescent="0.25">
      <c r="A38" s="42" t="s">
        <v>456</v>
      </c>
      <c r="B38" s="43">
        <v>6946548</v>
      </c>
      <c r="C38" s="43">
        <v>1911240</v>
      </c>
      <c r="D38" s="43">
        <v>750670</v>
      </c>
      <c r="E38" s="43">
        <v>1006949</v>
      </c>
      <c r="F38" s="43">
        <v>-4862308</v>
      </c>
      <c r="G38" s="43">
        <v>308847</v>
      </c>
      <c r="H38" s="43">
        <v>880121</v>
      </c>
      <c r="I38" s="43">
        <v>-1665911</v>
      </c>
      <c r="J38" s="43">
        <v>889937</v>
      </c>
      <c r="K38" s="43">
        <v>824614</v>
      </c>
      <c r="L38" s="43">
        <v>-2091268</v>
      </c>
      <c r="M38" s="43">
        <v>-3961318</v>
      </c>
      <c r="N38" s="43">
        <f>SUM(B38:M38)</f>
        <v>938121</v>
      </c>
      <c r="O38" s="44"/>
    </row>
    <row r="39" spans="1:15" x14ac:dyDescent="0.25">
      <c r="A39" s="10" t="s">
        <v>457</v>
      </c>
      <c r="B39" s="40">
        <v>0</v>
      </c>
      <c r="C39" s="40">
        <v>0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1">
        <v>0</v>
      </c>
      <c r="N39" s="38">
        <f>SUM(B39:M39)</f>
        <v>0</v>
      </c>
      <c r="O39" s="39"/>
    </row>
    <row r="40" spans="1:15" x14ac:dyDescent="0.25">
      <c r="A40" s="10" t="s">
        <v>458</v>
      </c>
      <c r="B40" s="40">
        <v>0</v>
      </c>
      <c r="C40" s="40">
        <v>0</v>
      </c>
      <c r="D40" s="40">
        <v>0</v>
      </c>
      <c r="E40" s="40">
        <v>0</v>
      </c>
      <c r="F40" s="40">
        <v>0</v>
      </c>
      <c r="G40" s="40">
        <v>0</v>
      </c>
      <c r="H40" s="40">
        <v>0</v>
      </c>
      <c r="I40" s="40">
        <v>0</v>
      </c>
      <c r="J40" s="40">
        <v>0</v>
      </c>
      <c r="K40" s="40">
        <v>0</v>
      </c>
      <c r="L40" s="40">
        <v>0</v>
      </c>
      <c r="M40" s="41">
        <v>0</v>
      </c>
      <c r="N40" s="38">
        <f>SUM(B40:M40)</f>
        <v>0</v>
      </c>
      <c r="O40" s="39"/>
    </row>
    <row r="41" spans="1:15" x14ac:dyDescent="0.25">
      <c r="A41" s="42" t="s">
        <v>459</v>
      </c>
      <c r="B41" s="43">
        <v>6946548</v>
      </c>
      <c r="C41" s="43">
        <v>1911240</v>
      </c>
      <c r="D41" s="43">
        <v>750670</v>
      </c>
      <c r="E41" s="43">
        <v>1006949</v>
      </c>
      <c r="F41" s="43">
        <v>-4862308</v>
      </c>
      <c r="G41" s="43">
        <v>308847</v>
      </c>
      <c r="H41" s="43">
        <v>880121</v>
      </c>
      <c r="I41" s="43">
        <v>-1665911</v>
      </c>
      <c r="J41" s="43">
        <v>889937</v>
      </c>
      <c r="K41" s="43">
        <v>824614</v>
      </c>
      <c r="L41" s="43">
        <v>-2091268</v>
      </c>
      <c r="M41" s="43">
        <v>-3961318</v>
      </c>
      <c r="N41" s="43">
        <f>SUM(B41:M41)</f>
        <v>938121</v>
      </c>
      <c r="O41" s="44"/>
    </row>
    <row r="42" spans="1:15" x14ac:dyDescent="0.25">
      <c r="A42" s="10" t="s">
        <v>460</v>
      </c>
      <c r="B42" s="30">
        <f>HYPERLINK("https://secure.freee.co.jp/reports/general_ledgers/show?name=%E6%B3%95%E4%BA%BA%E7%A8%8E%E3%83%BB%E4%BD%8F%E6%B0%91%E7%A8%8E%E5%8F%8A%E3%81%B3%E4%BA%8B%E6%A5%AD%E7%A8%8E&amp;start_date=2025-03-01&amp;end_date=2025-03-31&amp;fiscal_year_id=9701717",3267)</f>
        <v>3267</v>
      </c>
      <c r="C42" s="33">
        <f>HYPERLINK("https://secure.freee.co.jp/reports/general_ledgers/show?name=%E6%B3%95%E4%BA%BA%E7%A8%8E%E3%83%BB%E4%BD%8F%E6%B0%91%E7%A8%8E%E5%8F%8A%E3%81%B3%E4%BA%8B%E6%A5%AD%E7%A8%8E&amp;start_date=2025-04-01&amp;end_date=2025-04-30&amp;fiscal_year_id=9701717",133)</f>
        <v>133</v>
      </c>
      <c r="D42" s="33">
        <f>HYPERLINK("https://secure.freee.co.jp/reports/general_ledgers/show?name=%E6%B3%95%E4%BA%BA%E7%A8%8E%E3%83%BB%E4%BD%8F%E6%B0%91%E7%A8%8E%E5%8F%8A%E3%81%B3%E4%BA%8B%E6%A5%AD%E7%A8%8E&amp;start_date=2025-05-01&amp;end_date=2025-05-31&amp;fiscal_year_id=9701717",445)</f>
        <v>445</v>
      </c>
      <c r="E42" s="33">
        <f>HYPERLINK("https://secure.freee.co.jp/reports/general_ledgers/show?name=%E6%B3%95%E4%BA%BA%E7%A8%8E%E3%83%BB%E4%BD%8F%E6%B0%91%E7%A8%8E%E5%8F%8A%E3%81%B3%E4%BA%8B%E6%A5%AD%E7%A8%8E&amp;start_date=2025-06-01&amp;end_date=2025-06-30&amp;fiscal_year_id=9701717",745)</f>
        <v>745</v>
      </c>
      <c r="F42" s="30">
        <f>HYPERLINK("https://secure.freee.co.jp/reports/general_ledgers/show?name=%E6%B3%95%E4%BA%BA%E7%A8%8E%E3%83%BB%E4%BD%8F%E6%B0%91%E7%A8%8E%E5%8F%8A%E3%81%B3%E4%BA%8B%E6%A5%AD%E7%A8%8E&amp;start_date=2025-07-01&amp;end_date=2025-07-31&amp;fiscal_year_id=9701717",477)</f>
        <v>477</v>
      </c>
      <c r="G42" s="30">
        <f>HYPERLINK("https://secure.freee.co.jp/reports/general_ledgers/show?name=%E6%B3%95%E4%BA%BA%E7%A8%8E%E3%83%BB%E4%BD%8F%E6%B0%91%E7%A8%8E%E5%8F%8A%E3%81%B3%E4%BA%8B%E6%A5%AD%E7%A8%8E&amp;start_date=2025-08-01&amp;end_date=2025-08-31&amp;fiscal_year_id=9701717",405)</f>
        <v>405</v>
      </c>
      <c r="H42" s="33">
        <f>HYPERLINK("https://secure.freee.co.jp/reports/general_ledgers/show?name=%E6%B3%95%E4%BA%BA%E7%A8%8E%E3%83%BB%E4%BD%8F%E6%B0%91%E7%A8%8E%E5%8F%8A%E3%81%B3%E4%BA%8B%E6%A5%AD%E7%A8%8E&amp;start_date=2025-09-01&amp;end_date=2025-09-30&amp;fiscal_year_id=9701717",3830)</f>
        <v>3830</v>
      </c>
      <c r="I42" s="33">
        <f>HYPERLINK("https://secure.freee.co.jp/reports/general_ledgers/show?name=%E6%B3%95%E4%BA%BA%E7%A8%8E%E3%83%BB%E4%BD%8F%E6%B0%91%E7%A8%8E%E5%8F%8A%E3%81%B3%E4%BA%8B%E6%A5%AD%E7%A8%8E&amp;start_date=2025-10-01&amp;end_date=2025-10-31&amp;fiscal_year_id=9701717",809210)</f>
        <v>809210</v>
      </c>
      <c r="J42" s="33">
        <f>HYPERLINK("https://secure.freee.co.jp/reports/general_ledgers/show?name=%E6%B3%95%E4%BA%BA%E7%A8%8E%E3%83%BB%E4%BD%8F%E6%B0%91%E7%A8%8E%E5%8F%8A%E3%81%B3%E4%BA%8B%E6%A5%AD%E7%A8%8E&amp;start_date=2025-11-01&amp;end_date=2025-11-30&amp;fiscal_year_id=9701717",323)</f>
        <v>323</v>
      </c>
      <c r="K42" s="30">
        <f>HYPERLINK("https://secure.freee.co.jp/reports/general_ledgers/show?name=%E6%B3%95%E4%BA%BA%E7%A8%8E%E3%83%BB%E4%BD%8F%E6%B0%91%E7%A8%8E%E5%8F%8A%E3%81%B3%E4%BA%8B%E6%A5%AD%E7%A8%8E&amp;start_date=2025-12-01&amp;end_date=2025-12-31&amp;fiscal_year_id=9701717",382)</f>
        <v>382</v>
      </c>
      <c r="L42" s="33">
        <f>HYPERLINK("https://secure.freee.co.jp/reports/general_ledgers/show?name=%E6%B3%95%E4%BA%BA%E7%A8%8E%E3%83%BB%E4%BD%8F%E6%B0%91%E7%A8%8E%E5%8F%8A%E3%81%B3%E4%BA%8B%E6%A5%AD%E7%A8%8E&amp;start_date=2026-01-01&amp;end_date=2026-01-31&amp;fiscal_year_id=9701717",592)</f>
        <v>592</v>
      </c>
      <c r="M42" s="37">
        <f>HYPERLINK("https://secure.freee.co.jp/reports/general_ledgers/show?name=%E6%B3%95%E4%BA%BA%E7%A8%8E%E3%83%BB%E4%BD%8F%E6%B0%91%E7%A8%8E%E5%8F%8A%E3%81%B3%E4%BA%8B%E6%A5%AD%E7%A8%8E&amp;start_date=2026-02-01&amp;end_date=2026-02-28&amp;fiscal_year_id=9701717",334)</f>
        <v>334</v>
      </c>
      <c r="N42" s="38">
        <f>SUM(B42:M42)</f>
        <v>820143</v>
      </c>
      <c r="O42" s="32" t="s">
        <v>357</v>
      </c>
    </row>
    <row r="43" spans="1:15" x14ac:dyDescent="0.25">
      <c r="A43" s="10" t="s">
        <v>461</v>
      </c>
      <c r="B43" s="30">
        <v>3267</v>
      </c>
      <c r="C43" s="30">
        <v>133</v>
      </c>
      <c r="D43" s="30">
        <v>445</v>
      </c>
      <c r="E43" s="30">
        <v>745</v>
      </c>
      <c r="F43" s="30">
        <v>477</v>
      </c>
      <c r="G43" s="30">
        <v>405</v>
      </c>
      <c r="H43" s="30">
        <v>3830</v>
      </c>
      <c r="I43" s="30">
        <v>809210</v>
      </c>
      <c r="J43" s="30">
        <v>323</v>
      </c>
      <c r="K43" s="30">
        <v>382</v>
      </c>
      <c r="L43" s="30">
        <v>592</v>
      </c>
      <c r="M43" s="37">
        <v>334</v>
      </c>
      <c r="N43" s="38">
        <f>SUM(B43:M43)</f>
        <v>820143</v>
      </c>
      <c r="O43" s="39"/>
    </row>
    <row r="44" spans="1:15" x14ac:dyDescent="0.25">
      <c r="A44" s="42" t="s">
        <v>462</v>
      </c>
      <c r="B44" s="43">
        <v>6943281</v>
      </c>
      <c r="C44" s="43">
        <v>1911107</v>
      </c>
      <c r="D44" s="43">
        <v>750225</v>
      </c>
      <c r="E44" s="43">
        <v>1006204</v>
      </c>
      <c r="F44" s="43">
        <v>-4862785</v>
      </c>
      <c r="G44" s="43">
        <v>308442</v>
      </c>
      <c r="H44" s="43">
        <v>876291</v>
      </c>
      <c r="I44" s="43">
        <v>-2475121</v>
      </c>
      <c r="J44" s="43">
        <v>889614</v>
      </c>
      <c r="K44" s="43">
        <v>824232</v>
      </c>
      <c r="L44" s="43">
        <v>-2091860</v>
      </c>
      <c r="M44" s="43">
        <v>-3961652</v>
      </c>
      <c r="N44" s="43">
        <f>SUM(B44:M44)</f>
        <v>117978</v>
      </c>
      <c r="O44" s="44"/>
    </row>
  </sheetData>
  <mergeCells count="1">
    <mergeCell ref="A1:O1"/>
  </mergeCells>
  <hyperlinks>
    <hyperlink ref="O7" r:id="rId1"/>
    <hyperlink ref="O8" r:id="rId2"/>
    <hyperlink ref="O9" r:id="rId3"/>
    <hyperlink ref="O10" r:id="rId4"/>
    <hyperlink ref="O11" r:id="rId5"/>
    <hyperlink ref="O12" r:id="rId6"/>
    <hyperlink ref="O13" r:id="rId7"/>
    <hyperlink ref="O14" r:id="rId8"/>
    <hyperlink ref="O15" r:id="rId9"/>
    <hyperlink ref="O16" r:id="rId10"/>
    <hyperlink ref="O17" r:id="rId11"/>
    <hyperlink ref="O18" r:id="rId12"/>
    <hyperlink ref="O19" r:id="rId13"/>
    <hyperlink ref="O20" r:id="rId14"/>
    <hyperlink ref="O21" r:id="rId15"/>
    <hyperlink ref="O22" r:id="rId16"/>
    <hyperlink ref="O23" r:id="rId17"/>
    <hyperlink ref="O24" r:id="rId18"/>
    <hyperlink ref="O25" r:id="rId19"/>
    <hyperlink ref="O26" r:id="rId20"/>
    <hyperlink ref="O27" r:id="rId21"/>
    <hyperlink ref="O28" r:id="rId22"/>
    <hyperlink ref="O29" r:id="rId23"/>
    <hyperlink ref="O32" r:id="rId24"/>
    <hyperlink ref="O33" r:id="rId25"/>
    <hyperlink ref="O34" r:id="rId26"/>
    <hyperlink ref="O36" r:id="rId27"/>
    <hyperlink ref="O42" r:id="rId2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351</v>
      </c>
      <c r="B1" s="5" t="s">
        <v>463</v>
      </c>
      <c r="C1" s="5" t="s">
        <v>464</v>
      </c>
      <c r="D1" s="5" t="s">
        <v>465</v>
      </c>
    </row>
    <row r="2" spans="1:4" x14ac:dyDescent="0.25">
      <c r="A2" s="10" t="s">
        <v>373</v>
      </c>
      <c r="B2" s="10" t="s">
        <v>466</v>
      </c>
      <c r="C2" s="30">
        <v>5390000</v>
      </c>
      <c r="D2" s="14" t="s">
        <v>467</v>
      </c>
    </row>
    <row r="3" spans="1:4" x14ac:dyDescent="0.25">
      <c r="A3" s="10" t="s">
        <v>394</v>
      </c>
      <c r="B3" s="10" t="s">
        <v>468</v>
      </c>
      <c r="C3" s="30">
        <v>2760000</v>
      </c>
      <c r="D3" s="10" t="s">
        <v>6</v>
      </c>
    </row>
    <row r="4" spans="1:4" x14ac:dyDescent="0.25">
      <c r="A4" s="10" t="s">
        <v>373</v>
      </c>
      <c r="B4" s="10" t="s">
        <v>469</v>
      </c>
      <c r="C4" s="30">
        <v>1408000</v>
      </c>
      <c r="D4" s="14" t="s">
        <v>467</v>
      </c>
    </row>
    <row r="5" spans="1:4" x14ac:dyDescent="0.25">
      <c r="A5" s="10" t="s">
        <v>394</v>
      </c>
      <c r="B5" s="10" t="s">
        <v>470</v>
      </c>
      <c r="C5" s="30">
        <v>1137330</v>
      </c>
      <c r="D5" s="10" t="s">
        <v>6</v>
      </c>
    </row>
    <row r="6" spans="1:4" x14ac:dyDescent="0.25">
      <c r="A6" s="10" t="s">
        <v>394</v>
      </c>
      <c r="B6" s="10" t="s">
        <v>471</v>
      </c>
      <c r="C6" s="30">
        <v>451728</v>
      </c>
      <c r="D6" s="10" t="s">
        <v>6</v>
      </c>
    </row>
    <row r="7" spans="1:4" x14ac:dyDescent="0.25">
      <c r="A7" s="10" t="s">
        <v>394</v>
      </c>
      <c r="B7" s="10" t="s">
        <v>472</v>
      </c>
      <c r="C7" s="30">
        <v>74580</v>
      </c>
      <c r="D7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2026-04-07T07:19:58Z</dcterms:created>
  <dcterms:modified xsi:type="dcterms:W3CDTF">2026-04-07T07:19:58Z</dcterms:modified>
</cp:coreProperties>
</file>