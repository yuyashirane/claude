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ー" state="visible" r:id="rId4"/>
    <sheet sheetId="2" name="指摘一覧" state="visible" r:id="rId5"/>
    <sheet sheetId="3" name="消費税区分チェック" state="visible" r:id="rId6"/>
    <sheet sheetId="4" name="源泉所得税チェック" state="visible" r:id="rId7"/>
    <sheet sheetId="5" name="予定納税チェック" state="visible" r:id="rId8"/>
    <sheet sheetId="6" name="BS残高指摘" state="visible" r:id="rId9"/>
    <sheet sheetId="7" name="PL・期間配分チェック" state="visible" r:id="rId10"/>
    <sheet sheetId="8" name="データ品質・その他" state="visible" r:id="rId11"/>
    <sheet sheetId="9" name="BS残高チェック" state="visible" r:id="rId12"/>
    <sheet sheetId="10" name="PL月次推移" state="visible" r:id="rId13"/>
    <sheet sheetId="11" name="取引先別残高" state="visible" r:id="rId14"/>
  </sheets>
  <calcPr calcId="171027"/>
</workbook>
</file>

<file path=xl/sharedStrings.xml><?xml version="1.0" encoding="utf-8"?>
<sst xmlns="http://schemas.openxmlformats.org/spreadsheetml/2006/main" count="1216" uniqueCount="417">
  <si>
    <t>株式会社輝陽 帳簿チェックレポート</t>
  </si>
  <si>
    <t>対象月</t>
  </si>
  <si>
    <t>2026年2月</t>
  </si>
  <si>
    <t>チェック実行日</t>
  </si>
  <si>
    <t>2026年4月7日</t>
  </si>
  <si>
    <t>指摘サマリー</t>
  </si>
  <si>
    <t/>
  </si>
  <si>
    <t>🔴要修正</t>
  </si>
  <si>
    <t>🟡要確認</t>
  </si>
  <si>
    <t>🔵情報</t>
  </si>
  <si>
    <t>件数</t>
  </si>
  <si>
    <t>チェック項目別内訳</t>
  </si>
  <si>
    <t>チェック項目</t>
  </si>
  <si>
    <t>🔴</t>
  </si>
  <si>
    <t>🟡</t>
  </si>
  <si>
    <t>🔵</t>
  </si>
  <si>
    <t>合計</t>
  </si>
  <si>
    <t>消費税区分チェック</t>
  </si>
  <si>
    <t>-</t>
  </si>
  <si>
    <t>源泉所得税チェック</t>
  </si>
  <si>
    <t>予定納税チェック</t>
  </si>
  <si>
    <t>BS残高指摘</t>
  </si>
  <si>
    <t>PL・期間配分チェック</t>
  </si>
  <si>
    <t>データ品質・その他</t>
  </si>
  <si>
    <t>チェック実行結果</t>
  </si>
  <si>
    <t>コード</t>
  </si>
  <si>
    <t>チェック名</t>
  </si>
  <si>
    <t>結果</t>
  </si>
  <si>
    <t>DQ-01</t>
  </si>
  <si>
    <t>未処理明細の残存</t>
  </si>
  <si>
    <t>⚠️</t>
  </si>
  <si>
    <t>DQ-02</t>
  </si>
  <si>
    <t>重複計上の疑い</t>
  </si>
  <si>
    <t>DQ-03</t>
  </si>
  <si>
    <t>PL全科目ゼロ</t>
  </si>
  <si>
    <t>✅</t>
  </si>
  <si>
    <t>CD-01</t>
  </si>
  <si>
    <t>現金マイナス残高</t>
  </si>
  <si>
    <t>CD-02</t>
  </si>
  <si>
    <t>預金マイナス残高</t>
  </si>
  <si>
    <t>CD-03</t>
  </si>
  <si>
    <t>現金100万円超</t>
  </si>
  <si>
    <t>CD-04</t>
  </si>
  <si>
    <t>預金の前月比変動</t>
  </si>
  <si>
    <t>ET-01</t>
  </si>
  <si>
    <t>未確定勘定に残高</t>
  </si>
  <si>
    <t>ET-02</t>
  </si>
  <si>
    <t>資金諸口に残高</t>
  </si>
  <si>
    <t>ET-03</t>
  </si>
  <si>
    <t>仮受金・仮払金に残高</t>
  </si>
  <si>
    <t>ET-04</t>
  </si>
  <si>
    <t>未払法人税等の残高</t>
  </si>
  <si>
    <t>ET-05</t>
  </si>
  <si>
    <t>未払消費税等の残高</t>
  </si>
  <si>
    <t>ET-06</t>
  </si>
  <si>
    <t>雑収入・雑損失の内容確認</t>
  </si>
  <si>
    <t>ET-07</t>
  </si>
  <si>
    <t>受取利息の源泉税確認</t>
  </si>
  <si>
    <t>LL-01</t>
  </si>
  <si>
    <t>借入金の返済予定との不一致</t>
  </si>
  <si>
    <t>LL-02</t>
  </si>
  <si>
    <t>借入金のマイナス残高</t>
  </si>
  <si>
    <t>LL-03</t>
  </si>
  <si>
    <t>支払利息の異常</t>
  </si>
  <si>
    <t>OL-01</t>
  </si>
  <si>
    <t>役員貸付金・借入金のマイナス</t>
  </si>
  <si>
    <t>OL-02</t>
  </si>
  <si>
    <t>役員貸付金の増加</t>
  </si>
  <si>
    <t>OL-03</t>
  </si>
  <si>
    <t>立替経費のマイナス残高</t>
  </si>
  <si>
    <t>OL-04</t>
  </si>
  <si>
    <t>役員貸借の相殺確認</t>
  </si>
  <si>
    <t>FA-01</t>
  </si>
  <si>
    <t>消耗品費10万円以上</t>
  </si>
  <si>
    <t>FA-02</t>
  </si>
  <si>
    <t>修繕費20万円以上</t>
  </si>
  <si>
    <t>FA-03</t>
  </si>
  <si>
    <t>固定資産台帳との不一致</t>
  </si>
  <si>
    <t>RT-01</t>
  </si>
  <si>
    <t>地代家賃の金額変動</t>
  </si>
  <si>
    <t>RT-02</t>
  </si>
  <si>
    <t>更新料・礼金20万円以上</t>
  </si>
  <si>
    <t>RT-03</t>
  </si>
  <si>
    <t>地代家賃の取引先タグ漏れ</t>
  </si>
  <si>
    <t>PY-01</t>
  </si>
  <si>
    <t>役員報酬の期中変動</t>
  </si>
  <si>
    <t>PY-02</t>
  </si>
  <si>
    <t>法定福利費の異常</t>
  </si>
  <si>
    <t>PY-03</t>
  </si>
  <si>
    <t>源泉税・住民税の滞留</t>
  </si>
  <si>
    <t>PY-04</t>
  </si>
  <si>
    <t>給与手当の前月比異常</t>
  </si>
  <si>
    <t>OS-01</t>
  </si>
  <si>
    <t>士業報酬の源泉徴収確認</t>
  </si>
  <si>
    <t>OS-02</t>
  </si>
  <si>
    <t>外注の源泉税滞留</t>
  </si>
  <si>
    <t>RR-01</t>
  </si>
  <si>
    <t>売上の月次推移異常</t>
  </si>
  <si>
    <t>RR-02</t>
  </si>
  <si>
    <t>売掛金の滞留</t>
  </si>
  <si>
    <t>RR-03</t>
  </si>
  <si>
    <t>売上の取引先タグ漏れ</t>
  </si>
  <si>
    <t>PP-01</t>
  </si>
  <si>
    <t>仕入の月次推移異常</t>
  </si>
  <si>
    <t>PP-02</t>
  </si>
  <si>
    <t>買掛金・未払金の滞留</t>
  </si>
  <si>
    <t>PP-03</t>
  </si>
  <si>
    <t>クレジットカード未払金の滞留</t>
  </si>
  <si>
    <t>PP-04</t>
  </si>
  <si>
    <t>その他経費の異常</t>
  </si>
  <si>
    <t>BA-01</t>
  </si>
  <si>
    <t>BS科目のマイナス残高</t>
  </si>
  <si>
    <t>BA-02</t>
  </si>
  <si>
    <t>滞留残高（2ヶ月以上変動なし）</t>
  </si>
  <si>
    <t>BA-03</t>
  </si>
  <si>
    <t>仮勘定の未解消</t>
  </si>
  <si>
    <t>BA-04</t>
  </si>
  <si>
    <t>前月比50%超変動</t>
  </si>
  <si>
    <t>BA-05</t>
  </si>
  <si>
    <t>本来ゼロの科目に残高</t>
  </si>
  <si>
    <t>PA-01</t>
  </si>
  <si>
    <t>前払費用の償却漏れ</t>
  </si>
  <si>
    <t>PA-02</t>
  </si>
  <si>
    <t>前払費用の過大償却</t>
  </si>
  <si>
    <t>PA-03</t>
  </si>
  <si>
    <t>前払費用の停滞</t>
  </si>
  <si>
    <t>PA-04</t>
  </si>
  <si>
    <t>定期発生費用の欠損</t>
  </si>
  <si>
    <t>PA-05</t>
  </si>
  <si>
    <t>定期費用の金額変動</t>
  </si>
  <si>
    <t>PA-06</t>
  </si>
  <si>
    <t>未払金の洗い替え確認</t>
  </si>
  <si>
    <t>PA-07</t>
  </si>
  <si>
    <t>前受金の洗い替え確認</t>
  </si>
  <si>
    <t>PA-08</t>
  </si>
  <si>
    <t>前払費用の洗い替え確認</t>
  </si>
  <si>
    <t>TC-01</t>
  </si>
  <si>
    <t>不課税科目に課税仕入</t>
  </si>
  <si>
    <t>TC-02</t>
  </si>
  <si>
    <t>非課税科目に課税仕入</t>
  </si>
  <si>
    <t>TC-03</t>
  </si>
  <si>
    <t>地代家賃の住居系非課税</t>
  </si>
  <si>
    <t>TC-04</t>
  </si>
  <si>
    <t>海外サービスの税区分</t>
  </si>
  <si>
    <t>TC-05</t>
  </si>
  <si>
    <t>軽減税率の適用確認</t>
  </si>
  <si>
    <t>TC-06</t>
  </si>
  <si>
    <t>同一科目内の税区分混在</t>
  </si>
  <si>
    <t>TC-07</t>
  </si>
  <si>
    <t>売上の税区分チェック</t>
  </si>
  <si>
    <t>TC-08</t>
  </si>
  <si>
    <t>高額課税仕入の確認</t>
  </si>
  <si>
    <t>WT-01</t>
  </si>
  <si>
    <t>個人士業への源泉未処理</t>
  </si>
  <si>
    <t>WT-02</t>
  </si>
  <si>
    <t>デザイン等の源泉対象報酬</t>
  </si>
  <si>
    <t>WT-03</t>
  </si>
  <si>
    <t>源泉税額の検算</t>
  </si>
  <si>
    <t>WT-04</t>
  </si>
  <si>
    <t>預り金残高の滞留</t>
  </si>
  <si>
    <t>WT-05</t>
  </si>
  <si>
    <t>納期の特例リマインド</t>
  </si>
  <si>
    <t>WT-06</t>
  </si>
  <si>
    <t>非居住者への支払い確認</t>
  </si>
  <si>
    <t>AT-01</t>
  </si>
  <si>
    <t>法人税の中間納付確認</t>
  </si>
  <si>
    <t>AT-02</t>
  </si>
  <si>
    <t>消費税の中間納付確認</t>
  </si>
  <si>
    <t>AT-03</t>
  </si>
  <si>
    <t>未払税金残高推移チェック</t>
  </si>
  <si>
    <t>重要度</t>
  </si>
  <si>
    <t>カテゴリ</t>
  </si>
  <si>
    <t>指摘内容</t>
  </si>
  <si>
    <t>現在の値</t>
  </si>
  <si>
    <t>推奨値/基準</t>
  </si>
  <si>
    <t>freeeリンク</t>
  </si>
  <si>
    <t>借入金・リース</t>
  </si>
  <si>
    <t>「役員借入金」の残高がマイナス（-13,318,191円）です。借方・貸方が逆転しています。返済仕訳の方向を確認してください。</t>
  </si>
  <si>
    <t>-13,318,191円</t>
  </si>
  <si>
    <t>返済仕訳を確認し、借入金の相手勘定が正しいか確認してください</t>
  </si>
  <si>
    <t>freeeで確認</t>
  </si>
  <si>
    <t>残高異常</t>
  </si>
  <si>
    <t>「役員借入金」にマイナス残高 -13,318,191円があります。</t>
  </si>
  <si>
    <t>記帳漏れまたは過大計上を確認してください</t>
  </si>
  <si>
    <t xml:space="preserve">　　2026-02-25  </t>
  </si>
  <si>
    <t>39,144円</t>
  </si>
  <si>
    <t>（不明）</t>
  </si>
  <si>
    <t>明細を開く</t>
  </si>
  <si>
    <t>消費税区分</t>
  </si>
  <si>
    <t>「売上高」に非課税・不課税の取引が1件（235,620円）あります。売上は原則課税売上です。</t>
  </si>
  <si>
    <t>非課税/不課税 × 1件</t>
  </si>
  <si>
    <t>課税売上10%に修正</t>
  </si>
  <si>
    <t xml:space="preserve">　　2026-02-24  </t>
  </si>
  <si>
    <t>235,620円</t>
  </si>
  <si>
    <t>源泉所得税</t>
  </si>
  <si>
    <t>「」への支払報酬（148,237円 × 1件）に預り金の計上がありません。源泉所得税（10.21%）の徴収漏れの可能性があります。</t>
  </si>
  <si>
    <t>預り金なし</t>
  </si>
  <si>
    <t>源泉所得税 約15,134円を預り金計上</t>
  </si>
  <si>
    <t xml:space="preserve">　　2026-02-27  弁理士報酬＋意匠登録代</t>
  </si>
  <si>
    <t>148,237円</t>
  </si>
  <si>
    <t>支払手数料</t>
  </si>
  <si>
    <t>データ品質</t>
  </si>
  <si>
    <t>対象月（2026-02）末時点で、未登録の明細があります。freeeの「自動で経理」画面で確認してください。</t>
  </si>
  <si>
    <t>あり</t>
  </si>
  <si>
    <t>「取引＞自動で経理」で全件登録してください</t>
  </si>
  <si>
    <t>2026-02-15 に同日・同額（340円）・同科目(ID:169214196)の取引が 2 件あります。重複計上の可能性があります。</t>
  </si>
  <si>
    <t>deal_id: 3362665879, 3362665873</t>
  </si>
  <si>
    <t>重複していないか確認してください</t>
  </si>
  <si>
    <t>2026-02-15 に同日・同額（260円）・同科目(ID:169214196)の取引が 2 件あります。重複計上の可能性があります。</t>
  </si>
  <si>
    <t>deal_id: 3362665870, 3362665863</t>
  </si>
  <si>
    <t>2026-02-15 に同日・同額（600円）・同科目(ID:169214196)の取引が 2 件あります。重複計上の可能性があります。</t>
  </si>
  <si>
    <t>deal_id: 3362665855, 3362665849</t>
  </si>
  <si>
    <t>「役員借入金」に品目タグなしの残高（-13,318,191円）があります。どの借入先・リース契約に属するか不明です。</t>
  </si>
  <si>
    <t>未選択: -13,318,191円</t>
  </si>
  <si>
    <t>各借入先・リース契約ごとに品目タグを設定し、内訳を明確にしてください</t>
  </si>
  <si>
    <t>役員・関連取引</t>
  </si>
  <si>
    <t>「役員借入金」が前月比102,447円増加しています（前月: -13,420,638円 → 当月: -13,318,191円）。役員からの新規借入が発生しています。</t>
  </si>
  <si>
    <t>借入の目的と返済計画を確認してください。継続的な増加は資金繰り悪化のサインです</t>
  </si>
  <si>
    <t>人件費</t>
  </si>
  <si>
    <t>法定福利費の比率が高すぎます。給与合計 50,000円 に対し 法定福利費 11,236円（22.5%）。正常値は概ね14〜15%です。</t>
  </si>
  <si>
    <t>22.5%（給与合計: 50,000円、法定福利費: 11,236円）</t>
  </si>
  <si>
    <t>法定福利費は社会保険対象の給与合計の14〜15%程度が正常です</t>
  </si>
  <si>
    <t>外注費</t>
  </si>
  <si>
    <t>「支払手数料」で士業取引先「あしたの会計事務所」への支払 45,100円があります。「預り金（源泉所得税（士業））」残高がゼロのため、未計上の可能性があります。源泉徴収（推定 4,604円 / 10.21%）の計上・納付を確認してください。</t>
  </si>
  <si>
    <t>支払額: 45,100円</t>
  </si>
  <si>
    <t>源泉所得税 約4,604円 を「預り金（源泉所得税（士業））」として計上し、翌月10日までに納付してください</t>
  </si>
  <si>
    <t>売上・売掛金</t>
  </si>
  <si>
    <t>売上高が前月平均比 120%減少しています（当月: -305,193円、前月平均: 1,498,731円）。</t>
  </si>
  <si>
    <t>当月: -305,193円</t>
  </si>
  <si>
    <t>季節要因・受注ピーク等の理由がなければ、売上の計上漏れや二重計上を確認してください</t>
  </si>
  <si>
    <t>売上高が前年同月比 118%減少しています（当月: -305,193円、前年同月推定: 1,680,192円）。</t>
  </si>
  <si>
    <t>顧客増減・単価変更・業務構成の変化等の背景を確認してください</t>
  </si>
  <si>
    <t>仕入・買掛金</t>
  </si>
  <si>
    <t>「仕入高」が前月平均比 100%減少しています（当月: 0円、前月平均: 294円）。</t>
  </si>
  <si>
    <t>当月: 0円</t>
  </si>
  <si>
    <t>季節変動・大口発注以外の原因がなければ、計上漏れや二重計上を確認してください</t>
  </si>
  <si>
    <t>「売上原価」が前月平均比 100%減少しています（当月: 0円、前月平均: 294円）。</t>
  </si>
  <si>
    <t>「外注費」が前月平均比 100%減少しています（当月: 0円、前月平均: 27,000円）。</t>
  </si>
  <si>
    <t>「未払金」の「Sachi Gioielli」残高が2ヶ月連続で同額（3,078円）です。支払が滞留している可能性があります。</t>
  </si>
  <si>
    <t>3,078円（前月比変動なし）</t>
  </si>
  <si>
    <t>支払期日を確認し、消込処理または支払を実施してください</t>
  </si>
  <si>
    <t>「前払費用」の残高 82,500円が前月から変動ありません（滞留の可能性）。</t>
  </si>
  <si>
    <t>82,500円（前月同額）</t>
  </si>
  <si>
    <t>回収・支払状況を確認し、必要に応じて貸倒処理や振替を検討してください</t>
  </si>
  <si>
    <t xml:space="preserve">　　取引先「日本駐車場開発㈱」で滞留</t>
  </si>
  <si>
    <t>60,500円</t>
  </si>
  <si>
    <t xml:space="preserve">　　取引先「加瀬倉庫」で滞留</t>
  </si>
  <si>
    <t>22,000円</t>
  </si>
  <si>
    <t>「預託金」の残高 17,820円が前月から変動ありません（滞留の可能性）。</t>
  </si>
  <si>
    <t>17,820円（前月同額）</t>
  </si>
  <si>
    <t xml:space="preserve">　　取引先「㈱シュテルン世田谷」で滞留</t>
  </si>
  <si>
    <t>17,820円</t>
  </si>
  <si>
    <t>「売掛金」が前月比 100% 変動（782,099円 → 0円）。</t>
  </si>
  <si>
    <t>0円（前月: 782,099円、変動率: 100%）</t>
  </si>
  <si>
    <t>変動原因を確認してください</t>
  </si>
  <si>
    <t>期間配分</t>
  </si>
  <si>
    <t>「前払費用」の残高 82,500円が前月から変動していません。月割償却が行われていない可能性があります。</t>
  </si>
  <si>
    <t>月割で前払費用を取り崩す仕訳を確認してください</t>
  </si>
  <si>
    <t xml:space="preserve">　　[品目] 未選択</t>
  </si>
  <si>
    <t>82,500円</t>
  </si>
  <si>
    <t>「支払手数料」で以下の取引先への計上が当月ありません。計上漏れの可能性があります: 「司法書士法人つむぎ事務所（旧司法書士法人こうの事務所）」（前月平均: 8,955円/月）</t>
  </si>
  <si>
    <t>当月 計上なし</t>
  </si>
  <si>
    <t>司法書士法人つむぎ事務所（旧司法書士法人こうの事務所）: 約8,955円</t>
  </si>
  <si>
    <t>「通信費」で以下の取引先への計上が当月ありません。計上漏れの可能性があります: 「Unity」（前月平均: 13,770円/月）</t>
  </si>
  <si>
    <t>Unity: 約13,770円</t>
  </si>
  <si>
    <t>食品系キーワードを含む取引3件に標準税率10%が設定されています。軽減税率8%の可能性があります。</t>
  </si>
  <si>
    <t>課対仕入10% × 3件</t>
  </si>
  <si>
    <t>課対仕入8%（軽減）に修正</t>
  </si>
  <si>
    <t xml:space="preserve">　　2026-02-14  鎌田氏　贈答用菓子</t>
  </si>
  <si>
    <t>1,915円</t>
  </si>
  <si>
    <t xml:space="preserve">　　2026-02-14  菓子折り</t>
  </si>
  <si>
    <t>7,587円</t>
  </si>
  <si>
    <t xml:space="preserve">　　2026-02-09  石水氏　他2名　継続利用ユーザーからの満足点・不満点の聞き取り打ち合わせ</t>
  </si>
  <si>
    <t>8,547円</t>
  </si>
  <si>
    <t>「支払手数料」に2種類の税区分が混在しています（課対仕入10%: 4件、課対仕入(控80)10%: 1件）。</t>
  </si>
  <si>
    <t>2種類混在</t>
  </si>
  <si>
    <t>税区分ごとの内訳を確認してください</t>
  </si>
  <si>
    <t xml:space="preserve">　　課対仕入10%（4件・計47,558円）</t>
  </si>
  <si>
    <t>47,558円</t>
  </si>
  <si>
    <t xml:space="preserve">　　課対仕入(控80)10%（1件・計148,237円）</t>
  </si>
  <si>
    <t>「通信費」に2種類の税区分が混在しています（課対仕入10%: 4件、課対仕入(控80)10%: 2件）。</t>
  </si>
  <si>
    <t xml:space="preserve">　　課対仕入10%（4件・計6,432円）</t>
  </si>
  <si>
    <t>6,432円</t>
  </si>
  <si>
    <t xml:space="preserve">　　課対仕入(控80)10%（2件・計11,987円）</t>
  </si>
  <si>
    <t>11,987円</t>
  </si>
  <si>
    <t>「地代家賃」に2種類の税区分が混在しています（課対仕入10%: 2件、非課仕入: 1件）。</t>
  </si>
  <si>
    <t xml:space="preserve">　　課対仕入10%（2件・計82,800円）</t>
  </si>
  <si>
    <t>82,800円</t>
  </si>
  <si>
    <t xml:space="preserve">　　非課仕入（1件・計87,800円）</t>
  </si>
  <si>
    <t>87,800円</t>
  </si>
  <si>
    <t>「売上高」に2種類の税区分が混在しています（税区分コード20: 1件、課税売上10%: 1件）。</t>
  </si>
  <si>
    <t xml:space="preserve">　　税区分コード20（1件・計235,620円）</t>
  </si>
  <si>
    <t xml:space="preserve">　　課税売上10%（1件・計243,356円）</t>
  </si>
  <si>
    <t>243,356円</t>
  </si>
  <si>
    <t>「交際費」に2種類の税区分が混在しています（課対仕入10%: 7件、課対仕入(控80)10%: 1件）。</t>
  </si>
  <si>
    <t xml:space="preserve">　　課対仕入10%（7件・計128,296円）</t>
  </si>
  <si>
    <t>128,296円</t>
  </si>
  <si>
    <t xml:space="preserve">　　課対仕入(控80)10%（1件・計7,587円）</t>
  </si>
  <si>
    <t>営業外・税金</t>
  </si>
  <si>
    <t>受取利息5,106円に対する源泉所得税（15.315%）の計上を確認してください。</t>
  </si>
  <si>
    <t>受取利息: 5,106円</t>
  </si>
  <si>
    <t>源泉税 約781円を「法人税・住民税及び事業税」または「仮払法人税等」で処理してください</t>
  </si>
  <si>
    <t>「減価償却費」が前月平均比 1000%変動しています（当月: 75,000円、前月平均: 6,818円）。</t>
  </si>
  <si>
    <t>当月: 75,000円</t>
  </si>
  <si>
    <t>計上内容と金額の妥当性を確認してください</t>
  </si>
  <si>
    <t>「支払手数料」が前月平均比 458%変動しています（当月: 195,795円、前月平均: 35,076円）。</t>
  </si>
  <si>
    <t>当月: 195,795円</t>
  </si>
  <si>
    <t>「租税公課」が前月平均比 100%変動しています（当月: 200円、前月平均: 59,380円）。</t>
  </si>
  <si>
    <t>当月: 200円</t>
  </si>
  <si>
    <t>「旅費交通費」が前月平均比 90%変動しています（当月: 12,780円、前月平均: 122,950円）。</t>
  </si>
  <si>
    <t>当月: 12,780円</t>
  </si>
  <si>
    <t>「通信費」が前月平均比 51%変動しています（当月: 18,419円、前月平均: 37,254円）。</t>
  </si>
  <si>
    <t>当月: 18,419円</t>
  </si>
  <si>
    <t>「支払手数料」の取引先「あしたの会計事務所」が前月平均比 81% 変動しています（前月平均: 24,900円 → 当月: 45,100円）。期間配分の観点から確認を推奨します。</t>
  </si>
  <si>
    <t>当月: 45,100円（前月平均: 24,900円）</t>
  </si>
  <si>
    <t>一時的な金額増減か、契約変更等によるものか確認してください</t>
  </si>
  <si>
    <t>勘定科目と消費税区分の組み合わせの妥当性を検証します。</t>
  </si>
  <si>
    <t>士業報酬・外注費等の源泉徴収の漏れ・計算誤りを検出します。</t>
  </si>
  <si>
    <t>法人税・消費税の中間納付の処理状況を確認します。</t>
  </si>
  <si>
    <t>✅ 指摘事項はありません</t>
  </si>
  <si>
    <t>貸借対照表の科目残高の異常・滞留・マイナス残高を検出します。</t>
  </si>
  <si>
    <t>損益計算書の月次推移・期間配分・固定費の変動を検出します。</t>
  </si>
  <si>
    <t>未処理明細・重複・仮勘定・資金諸口等のデータ品質を検証します。</t>
  </si>
  <si>
    <t>科目名</t>
  </si>
  <si>
    <t>当月残高</t>
  </si>
  <si>
    <t>前月残高</t>
  </si>
  <si>
    <t>前月差</t>
  </si>
  <si>
    <t>変動率</t>
  </si>
  <si>
    <t>判定</t>
  </si>
  <si>
    <t>元帳</t>
  </si>
  <si>
    <t>山梨中央（法人）</t>
  </si>
  <si>
    <t>-5.9%</t>
  </si>
  <si>
    <t>元帳を開く</t>
  </si>
  <si>
    <t>楽天（法人）</t>
  </si>
  <si>
    <t>2.5%</t>
  </si>
  <si>
    <t>売掛金</t>
  </si>
  <si>
    <t>-100.0%</t>
  </si>
  <si>
    <t>△</t>
  </si>
  <si>
    <t>前払費用</t>
  </si>
  <si>
    <t>0.0%</t>
  </si>
  <si>
    <t>車両運搬具</t>
  </si>
  <si>
    <t>工具器具備品</t>
  </si>
  <si>
    <t>土地</t>
  </si>
  <si>
    <t>差入保証金</t>
  </si>
  <si>
    <t>長期前払費用</t>
  </si>
  <si>
    <t>-12.5%</t>
  </si>
  <si>
    <t>預託金</t>
  </si>
  <si>
    <t>役員借入金</t>
  </si>
  <si>
    <t>0.8%</t>
  </si>
  <si>
    <t>未払金</t>
  </si>
  <si>
    <t>28.8%</t>
  </si>
  <si>
    <t>freeeカード　ライト（Master）</t>
  </si>
  <si>
    <t>-31.6%</t>
  </si>
  <si>
    <t>未払法人税等</t>
  </si>
  <si>
    <t>未払消費税等</t>
  </si>
  <si>
    <t>預り金</t>
  </si>
  <si>
    <t>資本金</t>
  </si>
  <si>
    <t>繰越利益剰余金</t>
  </si>
  <si>
    <t>損益計算書 月次推移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</si>
  <si>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</si>
  <si>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</si>
  <si>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</si>
  <si>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</si>
  <si>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</si>
  <si>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</si>
  <si>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</si>
  <si>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</si>
  <si>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</si>
  <si>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</si>
  <si>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1月</t>
  </si>
  <si>
    <t>2月</t>
  </si>
  <si>
    <t>累計</t>
  </si>
  <si>
    <t>売上高</t>
  </si>
  <si>
    <t>売上原価 計</t>
  </si>
  <si>
    <t>売上総利益</t>
  </si>
  <si>
    <t xml:space="preserve">  役員報酬</t>
  </si>
  <si>
    <t xml:space="preserve">  法定福利費</t>
  </si>
  <si>
    <t xml:space="preserve">  外注費</t>
  </si>
  <si>
    <t xml:space="preserve">  交際費</t>
  </si>
  <si>
    <t xml:space="preserve">  会議費</t>
  </si>
  <si>
    <t xml:space="preserve">  旅費交通費</t>
  </si>
  <si>
    <t xml:space="preserve">  通信費</t>
  </si>
  <si>
    <t xml:space="preserve">  消耗品費</t>
  </si>
  <si>
    <t xml:space="preserve">  修繕費</t>
  </si>
  <si>
    <t xml:space="preserve">  支払手数料</t>
  </si>
  <si>
    <t xml:space="preserve">  車両費</t>
  </si>
  <si>
    <t xml:space="preserve">  地代家賃</t>
  </si>
  <si>
    <t xml:space="preserve">  保険料</t>
  </si>
  <si>
    <t xml:space="preserve">  租税公課</t>
  </si>
  <si>
    <t xml:space="preserve">  減価償却費</t>
  </si>
  <si>
    <t>販売管理費 計</t>
  </si>
  <si>
    <t>営業利益</t>
  </si>
  <si>
    <t xml:space="preserve">  受取利息</t>
  </si>
  <si>
    <t>営業外収益 計</t>
  </si>
  <si>
    <t xml:space="preserve">  為替差損</t>
  </si>
  <si>
    <t>営業外費用 計</t>
  </si>
  <si>
    <t>経常利益</t>
  </si>
  <si>
    <t xml:space="preserve">  固定資産売却益</t>
  </si>
  <si>
    <t>特別利益 計</t>
  </si>
  <si>
    <t>特別損失 計</t>
  </si>
  <si>
    <t>税引前当期純利益</t>
  </si>
  <si>
    <t xml:space="preserve">  法人税・住民税及び事業税</t>
  </si>
  <si>
    <t>法人税等 計</t>
  </si>
  <si>
    <t>当期純利益</t>
  </si>
  <si>
    <t xml:space="preserve">  仕入高</t>
  </si>
  <si>
    <t>取引先名</t>
  </si>
  <si>
    <t>残高</t>
  </si>
  <si>
    <t>滞留判定</t>
  </si>
  <si>
    <t>松原えれな</t>
  </si>
  <si>
    <t>未選択</t>
  </si>
  <si>
    <t>滞留</t>
  </si>
  <si>
    <t>あしたの会計事務所</t>
  </si>
  <si>
    <t>甲府年金事務所</t>
  </si>
  <si>
    <t>Sachi Gioielli</t>
  </si>
  <si>
    <t>Facebook</t>
  </si>
  <si>
    <t>Google</t>
  </si>
  <si>
    <t>Unity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</si>
</sst>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sz val="16"/>
      <name val="Meiryo UI"/>
    </font>
    <font>
      <sz val="10"/>
      <name val="Meiryo UI"/>
    </font>
    <font>
      <b/>
      <sz val="10"/>
      <name val="Meiryo UI"/>
    </font>
    <font>
      <b/>
      <sz val="13"/>
      <name val="Meiryo UI"/>
    </font>
    <font>
      <b/>
      <color rgb="FFFFFFFF"/>
      <sz val="10"/>
      <name val="Meiryo UI"/>
    </font>
    <font>
      <b/>
      <sz val="24"/>
      <name val="Meiryo UI"/>
    </font>
    <font>
      <u/>
      <color rgb="FF0066CC"/>
      <sz val="10"/>
      <name val="Meiryo UI"/>
    </font>
    <font>
      <color rgb="FF555555"/>
      <sz val="9"/>
      <name val="Meiryo UI"/>
    </font>
    <font>
      <u/>
      <color rgb="FF0066CC"/>
      <sz val="9"/>
      <name val="Meiryo UI"/>
    </font>
    <font>
      <color rgb="FF888888"/>
      <sz val="9"/>
      <name val="Meiryo UI"/>
    </font>
    <font>
      <b/>
      <color rgb="FF2E7D32"/>
      <sz val="12"/>
      <name val="Meiryo UI"/>
    </font>
    <font>
      <b/>
      <sz val="14"/>
      <name val="Meiryo UI"/>
    </font>
    <font>
      <color rgb="FF999999"/>
      <sz val="10"/>
      <name val="Meiryo UI"/>
    </font>
  </fonts>
  <fills count="13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E0E0"/>
      </patternFill>
    </fill>
    <fill>
      <patternFill patternType="solid">
        <fgColor rgb="FFFFFFD0"/>
      </patternFill>
    </fill>
    <fill>
      <patternFill patternType="solid">
        <fgColor rgb="FFE0E8FF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8F9FA"/>
      </patternFill>
    </fill>
    <fill>
      <patternFill patternType="solid">
        <fgColor rgb="FFC6EFCE"/>
      </patternFill>
    </fill>
    <fill>
      <patternFill patternType="solid">
        <fgColor rgb="FF1F3864"/>
      </patternFill>
    </fill>
    <fill>
      <patternFill patternType="solid">
        <fgColor rgb="FFE8EEF7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vertical="top" wrapText="1"/>
    </xf>
    <xf numFmtId="0" fontId="7" fillId="7" borderId="1" xfId="0" applyFont="1" applyFill="1" applyBorder="1"/>
    <xf numFmtId="0" fontId="8" fillId="8" borderId="1" xfId="0" applyFont="1" applyFill="1" applyBorder="1"/>
    <xf numFmtId="0" fontId="8" fillId="8" borderId="1" xfId="0" applyFont="1" applyFill="1" applyBorder="1" applyAlignment="1">
      <alignment vertical="top" wrapText="1"/>
    </xf>
    <xf numFmtId="0" fontId="9" fillId="8" borderId="1" xfId="0" applyFont="1" applyFill="1" applyBorder="1"/>
    <xf numFmtId="0" fontId="2" fillId="6" borderId="1" xfId="0" applyFont="1" applyFill="1" applyBorder="1" applyAlignment="1">
      <alignment vertical="top" wrapText="1"/>
    </xf>
    <xf numFmtId="0" fontId="7" fillId="6" borderId="1" xfId="0" applyFont="1" applyFill="1" applyBorder="1"/>
    <xf numFmtId="0" fontId="2" fillId="9" borderId="1" xfId="0" applyFont="1" applyFill="1" applyBorder="1"/>
    <xf numFmtId="0" fontId="2" fillId="9" borderId="1" xfId="0" applyFont="1" applyFill="1" applyBorder="1" applyAlignment="1">
      <alignment vertical="top" wrapText="1"/>
    </xf>
    <xf numFmtId="0" fontId="7" fillId="9" borderId="1" xfId="0" applyFont="1" applyFill="1" applyBorder="1"/>
    <xf numFmtId="0" fontId="4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7" fillId="0" borderId="1" xfId="0" applyFont="1" applyBorder="1"/>
    <xf numFmtId="3" fontId="2" fillId="6" borderId="1" xfId="0" applyNumberFormat="1" applyFont="1" applyFill="1" applyBorder="1" applyAlignment="1">
      <alignment horizontal="right"/>
    </xf>
    <xf numFmtId="3" fontId="2" fillId="7" borderId="1" xfId="0" applyNumberFormat="1" applyFont="1" applyFill="1" applyBorder="1" applyAlignment="1">
      <alignment horizontal="right"/>
    </xf>
    <xf numFmtId="0" fontId="12" fillId="0" borderId="0" xfId="0" applyFont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3" fontId="2" fillId="11" borderId="1" xfId="0" applyNumberFormat="1" applyFont="1" applyFill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0" fontId="0" fillId="0" borderId="1" xfId="0" applyBorder="1"/>
    <xf numFmtId="3" fontId="13" fillId="0" borderId="1" xfId="0" applyNumberFormat="1" applyFont="1" applyBorder="1" applyAlignment="1">
      <alignment horizontal="right"/>
    </xf>
    <xf numFmtId="3" fontId="13" fillId="11" borderId="1" xfId="0" applyNumberFormat="1" applyFont="1" applyFill="1" applyBorder="1" applyAlignment="1">
      <alignment horizontal="right"/>
    </xf>
    <xf numFmtId="0" fontId="3" fillId="12" borderId="1" xfId="0" applyFont="1" applyFill="1" applyBorder="1"/>
    <xf numFmtId="3" fontId="3" fillId="12" borderId="1" xfId="0" applyNumberFormat="1" applyFont="1" applyFill="1" applyBorder="1" applyAlignment="1">
      <alignment horizontal="right"/>
    </xf>
    <xf numFmtId="0" fontId="0" fillId="12" borderId="1" xfId="0" applyFill="1" applyBorder="1"/>
    <xf numFmtId="3" fontId="13" fillId="6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BD%B9%E5%93%A1%E5%80%9F%E5%85%A5%E9%87%91&amp;start_date=2026-02-01&amp;end_date=2026-02-28" TargetMode="External"/><Relationship Id="rId2" Type="http://schemas.openxmlformats.org/officeDocument/2006/relationships/hyperlink" Target="https://secure.freee.co.jp/reports/general_ledgers/show?name=%E5%BD%B9%E5%93%A1%E5%80%9F%E5%85%A5%E9%87%91&amp;start_date=2025-03-01&amp;end_date=2026-02-28&amp;fiscal_year_id=9716383" TargetMode="External"/><Relationship Id="rId3" Type="http://schemas.openxmlformats.org/officeDocument/2006/relationships/hyperlink" Target="https://secure.freee.co.jp/reports/journals?deal_id=3396019574" TargetMode="External"/><Relationship Id="rId4" Type="http://schemas.openxmlformats.org/officeDocument/2006/relationships/hyperlink" Target="https://secure.freee.co.jp/reports/general_ledgers/show?name=%E5%A3%B2%E4%B8%8A%E9%AB%98&amp;start_date=2026-02-01&amp;end_date=2026-02-28&amp;fiscal_year_id=9716383&amp;tax_group_codes=0" TargetMode="External"/><Relationship Id="rId5" Type="http://schemas.openxmlformats.org/officeDocument/2006/relationships/hyperlink" Target="https://secure.freee.co.jp/reports/journals?deal_id=3396019476" TargetMode="External"/><Relationship Id="rId6" Type="http://schemas.openxmlformats.org/officeDocument/2006/relationships/hyperlink" Target="https://secure.freee.co.jp/reports/journals?deal_id=3396774785" TargetMode="External"/><Relationship Id="rId7" Type="http://schemas.openxmlformats.org/officeDocument/2006/relationships/hyperlink" Target="https://secure.freee.co.jp/wallet_txns/stream?end_date=2026-02-28&amp;ignore_unsettle=true&amp;limit=100&amp;offset=0&amp;order=asc&amp;registration_auto_action=false&amp;registration_manual_action=false&amp;registration_no_action=false&amp;registration_status=unreconciled&amp;suggestion_type=all" TargetMode="External"/><Relationship Id="rId8" Type="http://schemas.openxmlformats.org/officeDocument/2006/relationships/hyperlink" Target="https://secure.freee.co.jp/reports/general_ledgers/show?name=%E5%BD%B9%E5%93%A1%E5%80%9F%E5%85%A5%E9%87%91&amp;start_date=2026-02-01&amp;end_date=2026-02-28" TargetMode="External"/><Relationship Id="rId9" Type="http://schemas.openxmlformats.org/officeDocument/2006/relationships/hyperlink" Target="https://secure.freee.co.jp/reports/general_ledgers/show?name=%E5%BD%B9%E5%93%A1%E5%80%9F%E5%85%A5%E9%87%91&amp;start_date=2026-02-01&amp;end_date=2026-02-28" TargetMode="External"/><Relationship Id="rId10" Type="http://schemas.openxmlformats.org/officeDocument/2006/relationships/hyperlink" Target="https://secure.freee.co.jp/reports/general_ledgers/show?name=%E6%B3%95%E5%AE%9A%E7%A6%8F%E5%88%A9%E8%B2%BB&amp;start_date=2026-02-01&amp;end_date=2026-02-28" TargetMode="External"/><Relationship Id="rId11" Type="http://schemas.openxmlformats.org/officeDocument/2006/relationships/hyperlink" Target="https://secure.freee.co.jp/reports/general_ledgers/show?name=%E6%94%AF%E6%89%95%E6%89%8B%E6%95%B0%E6%96%99&amp;start_date=2026-02-01&amp;end_date=2026-02-28" TargetMode="External"/><Relationship Id="rId12" Type="http://schemas.openxmlformats.org/officeDocument/2006/relationships/hyperlink" Target="https://secure.freee.co.jp/reports/general_ledgers/show?name=%E4%BB%95%E5%85%A5%E9%AB%98&amp;start_date=2026-02-01&amp;end_date=2026-02-28" TargetMode="External"/><Relationship Id="rId13" Type="http://schemas.openxmlformats.org/officeDocument/2006/relationships/hyperlink" Target="https://secure.freee.co.jp/reports/general_ledgers/show?name=%E5%A3%B2%E4%B8%8A%E5%8E%9F%E4%BE%A1&amp;start_date=2026-02-01&amp;end_date=2026-02-28" TargetMode="External"/><Relationship Id="rId14" Type="http://schemas.openxmlformats.org/officeDocument/2006/relationships/hyperlink" Target="https://secure.freee.co.jp/reports/general_ledgers/show?name=%E5%A4%96%E6%B3%A8%E8%B2%BB&amp;start_date=2026-02-01&amp;end_date=2026-02-28" TargetMode="External"/><Relationship Id="rId15" Type="http://schemas.openxmlformats.org/officeDocument/2006/relationships/hyperlink" Target="https://secure.freee.co.jp/reports/general_ledgers/show?name=%E6%9C%AA%E6%89%95%E9%87%91&amp;start_date=2026-02-01&amp;end_date=2026-02-28" TargetMode="External"/><Relationship Id="rId16" Type="http://schemas.openxmlformats.org/officeDocument/2006/relationships/hyperlink" Target="https://secure.freee.co.jp/reports/journals?start_date=2023-03-01&amp;end_date=2026-02-28&amp;name=%E5%89%8D%E6%89%95%E8%B2%BB%E7%94%A8" TargetMode="External"/><Relationship Id="rId17" Type="http://schemas.openxmlformats.org/officeDocument/2006/relationships/hyperlink" Target="https://secure.freee.co.jp/reports/journals?start_date=2023-03-01&amp;end_date=2026-02-28&amp;name=%E5%89%8D%E6%89%95%E8%B2%BB%E7%94%A8&amp;partner_id=60344089" TargetMode="External"/><Relationship Id="rId18" Type="http://schemas.openxmlformats.org/officeDocument/2006/relationships/hyperlink" Target="https://secure.freee.co.jp/reports/journals?start_date=2023-03-01&amp;end_date=2026-02-28&amp;name=%E5%89%8D%E6%89%95%E8%B2%BB%E7%94%A8&amp;partner_id=75031280" TargetMode="External"/><Relationship Id="rId19" Type="http://schemas.openxmlformats.org/officeDocument/2006/relationships/hyperlink" Target="https://secure.freee.co.jp/reports/journals?start_date=2021-03-01&amp;end_date=2026-02-28&amp;name=%E9%A0%90%E8%A8%97%E9%87%91" TargetMode="External"/><Relationship Id="rId20" Type="http://schemas.openxmlformats.org/officeDocument/2006/relationships/hyperlink" Target="https://secure.freee.co.jp/reports/journals?start_date=2021-03-01&amp;end_date=2026-02-28&amp;name=%E9%A0%90%E8%A8%97%E9%87%91&amp;partner_id=60488990" TargetMode="External"/><Relationship Id="rId21" Type="http://schemas.openxmlformats.org/officeDocument/2006/relationships/hyperlink" Target="https://secure.freee.co.jp/reports/general_ledgers/show?name=%E5%A3%B2%E6%8E%9B%E9%87%91&amp;start_date=2026-02-01&amp;end_date=2026-02-28&amp;fiscal_year_id=9716383" TargetMode="External"/><Relationship Id="rId22" Type="http://schemas.openxmlformats.org/officeDocument/2006/relationships/hyperlink" Target="https://secure.freee.co.jp/reports/journals?start_date=2023-03-01&amp;end_date=2026-02-28&amp;name=%E5%89%8D%E6%89%95%E8%B2%BB%E7%94%A8" TargetMode="External"/><Relationship Id="rId23" Type="http://schemas.openxmlformats.org/officeDocument/2006/relationships/hyperlink" Target="https://secure.freee.co.jp/reports/journals?start_date=2023-03-01&amp;end_date=2026-02-28&amp;name=%E5%89%8D%E6%89%95%E8%B2%BB%E7%94%A8" TargetMode="External"/><Relationship Id="rId24" Type="http://schemas.openxmlformats.org/officeDocument/2006/relationships/hyperlink" Target="https://secure.freee.co.jp/reports/journals?start_date=2025-03-01&amp;end_date=2026-02-28&amp;name=%E6%94%AF%E6%89%95%E6%89%8B%E6%95%B0%E6%96%99" TargetMode="External"/><Relationship Id="rId25" Type="http://schemas.openxmlformats.org/officeDocument/2006/relationships/hyperlink" Target="https://secure.freee.co.jp/reports/journals?start_date=2025-03-01&amp;end_date=2026-02-28&amp;name=%E9%80%9A%E4%BF%A1%E8%B2%BB" TargetMode="External"/><Relationship Id="rId26" Type="http://schemas.openxmlformats.org/officeDocument/2006/relationships/hyperlink" Target="https://secure.freee.co.jp/reports/journals?deal_id=3424329973" TargetMode="External"/><Relationship Id="rId27" Type="http://schemas.openxmlformats.org/officeDocument/2006/relationships/hyperlink" Target="https://secure.freee.co.jp/reports/journals?deal_id=3424306658" TargetMode="External"/><Relationship Id="rId28" Type="http://schemas.openxmlformats.org/officeDocument/2006/relationships/hyperlink" Target="https://secure.freee.co.jp/reports/journals?deal_id=3424305075" TargetMode="External"/><Relationship Id="rId29" Type="http://schemas.openxmlformats.org/officeDocument/2006/relationships/hyperlink" Target="https://secure.freee.co.jp/reports/general_ledgers/show?name=%E6%94%AF%E6%89%95%E6%89%8B%E6%95%B0%E6%96%99&amp;start_date=2026-02-01&amp;end_date=2026-02-28&amp;fiscal_year_id=9716383" TargetMode="External"/><Relationship Id="rId30" Type="http://schemas.openxmlformats.org/officeDocument/2006/relationships/hyperlink" Target="https://secure.freee.co.jp/reports/general_ledgers/show?name=%E6%94%AF%E6%89%95%E6%89%8B%E6%95%B0%E6%96%99&amp;start_date=2026-02-01&amp;end_date=2026-02-28&amp;fiscal_year_id=9716383&amp;tax_group_codes=34&amp;tax_rate=10&amp;tax_reduced=false" TargetMode="External"/><Relationship Id="rId31" Type="http://schemas.openxmlformats.org/officeDocument/2006/relationships/hyperlink" Target="https://secure.freee.co.jp/reports/general_ledgers/show?name=%E6%94%AF%E6%89%95%E6%89%8B%E6%95%B0%E6%96%99&amp;start_date=2026-02-01&amp;end_date=2026-02-28&amp;fiscal_year_id=9716383&amp;tax_group_codes=34&amp;tax_rate=10&amp;tax_deduction_rate=80&amp;tax_reduced=false" TargetMode="External"/><Relationship Id="rId32" Type="http://schemas.openxmlformats.org/officeDocument/2006/relationships/hyperlink" Target="https://secure.freee.co.jp/reports/general_ledgers/show?name=%E9%80%9A%E4%BF%A1%E8%B2%BB&amp;start_date=2026-02-01&amp;end_date=2026-02-28&amp;fiscal_year_id=9716383" TargetMode="External"/><Relationship Id="rId33" Type="http://schemas.openxmlformats.org/officeDocument/2006/relationships/hyperlink" Target="https://secure.freee.co.jp/reports/general_ledgers/show?name=%E9%80%9A%E4%BF%A1%E8%B2%BB&amp;start_date=2026-02-01&amp;end_date=2026-02-28&amp;fiscal_year_id=9716383&amp;tax_group_codes=34&amp;tax_rate=10&amp;tax_reduced=false" TargetMode="External"/><Relationship Id="rId34" Type="http://schemas.openxmlformats.org/officeDocument/2006/relationships/hyperlink" Target="https://secure.freee.co.jp/reports/general_ledgers/show?name=%E9%80%9A%E4%BF%A1%E8%B2%BB&amp;start_date=2026-02-01&amp;end_date=2026-02-28&amp;fiscal_year_id=9716383&amp;tax_group_codes=34&amp;tax_rate=10&amp;tax_deduction_rate=80&amp;tax_reduced=false" TargetMode="External"/><Relationship Id="rId35" Type="http://schemas.openxmlformats.org/officeDocument/2006/relationships/hyperlink" Target="https://secure.freee.co.jp/reports/general_ledgers/show?name=%E5%9C%B0%E4%BB%A3%E5%AE%B6%E8%B3%83&amp;start_date=2026-02-01&amp;end_date=2026-02-28&amp;fiscal_year_id=9716383" TargetMode="External"/><Relationship Id="rId36" Type="http://schemas.openxmlformats.org/officeDocument/2006/relationships/hyperlink" Target="https://secure.freee.co.jp/reports/general_ledgers/show?name=%E5%9C%B0%E4%BB%A3%E5%AE%B6%E8%B3%83&amp;start_date=2026-02-01&amp;end_date=2026-02-28&amp;fiscal_year_id=9716383&amp;tax_group_codes=34&amp;tax_rate=10&amp;tax_reduced=false" TargetMode="External"/><Relationship Id="rId37" Type="http://schemas.openxmlformats.org/officeDocument/2006/relationships/hyperlink" Target="https://secure.freee.co.jp/reports/general_ledgers/show?name=%E5%9C%B0%E4%BB%A3%E5%AE%B6%E8%B3%83&amp;start_date=2026-02-01&amp;end_date=2026-02-28&amp;fiscal_year_id=9716383&amp;tax_group_codes=37" TargetMode="External"/><Relationship Id="rId38" Type="http://schemas.openxmlformats.org/officeDocument/2006/relationships/hyperlink" Target="https://secure.freee.co.jp/reports/general_ledgers/show?name=%E5%A3%B2%E4%B8%8A%E9%AB%98&amp;start_date=2026-02-01&amp;end_date=2026-02-28&amp;fiscal_year_id=9716383" TargetMode="External"/><Relationship Id="rId39" Type="http://schemas.openxmlformats.org/officeDocument/2006/relationships/hyperlink" Target="https://secure.freee.co.jp/reports/general_ledgers/show?name=%E5%A3%B2%E4%B8%8A%E9%AB%98&amp;start_date=2026-02-01&amp;end_date=2026-02-28&amp;fiscal_year_id=9716383&amp;tax_group_codes=21&amp;tax_rate=10&amp;tax_reduced=false" TargetMode="External"/><Relationship Id="rId40" Type="http://schemas.openxmlformats.org/officeDocument/2006/relationships/hyperlink" Target="https://secure.freee.co.jp/reports/general_ledgers/show?name=%E4%BA%A4%E9%9A%9B%E8%B2%BB&amp;start_date=2026-02-01&amp;end_date=2026-02-28&amp;fiscal_year_id=9716383" TargetMode="External"/><Relationship Id="rId41" Type="http://schemas.openxmlformats.org/officeDocument/2006/relationships/hyperlink" Target="https://secure.freee.co.jp/reports/general_ledgers/show?name=%E4%BA%A4%E9%9A%9B%E8%B2%BB&amp;start_date=2026-02-01&amp;end_date=2026-02-28&amp;fiscal_year_id=9716383&amp;tax_group_codes=34&amp;tax_rate=10&amp;tax_reduced=false" TargetMode="External"/><Relationship Id="rId42" Type="http://schemas.openxmlformats.org/officeDocument/2006/relationships/hyperlink" Target="https://secure.freee.co.jp/reports/general_ledgers/show?name=%E4%BA%A4%E9%9A%9B%E8%B2%BB&amp;start_date=2026-02-01&amp;end_date=2026-02-28&amp;fiscal_year_id=9716383&amp;tax_group_codes=34&amp;tax_rate=10&amp;tax_deduction_rate=80&amp;tax_reduced=false" TargetMode="External"/><Relationship Id="rId43" Type="http://schemas.openxmlformats.org/officeDocument/2006/relationships/hyperlink" Target="https://secure.freee.co.jp/reports/general_ledgers/show?name=%E6%B8%9B%E4%BE%A1%E5%84%9F%E5%8D%B4%E8%B2%BB&amp;start_date=2026-02-01&amp;end_date=2026-02-28" TargetMode="External"/><Relationship Id="rId44" Type="http://schemas.openxmlformats.org/officeDocument/2006/relationships/hyperlink" Target="https://secure.freee.co.jp/reports/general_ledgers/show?name=%E6%94%AF%E6%89%95%E6%89%8B%E6%95%B0%E6%96%99&amp;start_date=2026-02-01&amp;end_date=2026-02-28" TargetMode="External"/><Relationship Id="rId45" Type="http://schemas.openxmlformats.org/officeDocument/2006/relationships/hyperlink" Target="https://secure.freee.co.jp/reports/general_ledgers/show?name=%E7%A7%9F%E7%A8%8E%E5%85%AC%E8%AA%B2&amp;start_date=2026-02-01&amp;end_date=2026-02-28" TargetMode="External"/><Relationship Id="rId46" Type="http://schemas.openxmlformats.org/officeDocument/2006/relationships/hyperlink" Target="https://secure.freee.co.jp/reports/general_ledgers/show?name=%E6%97%85%E8%B2%BB%E4%BA%A4%E9%80%9A%E8%B2%BB&amp;start_date=2026-02-01&amp;end_date=2026-02-28" TargetMode="External"/><Relationship Id="rId47" Type="http://schemas.openxmlformats.org/officeDocument/2006/relationships/hyperlink" Target="https://secure.freee.co.jp/reports/general_ledgers/show?name=%E9%80%9A%E4%BF%A1%E8%B2%BB&amp;start_date=2026-02-01&amp;end_date=2026-02-28" TargetMode="External"/><Relationship Id="rId48" Type="http://schemas.openxmlformats.org/officeDocument/2006/relationships/hyperlink" Target="https://secure.freee.co.jp/reports/journals?start_date=2025-03-01&amp;end_date=2026-02-28&amp;name=%E6%94%AF%E6%89%95%E6%89%8B%E6%95%B0%E6%96%99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A3%B2%E4%B8%8A%E9%AB%98&amp;start_date=2026-02-01&amp;end_date=2026-02-28&amp;fiscal_year_id=9716383&amp;tax_group_codes=0" TargetMode="External"/><Relationship Id="rId2" Type="http://schemas.openxmlformats.org/officeDocument/2006/relationships/hyperlink" Target="https://secure.freee.co.jp/reports/journals?deal_id=3396019476" TargetMode="External"/><Relationship Id="rId3" Type="http://schemas.openxmlformats.org/officeDocument/2006/relationships/hyperlink" Target="https://secure.freee.co.jp/reports/journals?deal_id=3424329973" TargetMode="External"/><Relationship Id="rId4" Type="http://schemas.openxmlformats.org/officeDocument/2006/relationships/hyperlink" Target="https://secure.freee.co.jp/reports/journals?deal_id=3424306658" TargetMode="External"/><Relationship Id="rId5" Type="http://schemas.openxmlformats.org/officeDocument/2006/relationships/hyperlink" Target="https://secure.freee.co.jp/reports/journals?deal_id=3424305075" TargetMode="External"/><Relationship Id="rId6" Type="http://schemas.openxmlformats.org/officeDocument/2006/relationships/hyperlink" Target="https://secure.freee.co.jp/reports/general_ledgers/show?name=%E6%94%AF%E6%89%95%E6%89%8B%E6%95%B0%E6%96%99&amp;start_date=2026-02-01&amp;end_date=2026-02-28&amp;fiscal_year_id=9716383" TargetMode="External"/><Relationship Id="rId7" Type="http://schemas.openxmlformats.org/officeDocument/2006/relationships/hyperlink" Target="https://secure.freee.co.jp/reports/general_ledgers/show?name=%E6%94%AF%E6%89%95%E6%89%8B%E6%95%B0%E6%96%99&amp;start_date=2026-02-01&amp;end_date=2026-02-28&amp;fiscal_year_id=9716383&amp;tax_group_codes=34&amp;tax_rate=10&amp;tax_reduced=false" TargetMode="External"/><Relationship Id="rId8" Type="http://schemas.openxmlformats.org/officeDocument/2006/relationships/hyperlink" Target="https://secure.freee.co.jp/reports/general_ledgers/show?name=%E6%94%AF%E6%89%95%E6%89%8B%E6%95%B0%E6%96%99&amp;start_date=2026-02-01&amp;end_date=2026-02-28&amp;fiscal_year_id=9716383&amp;tax_group_codes=34&amp;tax_rate=10&amp;tax_deduction_rate=80&amp;tax_reduced=false" TargetMode="External"/><Relationship Id="rId9" Type="http://schemas.openxmlformats.org/officeDocument/2006/relationships/hyperlink" Target="https://secure.freee.co.jp/reports/general_ledgers/show?name=%E9%80%9A%E4%BF%A1%E8%B2%BB&amp;start_date=2026-02-01&amp;end_date=2026-02-28&amp;fiscal_year_id=9716383" TargetMode="External"/><Relationship Id="rId10" Type="http://schemas.openxmlformats.org/officeDocument/2006/relationships/hyperlink" Target="https://secure.freee.co.jp/reports/general_ledgers/show?name=%E9%80%9A%E4%BF%A1%E8%B2%BB&amp;start_date=2026-02-01&amp;end_date=2026-02-28&amp;fiscal_year_id=9716383&amp;tax_group_codes=34&amp;tax_rate=10&amp;tax_reduced=false" TargetMode="External"/><Relationship Id="rId11" Type="http://schemas.openxmlformats.org/officeDocument/2006/relationships/hyperlink" Target="https://secure.freee.co.jp/reports/general_ledgers/show?name=%E9%80%9A%E4%BF%A1%E8%B2%BB&amp;start_date=2026-02-01&amp;end_date=2026-02-28&amp;fiscal_year_id=9716383&amp;tax_group_codes=34&amp;tax_rate=10&amp;tax_deduction_rate=80&amp;tax_reduced=false" TargetMode="External"/><Relationship Id="rId12" Type="http://schemas.openxmlformats.org/officeDocument/2006/relationships/hyperlink" Target="https://secure.freee.co.jp/reports/general_ledgers/show?name=%E5%9C%B0%E4%BB%A3%E5%AE%B6%E8%B3%83&amp;start_date=2026-02-01&amp;end_date=2026-02-28&amp;fiscal_year_id=9716383" TargetMode="External"/><Relationship Id="rId13" Type="http://schemas.openxmlformats.org/officeDocument/2006/relationships/hyperlink" Target="https://secure.freee.co.jp/reports/general_ledgers/show?name=%E5%9C%B0%E4%BB%A3%E5%AE%B6%E8%B3%83&amp;start_date=2026-02-01&amp;end_date=2026-02-28&amp;fiscal_year_id=9716383&amp;tax_group_codes=34&amp;tax_rate=10&amp;tax_reduced=false" TargetMode="External"/><Relationship Id="rId14" Type="http://schemas.openxmlformats.org/officeDocument/2006/relationships/hyperlink" Target="https://secure.freee.co.jp/reports/general_ledgers/show?name=%E5%9C%B0%E4%BB%A3%E5%AE%B6%E8%B3%83&amp;start_date=2026-02-01&amp;end_date=2026-02-28&amp;fiscal_year_id=9716383&amp;tax_group_codes=37" TargetMode="External"/><Relationship Id="rId15" Type="http://schemas.openxmlformats.org/officeDocument/2006/relationships/hyperlink" Target="https://secure.freee.co.jp/reports/general_ledgers/show?name=%E5%A3%B2%E4%B8%8A%E9%AB%98&amp;start_date=2026-02-01&amp;end_date=2026-02-28&amp;fiscal_year_id=9716383" TargetMode="External"/><Relationship Id="rId16" Type="http://schemas.openxmlformats.org/officeDocument/2006/relationships/hyperlink" Target="https://secure.freee.co.jp/reports/general_ledgers/show?name=%E5%A3%B2%E4%B8%8A%E9%AB%98&amp;start_date=2026-02-01&amp;end_date=2026-02-28&amp;fiscal_year_id=9716383&amp;tax_group_codes=21&amp;tax_rate=10&amp;tax_reduced=false" TargetMode="External"/><Relationship Id="rId17" Type="http://schemas.openxmlformats.org/officeDocument/2006/relationships/hyperlink" Target="https://secure.freee.co.jp/reports/general_ledgers/show?name=%E4%BA%A4%E9%9A%9B%E8%B2%BB&amp;start_date=2026-02-01&amp;end_date=2026-02-28&amp;fiscal_year_id=9716383" TargetMode="External"/><Relationship Id="rId18" Type="http://schemas.openxmlformats.org/officeDocument/2006/relationships/hyperlink" Target="https://secure.freee.co.jp/reports/general_ledgers/show?name=%E4%BA%A4%E9%9A%9B%E8%B2%BB&amp;start_date=2026-02-01&amp;end_date=2026-02-28&amp;fiscal_year_id=9716383&amp;tax_group_codes=34&amp;tax_rate=10&amp;tax_reduced=false" TargetMode="External"/><Relationship Id="rId19" Type="http://schemas.openxmlformats.org/officeDocument/2006/relationships/hyperlink" Target="https://secure.freee.co.jp/reports/general_ledgers/show?name=%E4%BA%A4%E9%9A%9B%E8%B2%BB&amp;start_date=2026-02-01&amp;end_date=2026-02-28&amp;fiscal_year_id=9716383&amp;tax_group_codes=34&amp;tax_rate=10&amp;tax_deduction_rate=80&amp;tax_reduced=false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journals?deal_id=3396774785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BD%B9%E5%93%A1%E5%80%9F%E5%85%A5%E9%87%91&amp;start_date=2026-02-01&amp;end_date=2026-02-28" TargetMode="External"/><Relationship Id="rId2" Type="http://schemas.openxmlformats.org/officeDocument/2006/relationships/hyperlink" Target="https://secure.freee.co.jp/reports/general_ledgers/show?name=%E5%BD%B9%E5%93%A1%E5%80%9F%E5%85%A5%E9%87%91&amp;start_date=2025-03-01&amp;end_date=2026-02-28&amp;fiscal_year_id=9716383" TargetMode="External"/><Relationship Id="rId3" Type="http://schemas.openxmlformats.org/officeDocument/2006/relationships/hyperlink" Target="https://secure.freee.co.jp/reports/journals?deal_id=3396019574" TargetMode="External"/><Relationship Id="rId4" Type="http://schemas.openxmlformats.org/officeDocument/2006/relationships/hyperlink" Target="https://secure.freee.co.jp/reports/general_ledgers/show?name=%E5%BD%B9%E5%93%A1%E5%80%9F%E5%85%A5%E9%87%91&amp;start_date=2026-02-01&amp;end_date=2026-02-28" TargetMode="External"/><Relationship Id="rId5" Type="http://schemas.openxmlformats.org/officeDocument/2006/relationships/hyperlink" Target="https://secure.freee.co.jp/reports/general_ledgers/show?name=%E5%BD%B9%E5%93%A1%E5%80%9F%E5%85%A5%E9%87%91&amp;start_date=2026-02-01&amp;end_date=2026-02-28" TargetMode="External"/><Relationship Id="rId6" Type="http://schemas.openxmlformats.org/officeDocument/2006/relationships/hyperlink" Target="https://secure.freee.co.jp/reports/journals?start_date=2023-03-01&amp;end_date=2026-02-28&amp;name=%E5%89%8D%E6%89%95%E8%B2%BB%E7%94%A8" TargetMode="External"/><Relationship Id="rId7" Type="http://schemas.openxmlformats.org/officeDocument/2006/relationships/hyperlink" Target="https://secure.freee.co.jp/reports/journals?start_date=2023-03-01&amp;end_date=2026-02-28&amp;name=%E5%89%8D%E6%89%95%E8%B2%BB%E7%94%A8&amp;partner_id=60344089" TargetMode="External"/><Relationship Id="rId8" Type="http://schemas.openxmlformats.org/officeDocument/2006/relationships/hyperlink" Target="https://secure.freee.co.jp/reports/journals?start_date=2023-03-01&amp;end_date=2026-02-28&amp;name=%E5%89%8D%E6%89%95%E8%B2%BB%E7%94%A8&amp;partner_id=75031280" TargetMode="External"/><Relationship Id="rId9" Type="http://schemas.openxmlformats.org/officeDocument/2006/relationships/hyperlink" Target="https://secure.freee.co.jp/reports/journals?start_date=2021-03-01&amp;end_date=2026-02-28&amp;name=%E9%A0%90%E8%A8%97%E9%87%91" TargetMode="External"/><Relationship Id="rId10" Type="http://schemas.openxmlformats.org/officeDocument/2006/relationships/hyperlink" Target="https://secure.freee.co.jp/reports/journals?start_date=2021-03-01&amp;end_date=2026-02-28&amp;name=%E9%A0%90%E8%A8%97%E9%87%91&amp;partner_id=60488990" TargetMode="External"/><Relationship Id="rId11" Type="http://schemas.openxmlformats.org/officeDocument/2006/relationships/hyperlink" Target="https://secure.freee.co.jp/reports/general_ledgers/show?name=%E5%A3%B2%E6%8E%9B%E9%87%91&amp;start_date=2026-02-01&amp;end_date=2026-02-28&amp;fiscal_year_id=9716383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6%B3%95%E5%AE%9A%E7%A6%8F%E5%88%A9%E8%B2%BB&amp;start_date=2026-02-01&amp;end_date=2026-02-28" TargetMode="External"/><Relationship Id="rId2" Type="http://schemas.openxmlformats.org/officeDocument/2006/relationships/hyperlink" Target="https://secure.freee.co.jp/reports/general_ledgers/show?name=%E6%94%AF%E6%89%95%E6%89%8B%E6%95%B0%E6%96%99&amp;start_date=2026-02-01&amp;end_date=2026-02-28" TargetMode="External"/><Relationship Id="rId3" Type="http://schemas.openxmlformats.org/officeDocument/2006/relationships/hyperlink" Target="https://secure.freee.co.jp/reports/general_ledgers/show?name=%E4%BB%95%E5%85%A5%E9%AB%98&amp;start_date=2026-02-01&amp;end_date=2026-02-28" TargetMode="External"/><Relationship Id="rId4" Type="http://schemas.openxmlformats.org/officeDocument/2006/relationships/hyperlink" Target="https://secure.freee.co.jp/reports/general_ledgers/show?name=%E5%A3%B2%E4%B8%8A%E5%8E%9F%E4%BE%A1&amp;start_date=2026-02-01&amp;end_date=2026-02-28" TargetMode="External"/><Relationship Id="rId5" Type="http://schemas.openxmlformats.org/officeDocument/2006/relationships/hyperlink" Target="https://secure.freee.co.jp/reports/general_ledgers/show?name=%E5%A4%96%E6%B3%A8%E8%B2%BB&amp;start_date=2026-02-01&amp;end_date=2026-02-28" TargetMode="External"/><Relationship Id="rId6" Type="http://schemas.openxmlformats.org/officeDocument/2006/relationships/hyperlink" Target="https://secure.freee.co.jp/reports/general_ledgers/show?name=%E6%9C%AA%E6%89%95%E9%87%91&amp;start_date=2026-02-01&amp;end_date=2026-02-28" TargetMode="External"/><Relationship Id="rId7" Type="http://schemas.openxmlformats.org/officeDocument/2006/relationships/hyperlink" Target="https://secure.freee.co.jp/reports/journals?start_date=2023-03-01&amp;end_date=2026-02-28&amp;name=%E5%89%8D%E6%89%95%E8%B2%BB%E7%94%A8" TargetMode="External"/><Relationship Id="rId8" Type="http://schemas.openxmlformats.org/officeDocument/2006/relationships/hyperlink" Target="https://secure.freee.co.jp/reports/journals?start_date=2023-03-01&amp;end_date=2026-02-28&amp;name=%E5%89%8D%E6%89%95%E8%B2%BB%E7%94%A8" TargetMode="External"/><Relationship Id="rId9" Type="http://schemas.openxmlformats.org/officeDocument/2006/relationships/hyperlink" Target="https://secure.freee.co.jp/reports/journals?start_date=2025-03-01&amp;end_date=2026-02-28&amp;name=%E6%94%AF%E6%89%95%E6%89%8B%E6%95%B0%E6%96%99" TargetMode="External"/><Relationship Id="rId10" Type="http://schemas.openxmlformats.org/officeDocument/2006/relationships/hyperlink" Target="https://secure.freee.co.jp/reports/journals?start_date=2025-03-01&amp;end_date=2026-02-28&amp;name=%E9%80%9A%E4%BF%A1%E8%B2%BB" TargetMode="External"/><Relationship Id="rId11" Type="http://schemas.openxmlformats.org/officeDocument/2006/relationships/hyperlink" Target="https://secure.freee.co.jp/reports/general_ledgers/show?name=%E6%B8%9B%E4%BE%A1%E5%84%9F%E5%8D%B4%E8%B2%BB&amp;start_date=2026-02-01&amp;end_date=2026-02-28" TargetMode="External"/><Relationship Id="rId12" Type="http://schemas.openxmlformats.org/officeDocument/2006/relationships/hyperlink" Target="https://secure.freee.co.jp/reports/general_ledgers/show?name=%E6%94%AF%E6%89%95%E6%89%8B%E6%95%B0%E6%96%99&amp;start_date=2026-02-01&amp;end_date=2026-02-28" TargetMode="External"/><Relationship Id="rId13" Type="http://schemas.openxmlformats.org/officeDocument/2006/relationships/hyperlink" Target="https://secure.freee.co.jp/reports/general_ledgers/show?name=%E7%A7%9F%E7%A8%8E%E5%85%AC%E8%AA%B2&amp;start_date=2026-02-01&amp;end_date=2026-02-28" TargetMode="External"/><Relationship Id="rId14" Type="http://schemas.openxmlformats.org/officeDocument/2006/relationships/hyperlink" Target="https://secure.freee.co.jp/reports/general_ledgers/show?name=%E6%97%85%E8%B2%BB%E4%BA%A4%E9%80%9A%E8%B2%BB&amp;start_date=2026-02-01&amp;end_date=2026-02-28" TargetMode="External"/><Relationship Id="rId15" Type="http://schemas.openxmlformats.org/officeDocument/2006/relationships/hyperlink" Target="https://secure.freee.co.jp/reports/general_ledgers/show?name=%E9%80%9A%E4%BF%A1%E8%B2%BB&amp;start_date=2026-02-01&amp;end_date=2026-02-28" TargetMode="External"/><Relationship Id="rId16" Type="http://schemas.openxmlformats.org/officeDocument/2006/relationships/hyperlink" Target="https://secure.freee.co.jp/reports/journals?start_date=2025-03-01&amp;end_date=2026-02-28&amp;name=%E6%94%AF%E6%89%95%E6%89%8B%E6%95%B0%E6%96%99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wallet_txns/stream?end_date=2026-02-28&amp;ignore_unsettle=true&amp;limit=100&amp;offset=0&amp;order=asc&amp;registration_auto_action=false&amp;registration_manual_action=false&amp;registration_no_action=false&amp;registration_status=unreconciled&amp;suggestion_type=all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B1%B1%E6%A2%A8%E4%B8%AD%E5%A4%AE%EF%BC%88%E6%B3%95%E4%BA%BA%EF%BC%89&amp;start_date=2025-03-01&amp;end_date=2026-02-28&amp;fiscal_year_id=9716383" TargetMode="External"/><Relationship Id="rId2" Type="http://schemas.openxmlformats.org/officeDocument/2006/relationships/hyperlink" Target="https://secure.freee.co.jp/reports/general_ledgers/show?name=%E6%A5%BD%E5%A4%A9%EF%BC%88%E6%B3%95%E4%BA%BA%EF%BC%89&amp;start_date=2025-03-01&amp;end_date=2026-02-28&amp;fiscal_year_id=9716383" TargetMode="External"/><Relationship Id="rId3" Type="http://schemas.openxmlformats.org/officeDocument/2006/relationships/hyperlink" Target="https://secure.freee.co.jp/reports/general_ledgers/show?name=%E5%A3%B2%E6%8E%9B%E9%87%91&amp;start_date=2025-03-01&amp;end_date=2026-02-28&amp;fiscal_year_id=9716383" TargetMode="External"/><Relationship Id="rId4" Type="http://schemas.openxmlformats.org/officeDocument/2006/relationships/hyperlink" Target="https://secure.freee.co.jp/reports/journals?start_date=2023-03-01&amp;end_date=2026-02-28&amp;name=%E5%89%8D%E6%89%95%E8%B2%BB%E7%94%A8" TargetMode="External"/><Relationship Id="rId5" Type="http://schemas.openxmlformats.org/officeDocument/2006/relationships/hyperlink" Target="https://secure.freee.co.jp/reports/journals?start_date=2023-03-01&amp;end_date=2026-02-28&amp;name=%E8%BB%8A%E4%B8%A1%E9%81%8B%E6%90%AC%E5%85%B7" TargetMode="External"/><Relationship Id="rId6" Type="http://schemas.openxmlformats.org/officeDocument/2006/relationships/hyperlink" Target="https://secure.freee.co.jp/reports/general_ledgers/show?name=%E5%B7%A5%E5%85%B7%E5%99%A8%E5%85%B7%E5%82%99%E5%93%81&amp;start_date=2025-03-01&amp;end_date=2026-02-28&amp;fiscal_year_id=9716383" TargetMode="External"/><Relationship Id="rId7" Type="http://schemas.openxmlformats.org/officeDocument/2006/relationships/hyperlink" Target="https://secure.freee.co.jp/reports/journals?start_date=2020-03-01&amp;end_date=2026-02-28&amp;name=%E5%9C%9F%E5%9C%B0" TargetMode="External"/><Relationship Id="rId8" Type="http://schemas.openxmlformats.org/officeDocument/2006/relationships/hyperlink" Target="https://secure.freee.co.jp/reports/journals?start_date=2021-03-01&amp;end_date=2026-02-28&amp;name=%E5%B7%AE%E5%85%A5%E4%BF%9D%E8%A8%BC%E9%87%91" TargetMode="External"/><Relationship Id="rId9" Type="http://schemas.openxmlformats.org/officeDocument/2006/relationships/hyperlink" Target="https://secure.freee.co.jp/reports/general_ledgers/show?name=%E9%95%B7%E6%9C%9F%E5%89%8D%E6%89%95%E8%B2%BB%E7%94%A8&amp;start_date=2025-03-01&amp;end_date=2026-02-28&amp;fiscal_year_id=9716383" TargetMode="External"/><Relationship Id="rId10" Type="http://schemas.openxmlformats.org/officeDocument/2006/relationships/hyperlink" Target="https://secure.freee.co.jp/reports/journals?start_date=2021-03-01&amp;end_date=2026-02-28&amp;name=%E9%A0%90%E8%A8%97%E9%87%91" TargetMode="External"/><Relationship Id="rId11" Type="http://schemas.openxmlformats.org/officeDocument/2006/relationships/hyperlink" Target="https://secure.freee.co.jp/reports/general_ledgers/show?name=%E5%BD%B9%E5%93%A1%E5%80%9F%E5%85%A5%E9%87%91&amp;start_date=2025-03-01&amp;end_date=2026-02-28&amp;fiscal_year_id=9716383" TargetMode="External"/><Relationship Id="rId12" Type="http://schemas.openxmlformats.org/officeDocument/2006/relationships/hyperlink" Target="https://secure.freee.co.jp/reports/general_ledgers/show?name=%E6%9C%AA%E6%89%95%E9%87%91&amp;start_date=2025-03-01&amp;end_date=2026-02-28&amp;fiscal_year_id=9716383" TargetMode="External"/><Relationship Id="rId13" Type="http://schemas.openxmlformats.org/officeDocument/2006/relationships/hyperlink" Target="https://secure.freee.co.jp/reports/general_ledgers/show?name=freee%E3%82%AB%E3%83%BC%E3%83%89%E3%80%80%E3%83%A9%E3%82%A4%E3%83%88%EF%BC%88Master%EF%BC%89&amp;start_date=2025-03-01&amp;end_date=2026-02-28&amp;fiscal_year_id=9716383" TargetMode="External"/><Relationship Id="rId14" Type="http://schemas.openxmlformats.org/officeDocument/2006/relationships/hyperlink" Target="https://secure.freee.co.jp/reports/journals?start_date=2024-03-01&amp;end_date=2026-02-28&amp;name=%E6%9C%AA%E6%89%95%E6%B3%95%E4%BA%BA%E7%A8%8E%E7%AD%89" TargetMode="External"/><Relationship Id="rId15" Type="http://schemas.openxmlformats.org/officeDocument/2006/relationships/hyperlink" Target="https://secure.freee.co.jp/reports/journals?start_date=2024-03-01&amp;end_date=2026-02-28&amp;name=%E6%9C%AA%E6%89%95%E6%B6%88%E8%B2%BB%E7%A8%8E%E7%AD%89" TargetMode="External"/><Relationship Id="rId16" Type="http://schemas.openxmlformats.org/officeDocument/2006/relationships/hyperlink" Target="https://secure.freee.co.jp/reports/journals?start_date=2020-03-01&amp;end_date=2026-02-28&amp;name=%E9%A0%90%E3%82%8A%E9%87%91" TargetMode="External"/><Relationship Id="rId17" Type="http://schemas.openxmlformats.org/officeDocument/2006/relationships/hyperlink" Target="https://secure.freee.co.jp/reports/journals?start_date=2020-03-01&amp;end_date=2026-02-28&amp;name=%E8%B3%87%E6%9C%AC%E9%87%91" TargetMode="External"/><Relationship Id="rId18" Type="http://schemas.openxmlformats.org/officeDocument/2006/relationships/hyperlink" Target="https://secure.freee.co.jp/reports/journals?start_date=2024-03-01&amp;end_date=2026-02-28&amp;name=%E7%B9%B0%E8%B6%8A%E5%88%A9%E7%9B%8A%E5%89%B0%E4%BD%99%E9%87%9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BD%B9%E5%93%A1%E5%A0%B1%E9%85%AC&amp;start_date=2025-03-01&amp;end_date=2026-02-28&amp;fiscal_year_id=9716383" TargetMode="External"/><Relationship Id="rId2" Type="http://schemas.openxmlformats.org/officeDocument/2006/relationships/hyperlink" Target="https://secure.freee.co.jp/reports/general_ledgers/show?name=%E6%B3%95%E5%AE%9A%E7%A6%8F%E5%88%A9%E8%B2%BB&amp;start_date=2025-03-01&amp;end_date=2026-02-28&amp;fiscal_year_id=9716383" TargetMode="External"/><Relationship Id="rId3" Type="http://schemas.openxmlformats.org/officeDocument/2006/relationships/hyperlink" Target="https://secure.freee.co.jp/reports/general_ledgers/show?name=%E5%A4%96%E6%B3%A8%E8%B2%BB&amp;start_date=2025-03-01&amp;end_date=2026-02-28&amp;fiscal_year_id=9716383" TargetMode="External"/><Relationship Id="rId4" Type="http://schemas.openxmlformats.org/officeDocument/2006/relationships/hyperlink" Target="https://secure.freee.co.jp/reports/general_ledgers/show?name=%E4%BA%A4%E9%9A%9B%E8%B2%BB&amp;start_date=2025-03-01&amp;end_date=2026-02-28&amp;fiscal_year_id=9716383" TargetMode="External"/><Relationship Id="rId5" Type="http://schemas.openxmlformats.org/officeDocument/2006/relationships/hyperlink" Target="https://secure.freee.co.jp/reports/general_ledgers/show?name=%E4%BC%9A%E8%AD%B0%E8%B2%BB&amp;start_date=2025-03-01&amp;end_date=2026-02-28&amp;fiscal_year_id=9716383" TargetMode="External"/><Relationship Id="rId6" Type="http://schemas.openxmlformats.org/officeDocument/2006/relationships/hyperlink" Target="https://secure.freee.co.jp/reports/general_ledgers/show?name=%E6%97%85%E8%B2%BB%E4%BA%A4%E9%80%9A%E8%B2%BB&amp;start_date=2025-03-01&amp;end_date=2026-02-28&amp;fiscal_year_id=9716383" TargetMode="External"/><Relationship Id="rId7" Type="http://schemas.openxmlformats.org/officeDocument/2006/relationships/hyperlink" Target="https://secure.freee.co.jp/reports/general_ledgers/show?name=%E9%80%9A%E4%BF%A1%E8%B2%BB&amp;start_date=2025-03-01&amp;end_date=2026-02-28&amp;fiscal_year_id=9716383" TargetMode="External"/><Relationship Id="rId8" Type="http://schemas.openxmlformats.org/officeDocument/2006/relationships/hyperlink" Target="https://secure.freee.co.jp/reports/general_ledgers/show?name=%E6%B6%88%E8%80%97%E5%93%81%E8%B2%BB&amp;start_date=2025-03-01&amp;end_date=2026-02-28&amp;fiscal_year_id=9716383" TargetMode="External"/><Relationship Id="rId9" Type="http://schemas.openxmlformats.org/officeDocument/2006/relationships/hyperlink" Target="https://secure.freee.co.jp/reports/general_ledgers/show?name=%E4%BF%AE%E7%B9%95%E8%B2%BB&amp;start_date=2025-03-01&amp;end_date=2026-02-28&amp;fiscal_year_id=9716383" TargetMode="External"/><Relationship Id="rId10" Type="http://schemas.openxmlformats.org/officeDocument/2006/relationships/hyperlink" Target="https://secure.freee.co.jp/reports/general_ledgers/show?name=%E6%94%AF%E6%89%95%E6%89%8B%E6%95%B0%E6%96%99&amp;start_date=2025-03-01&amp;end_date=2026-02-28&amp;fiscal_year_id=9716383" TargetMode="External"/><Relationship Id="rId11" Type="http://schemas.openxmlformats.org/officeDocument/2006/relationships/hyperlink" Target="https://secure.freee.co.jp/reports/general_ledgers/show?name=%E8%BB%8A%E4%B8%A1%E8%B2%BB&amp;start_date=2025-03-01&amp;end_date=2026-02-28&amp;fiscal_year_id=9716383" TargetMode="External"/><Relationship Id="rId12" Type="http://schemas.openxmlformats.org/officeDocument/2006/relationships/hyperlink" Target="https://secure.freee.co.jp/reports/general_ledgers/show?name=%E5%9C%B0%E4%BB%A3%E5%AE%B6%E8%B3%83&amp;start_date=2025-03-01&amp;end_date=2026-02-28&amp;fiscal_year_id=9716383" TargetMode="External"/><Relationship Id="rId13" Type="http://schemas.openxmlformats.org/officeDocument/2006/relationships/hyperlink" Target="https://secure.freee.co.jp/reports/general_ledgers/show?name=%E4%BF%9D%E9%99%BA%E6%96%99&amp;start_date=2025-03-01&amp;end_date=2026-02-28&amp;fiscal_year_id=9716383" TargetMode="External"/><Relationship Id="rId14" Type="http://schemas.openxmlformats.org/officeDocument/2006/relationships/hyperlink" Target="https://secure.freee.co.jp/reports/general_ledgers/show?name=%E7%A7%9F%E7%A8%8E%E5%85%AC%E8%AA%B2&amp;start_date=2025-03-01&amp;end_date=2026-02-28&amp;fiscal_year_id=9716383" TargetMode="External"/><Relationship Id="rId15" Type="http://schemas.openxmlformats.org/officeDocument/2006/relationships/hyperlink" Target="https://secure.freee.co.jp/reports/general_ledgers/show?name=%E6%B8%9B%E4%BE%A1%E5%84%9F%E5%8D%B4%E8%B2%BB&amp;start_date=2025-03-01&amp;end_date=2026-02-28&amp;fiscal_year_id=9716383" TargetMode="External"/><Relationship Id="rId16" Type="http://schemas.openxmlformats.org/officeDocument/2006/relationships/hyperlink" Target="https://secure.freee.co.jp/reports/general_ledgers/show?name=%E5%8F%97%E5%8F%96%E5%88%A9%E6%81%AF&amp;start_date=2025-03-01&amp;end_date=2026-02-28&amp;fiscal_year_id=9716383" TargetMode="External"/><Relationship Id="rId17" Type="http://schemas.openxmlformats.org/officeDocument/2006/relationships/hyperlink" Target="https://secure.freee.co.jp/reports/general_ledgers/show?name=%E7%82%BA%E6%9B%BF%E5%B7%AE%E6%90%8D&amp;start_date=2025-03-01&amp;end_date=2026-02-28&amp;fiscal_year_id=9716383" TargetMode="External"/><Relationship Id="rId18" Type="http://schemas.openxmlformats.org/officeDocument/2006/relationships/hyperlink" Target="https://secure.freee.co.jp/reports/general_ledgers/show?name=%E5%9B%BA%E5%AE%9A%E8%B3%87%E7%94%A3%E5%A3%B2%E5%8D%B4%E7%9B%8A&amp;start_date=2025-03-01&amp;end_date=2026-02-28&amp;fiscal_year_id=9716383" TargetMode="External"/><Relationship Id="rId19" Type="http://schemas.openxmlformats.org/officeDocument/2006/relationships/hyperlink" Target="https://secure.freee.co.jp/reports/general_ledgers/show?name=%E6%B3%95%E4%BA%BA%E7%A8%8E%E3%83%BB%E4%BD%8F%E6%B0%91%E7%A8%8E%E5%8F%8A%E3%81%B3%E4%BA%8B%E6%A5%AD%E7%A8%8E&amp;start_date=2025-03-01&amp;end_date=2026-02-28&amp;fiscal_year_id=9716383" TargetMode="External"/><Relationship Id="rId20" Type="http://schemas.openxmlformats.org/officeDocument/2006/relationships/hyperlink" Target="https://secure.freee.co.jp/reports/general_ledgers/show?name=%E4%BB%95%E5%85%A5%E9%AB%98&amp;start_date=2025-03-01&amp;end_date=2026-02-28&amp;fiscal_year_id=97163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496"/>
  </sheetPr>
  <dimension ref="A1:F94"/>
  <sheetFormatPr defaultRowHeight="15" outlineLevelRow="0" outlineLevelCol="0" x14ac:dyDescent="55"/>
  <cols>
    <col min="1" max="1" width="24" customWidth="1"/>
    <col min="2" max="4" width="14" customWidth="1"/>
    <col min="5" max="5" width="1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6" spans="1:1" x14ac:dyDescent="0.25">
      <c r="A6" s="4" t="s">
        <v>5</v>
      </c>
    </row>
    <row r="8" ht="22" customHeight="1" spans="1:4" x14ac:dyDescent="0.25">
      <c r="A8" s="5" t="s">
        <v>6</v>
      </c>
      <c r="B8" s="5" t="s">
        <v>7</v>
      </c>
      <c r="C8" s="5" t="s">
        <v>8</v>
      </c>
      <c r="D8" s="5" t="s">
        <v>9</v>
      </c>
    </row>
    <row r="9" ht="40" customHeight="1" spans="1:4" x14ac:dyDescent="0.25">
      <c r="A9" s="6" t="s">
        <v>10</v>
      </c>
      <c r="B9" s="7">
        <v>4</v>
      </c>
      <c r="C9" s="8">
        <v>26</v>
      </c>
      <c r="D9" s="9">
        <v>7</v>
      </c>
    </row>
    <row r="11" spans="1:1" x14ac:dyDescent="0.25">
      <c r="A11" s="4" t="s">
        <v>11</v>
      </c>
    </row>
    <row r="13" ht="22" customHeight="1" spans="1:5" x14ac:dyDescent="0.25">
      <c r="A13" s="5" t="s">
        <v>12</v>
      </c>
      <c r="B13" s="5" t="s">
        <v>13</v>
      </c>
      <c r="C13" s="5" t="s">
        <v>14</v>
      </c>
      <c r="D13" s="5" t="s">
        <v>15</v>
      </c>
      <c r="E13" s="5" t="s">
        <v>16</v>
      </c>
    </row>
    <row r="14" spans="1:5" x14ac:dyDescent="0.25">
      <c r="A14" s="10" t="s">
        <v>17</v>
      </c>
      <c r="B14" s="11">
        <v>1</v>
      </c>
      <c r="C14" s="11">
        <v>6</v>
      </c>
      <c r="D14" s="11" t="s">
        <v>18</v>
      </c>
      <c r="E14" s="11">
        <v>7</v>
      </c>
    </row>
    <row r="15" spans="1:5" x14ac:dyDescent="0.25">
      <c r="A15" s="10" t="s">
        <v>19</v>
      </c>
      <c r="B15" s="11">
        <v>1</v>
      </c>
      <c r="C15" s="11" t="s">
        <v>18</v>
      </c>
      <c r="D15" s="11" t="s">
        <v>18</v>
      </c>
      <c r="E15" s="11">
        <v>1</v>
      </c>
    </row>
    <row r="16" spans="1:5" x14ac:dyDescent="0.25">
      <c r="A16" s="10" t="s">
        <v>20</v>
      </c>
      <c r="B16" s="11" t="s">
        <v>18</v>
      </c>
      <c r="C16" s="11" t="s">
        <v>18</v>
      </c>
      <c r="D16" s="11" t="s">
        <v>18</v>
      </c>
      <c r="E16" s="11" t="s">
        <v>18</v>
      </c>
    </row>
    <row r="17" spans="1:5" x14ac:dyDescent="0.25">
      <c r="A17" s="10" t="s">
        <v>21</v>
      </c>
      <c r="B17" s="11">
        <v>2</v>
      </c>
      <c r="C17" s="11">
        <v>5</v>
      </c>
      <c r="D17" s="11" t="s">
        <v>18</v>
      </c>
      <c r="E17" s="11">
        <v>7</v>
      </c>
    </row>
    <row r="18" spans="1:5" x14ac:dyDescent="0.25">
      <c r="A18" s="10" t="s">
        <v>22</v>
      </c>
      <c r="B18" s="11" t="s">
        <v>18</v>
      </c>
      <c r="C18" s="11">
        <v>11</v>
      </c>
      <c r="D18" s="11">
        <v>6</v>
      </c>
      <c r="E18" s="11">
        <v>17</v>
      </c>
    </row>
    <row r="19" spans="1:5" x14ac:dyDescent="0.25">
      <c r="A19" s="10" t="s">
        <v>23</v>
      </c>
      <c r="B19" s="11" t="s">
        <v>18</v>
      </c>
      <c r="C19" s="11">
        <v>4</v>
      </c>
      <c r="D19" s="11">
        <v>1</v>
      </c>
      <c r="E19" s="11">
        <v>5</v>
      </c>
    </row>
    <row r="20" spans="1:5" x14ac:dyDescent="0.25">
      <c r="A20" s="12" t="s">
        <v>16</v>
      </c>
      <c r="B20" s="13">
        <v>4</v>
      </c>
      <c r="C20" s="13">
        <v>26</v>
      </c>
      <c r="D20" s="13">
        <v>7</v>
      </c>
      <c r="E20" s="13">
        <v>37</v>
      </c>
    </row>
    <row r="22" spans="1:1" x14ac:dyDescent="0.25">
      <c r="A22" s="4" t="s">
        <v>24</v>
      </c>
    </row>
    <row r="24" ht="22" customHeight="1" spans="1:4" x14ac:dyDescent="0.25">
      <c r="A24" s="5" t="s">
        <v>25</v>
      </c>
      <c r="B24" s="5" t="s">
        <v>26</v>
      </c>
      <c r="C24" s="5" t="s">
        <v>27</v>
      </c>
      <c r="D24" s="5" t="s">
        <v>10</v>
      </c>
    </row>
    <row r="25" spans="1:4" x14ac:dyDescent="0.25">
      <c r="A25" s="14" t="s">
        <v>28</v>
      </c>
      <c r="B25" s="14" t="s">
        <v>29</v>
      </c>
      <c r="C25" s="15" t="s">
        <v>30</v>
      </c>
      <c r="D25" s="15">
        <v>1</v>
      </c>
    </row>
    <row r="26" spans="1:4" x14ac:dyDescent="0.25">
      <c r="A26" s="14" t="s">
        <v>31</v>
      </c>
      <c r="B26" s="14" t="s">
        <v>32</v>
      </c>
      <c r="C26" s="15" t="s">
        <v>30</v>
      </c>
      <c r="D26" s="15">
        <v>3</v>
      </c>
    </row>
    <row r="27" spans="1:4" x14ac:dyDescent="0.25">
      <c r="A27" s="10" t="s">
        <v>33</v>
      </c>
      <c r="B27" s="10" t="s">
        <v>34</v>
      </c>
      <c r="C27" s="11" t="s">
        <v>35</v>
      </c>
      <c r="D27" s="11">
        <v>0</v>
      </c>
    </row>
    <row r="28" spans="1:4" x14ac:dyDescent="0.25">
      <c r="A28" s="10" t="s">
        <v>36</v>
      </c>
      <c r="B28" s="10" t="s">
        <v>37</v>
      </c>
      <c r="C28" s="11" t="s">
        <v>35</v>
      </c>
      <c r="D28" s="11">
        <v>0</v>
      </c>
    </row>
    <row r="29" spans="1:4" x14ac:dyDescent="0.25">
      <c r="A29" s="10" t="s">
        <v>38</v>
      </c>
      <c r="B29" s="10" t="s">
        <v>39</v>
      </c>
      <c r="C29" s="11" t="s">
        <v>35</v>
      </c>
      <c r="D29" s="11">
        <v>0</v>
      </c>
    </row>
    <row r="30" spans="1:4" x14ac:dyDescent="0.25">
      <c r="A30" s="10" t="s">
        <v>40</v>
      </c>
      <c r="B30" s="10" t="s">
        <v>41</v>
      </c>
      <c r="C30" s="11" t="s">
        <v>35</v>
      </c>
      <c r="D30" s="11">
        <v>0</v>
      </c>
    </row>
    <row r="31" spans="1:4" x14ac:dyDescent="0.25">
      <c r="A31" s="10" t="s">
        <v>42</v>
      </c>
      <c r="B31" s="10" t="s">
        <v>43</v>
      </c>
      <c r="C31" s="11" t="s">
        <v>35</v>
      </c>
      <c r="D31" s="11">
        <v>0</v>
      </c>
    </row>
    <row r="32" spans="1:4" x14ac:dyDescent="0.25">
      <c r="A32" s="10" t="s">
        <v>44</v>
      </c>
      <c r="B32" s="10" t="s">
        <v>45</v>
      </c>
      <c r="C32" s="11" t="s">
        <v>35</v>
      </c>
      <c r="D32" s="11">
        <v>0</v>
      </c>
    </row>
    <row r="33" spans="1:4" x14ac:dyDescent="0.25">
      <c r="A33" s="10" t="s">
        <v>46</v>
      </c>
      <c r="B33" s="10" t="s">
        <v>47</v>
      </c>
      <c r="C33" s="11" t="s">
        <v>35</v>
      </c>
      <c r="D33" s="11">
        <v>0</v>
      </c>
    </row>
    <row r="34" spans="1:4" x14ac:dyDescent="0.25">
      <c r="A34" s="10" t="s">
        <v>48</v>
      </c>
      <c r="B34" s="10" t="s">
        <v>49</v>
      </c>
      <c r="C34" s="11" t="s">
        <v>35</v>
      </c>
      <c r="D34" s="11">
        <v>0</v>
      </c>
    </row>
    <row r="35" spans="1:4" x14ac:dyDescent="0.25">
      <c r="A35" s="10" t="s">
        <v>50</v>
      </c>
      <c r="B35" s="10" t="s">
        <v>51</v>
      </c>
      <c r="C35" s="11" t="s">
        <v>35</v>
      </c>
      <c r="D35" s="11">
        <v>0</v>
      </c>
    </row>
    <row r="36" spans="1:4" x14ac:dyDescent="0.25">
      <c r="A36" s="10" t="s">
        <v>52</v>
      </c>
      <c r="B36" s="10" t="s">
        <v>53</v>
      </c>
      <c r="C36" s="11" t="s">
        <v>35</v>
      </c>
      <c r="D36" s="11">
        <v>0</v>
      </c>
    </row>
    <row r="37" spans="1:4" x14ac:dyDescent="0.25">
      <c r="A37" s="10" t="s">
        <v>54</v>
      </c>
      <c r="B37" s="10" t="s">
        <v>55</v>
      </c>
      <c r="C37" s="11" t="s">
        <v>35</v>
      </c>
      <c r="D37" s="11">
        <v>0</v>
      </c>
    </row>
    <row r="38" spans="1:4" x14ac:dyDescent="0.25">
      <c r="A38" s="14" t="s">
        <v>56</v>
      </c>
      <c r="B38" s="14" t="s">
        <v>57</v>
      </c>
      <c r="C38" s="15" t="s">
        <v>30</v>
      </c>
      <c r="D38" s="15">
        <v>1</v>
      </c>
    </row>
    <row r="39" spans="1:4" x14ac:dyDescent="0.25">
      <c r="A39" s="14" t="s">
        <v>58</v>
      </c>
      <c r="B39" s="14" t="s">
        <v>59</v>
      </c>
      <c r="C39" s="15" t="s">
        <v>30</v>
      </c>
      <c r="D39" s="15">
        <v>1</v>
      </c>
    </row>
    <row r="40" spans="1:4" x14ac:dyDescent="0.25">
      <c r="A40" s="14" t="s">
        <v>60</v>
      </c>
      <c r="B40" s="14" t="s">
        <v>61</v>
      </c>
      <c r="C40" s="15" t="s">
        <v>30</v>
      </c>
      <c r="D40" s="15">
        <v>1</v>
      </c>
    </row>
    <row r="41" spans="1:4" x14ac:dyDescent="0.25">
      <c r="A41" s="10" t="s">
        <v>62</v>
      </c>
      <c r="B41" s="10" t="s">
        <v>63</v>
      </c>
      <c r="C41" s="11" t="s">
        <v>35</v>
      </c>
      <c r="D41" s="11">
        <v>0</v>
      </c>
    </row>
    <row r="42" spans="1:4" x14ac:dyDescent="0.25">
      <c r="A42" s="10" t="s">
        <v>64</v>
      </c>
      <c r="B42" s="10" t="s">
        <v>65</v>
      </c>
      <c r="C42" s="11" t="s">
        <v>35</v>
      </c>
      <c r="D42" s="11">
        <v>0</v>
      </c>
    </row>
    <row r="43" spans="1:4" x14ac:dyDescent="0.25">
      <c r="A43" s="14" t="s">
        <v>66</v>
      </c>
      <c r="B43" s="14" t="s">
        <v>67</v>
      </c>
      <c r="C43" s="15" t="s">
        <v>30</v>
      </c>
      <c r="D43" s="15">
        <v>1</v>
      </c>
    </row>
    <row r="44" spans="1:4" x14ac:dyDescent="0.25">
      <c r="A44" s="10" t="s">
        <v>68</v>
      </c>
      <c r="B44" s="10" t="s">
        <v>69</v>
      </c>
      <c r="C44" s="11" t="s">
        <v>35</v>
      </c>
      <c r="D44" s="11">
        <v>0</v>
      </c>
    </row>
    <row r="45" spans="1:4" x14ac:dyDescent="0.25">
      <c r="A45" s="10" t="s">
        <v>70</v>
      </c>
      <c r="B45" s="10" t="s">
        <v>71</v>
      </c>
      <c r="C45" s="11" t="s">
        <v>35</v>
      </c>
      <c r="D45" s="11">
        <v>0</v>
      </c>
    </row>
    <row r="46" spans="1:4" x14ac:dyDescent="0.25">
      <c r="A46" s="10" t="s">
        <v>72</v>
      </c>
      <c r="B46" s="10" t="s">
        <v>73</v>
      </c>
      <c r="C46" s="11" t="s">
        <v>35</v>
      </c>
      <c r="D46" s="11">
        <v>0</v>
      </c>
    </row>
    <row r="47" spans="1:4" x14ac:dyDescent="0.25">
      <c r="A47" s="10" t="s">
        <v>74</v>
      </c>
      <c r="B47" s="10" t="s">
        <v>75</v>
      </c>
      <c r="C47" s="11" t="s">
        <v>35</v>
      </c>
      <c r="D47" s="11">
        <v>0</v>
      </c>
    </row>
    <row r="48" spans="1:4" x14ac:dyDescent="0.25">
      <c r="A48" s="10" t="s">
        <v>76</v>
      </c>
      <c r="B48" s="10" t="s">
        <v>77</v>
      </c>
      <c r="C48" s="11" t="s">
        <v>35</v>
      </c>
      <c r="D48" s="11">
        <v>0</v>
      </c>
    </row>
    <row r="49" spans="1:4" x14ac:dyDescent="0.25">
      <c r="A49" s="10" t="s">
        <v>78</v>
      </c>
      <c r="B49" s="10" t="s">
        <v>79</v>
      </c>
      <c r="C49" s="11" t="s">
        <v>35</v>
      </c>
      <c r="D49" s="11">
        <v>0</v>
      </c>
    </row>
    <row r="50" spans="1:4" x14ac:dyDescent="0.25">
      <c r="A50" s="10" t="s">
        <v>80</v>
      </c>
      <c r="B50" s="10" t="s">
        <v>81</v>
      </c>
      <c r="C50" s="11" t="s">
        <v>35</v>
      </c>
      <c r="D50" s="11">
        <v>0</v>
      </c>
    </row>
    <row r="51" spans="1:4" x14ac:dyDescent="0.25">
      <c r="A51" s="10" t="s">
        <v>82</v>
      </c>
      <c r="B51" s="10" t="s">
        <v>83</v>
      </c>
      <c r="C51" s="11" t="s">
        <v>35</v>
      </c>
      <c r="D51" s="11">
        <v>0</v>
      </c>
    </row>
    <row r="52" spans="1:4" x14ac:dyDescent="0.25">
      <c r="A52" s="10" t="s">
        <v>84</v>
      </c>
      <c r="B52" s="10" t="s">
        <v>85</v>
      </c>
      <c r="C52" s="11" t="s">
        <v>35</v>
      </c>
      <c r="D52" s="11">
        <v>0</v>
      </c>
    </row>
    <row r="53" spans="1:4" x14ac:dyDescent="0.25">
      <c r="A53" s="14" t="s">
        <v>86</v>
      </c>
      <c r="B53" s="14" t="s">
        <v>87</v>
      </c>
      <c r="C53" s="15" t="s">
        <v>30</v>
      </c>
      <c r="D53" s="15">
        <v>1</v>
      </c>
    </row>
    <row r="54" spans="1:4" x14ac:dyDescent="0.25">
      <c r="A54" s="10" t="s">
        <v>88</v>
      </c>
      <c r="B54" s="10" t="s">
        <v>89</v>
      </c>
      <c r="C54" s="11" t="s">
        <v>35</v>
      </c>
      <c r="D54" s="11">
        <v>0</v>
      </c>
    </row>
    <row r="55" spans="1:4" x14ac:dyDescent="0.25">
      <c r="A55" s="10" t="s">
        <v>90</v>
      </c>
      <c r="B55" s="10" t="s">
        <v>91</v>
      </c>
      <c r="C55" s="11" t="s">
        <v>35</v>
      </c>
      <c r="D55" s="11">
        <v>0</v>
      </c>
    </row>
    <row r="56" spans="1:4" x14ac:dyDescent="0.25">
      <c r="A56" s="14" t="s">
        <v>92</v>
      </c>
      <c r="B56" s="14" t="s">
        <v>93</v>
      </c>
      <c r="C56" s="15" t="s">
        <v>30</v>
      </c>
      <c r="D56" s="15">
        <v>1</v>
      </c>
    </row>
    <row r="57" spans="1:4" x14ac:dyDescent="0.25">
      <c r="A57" s="10" t="s">
        <v>94</v>
      </c>
      <c r="B57" s="10" t="s">
        <v>95</v>
      </c>
      <c r="C57" s="11" t="s">
        <v>35</v>
      </c>
      <c r="D57" s="11">
        <v>0</v>
      </c>
    </row>
    <row r="58" spans="1:4" x14ac:dyDescent="0.25">
      <c r="A58" s="14" t="s">
        <v>96</v>
      </c>
      <c r="B58" s="14" t="s">
        <v>97</v>
      </c>
      <c r="C58" s="15" t="s">
        <v>30</v>
      </c>
      <c r="D58" s="15">
        <v>2</v>
      </c>
    </row>
    <row r="59" spans="1:4" x14ac:dyDescent="0.25">
      <c r="A59" s="10" t="s">
        <v>98</v>
      </c>
      <c r="B59" s="10" t="s">
        <v>99</v>
      </c>
      <c r="C59" s="11" t="s">
        <v>35</v>
      </c>
      <c r="D59" s="11">
        <v>0</v>
      </c>
    </row>
    <row r="60" spans="1:4" x14ac:dyDescent="0.25">
      <c r="A60" s="10" t="s">
        <v>100</v>
      </c>
      <c r="B60" s="10" t="s">
        <v>101</v>
      </c>
      <c r="C60" s="11" t="s">
        <v>35</v>
      </c>
      <c r="D60" s="11">
        <v>0</v>
      </c>
    </row>
    <row r="61" spans="1:4" x14ac:dyDescent="0.25">
      <c r="A61" s="14" t="s">
        <v>102</v>
      </c>
      <c r="B61" s="14" t="s">
        <v>103</v>
      </c>
      <c r="C61" s="15" t="s">
        <v>30</v>
      </c>
      <c r="D61" s="15">
        <v>3</v>
      </c>
    </row>
    <row r="62" spans="1:4" x14ac:dyDescent="0.25">
      <c r="A62" s="14" t="s">
        <v>104</v>
      </c>
      <c r="B62" s="14" t="s">
        <v>105</v>
      </c>
      <c r="C62" s="15" t="s">
        <v>30</v>
      </c>
      <c r="D62" s="15">
        <v>1</v>
      </c>
    </row>
    <row r="63" spans="1:4" x14ac:dyDescent="0.25">
      <c r="A63" s="10" t="s">
        <v>106</v>
      </c>
      <c r="B63" s="10" t="s">
        <v>107</v>
      </c>
      <c r="C63" s="11" t="s">
        <v>35</v>
      </c>
      <c r="D63" s="11">
        <v>0</v>
      </c>
    </row>
    <row r="64" spans="1:4" x14ac:dyDescent="0.25">
      <c r="A64" s="14" t="s">
        <v>108</v>
      </c>
      <c r="B64" s="14" t="s">
        <v>109</v>
      </c>
      <c r="C64" s="15" t="s">
        <v>30</v>
      </c>
      <c r="D64" s="15">
        <v>5</v>
      </c>
    </row>
    <row r="65" spans="1:4" x14ac:dyDescent="0.25">
      <c r="A65" s="14" t="s">
        <v>110</v>
      </c>
      <c r="B65" s="14" t="s">
        <v>111</v>
      </c>
      <c r="C65" s="15" t="s">
        <v>30</v>
      </c>
      <c r="D65" s="15">
        <v>1</v>
      </c>
    </row>
    <row r="66" spans="1:4" x14ac:dyDescent="0.25">
      <c r="A66" s="14" t="s">
        <v>112</v>
      </c>
      <c r="B66" s="14" t="s">
        <v>113</v>
      </c>
      <c r="C66" s="15" t="s">
        <v>30</v>
      </c>
      <c r="D66" s="15">
        <v>2</v>
      </c>
    </row>
    <row r="67" spans="1:4" x14ac:dyDescent="0.25">
      <c r="A67" s="10" t="s">
        <v>114</v>
      </c>
      <c r="B67" s="10" t="s">
        <v>115</v>
      </c>
      <c r="C67" s="11" t="s">
        <v>35</v>
      </c>
      <c r="D67" s="11">
        <v>0</v>
      </c>
    </row>
    <row r="68" spans="1:4" x14ac:dyDescent="0.25">
      <c r="A68" s="14" t="s">
        <v>116</v>
      </c>
      <c r="B68" s="14" t="s">
        <v>117</v>
      </c>
      <c r="C68" s="15" t="s">
        <v>30</v>
      </c>
      <c r="D68" s="15">
        <v>1</v>
      </c>
    </row>
    <row r="69" spans="1:4" x14ac:dyDescent="0.25">
      <c r="A69" s="10" t="s">
        <v>118</v>
      </c>
      <c r="B69" s="10" t="s">
        <v>119</v>
      </c>
      <c r="C69" s="11" t="s">
        <v>35</v>
      </c>
      <c r="D69" s="11">
        <v>0</v>
      </c>
    </row>
    <row r="70" spans="1:4" x14ac:dyDescent="0.25">
      <c r="A70" s="14" t="s">
        <v>120</v>
      </c>
      <c r="B70" s="14" t="s">
        <v>121</v>
      </c>
      <c r="C70" s="15" t="s">
        <v>30</v>
      </c>
      <c r="D70" s="15">
        <v>1</v>
      </c>
    </row>
    <row r="71" spans="1:4" x14ac:dyDescent="0.25">
      <c r="A71" s="10" t="s">
        <v>122</v>
      </c>
      <c r="B71" s="10" t="s">
        <v>123</v>
      </c>
      <c r="C71" s="11" t="s">
        <v>35</v>
      </c>
      <c r="D71" s="11">
        <v>0</v>
      </c>
    </row>
    <row r="72" spans="1:4" x14ac:dyDescent="0.25">
      <c r="A72" s="10" t="s">
        <v>124</v>
      </c>
      <c r="B72" s="10" t="s">
        <v>125</v>
      </c>
      <c r="C72" s="11" t="s">
        <v>35</v>
      </c>
      <c r="D72" s="11">
        <v>0</v>
      </c>
    </row>
    <row r="73" spans="1:4" x14ac:dyDescent="0.25">
      <c r="A73" s="14" t="s">
        <v>126</v>
      </c>
      <c r="B73" s="14" t="s">
        <v>127</v>
      </c>
      <c r="C73" s="15" t="s">
        <v>30</v>
      </c>
      <c r="D73" s="15">
        <v>2</v>
      </c>
    </row>
    <row r="74" spans="1:4" x14ac:dyDescent="0.25">
      <c r="A74" s="14" t="s">
        <v>128</v>
      </c>
      <c r="B74" s="14" t="s">
        <v>129</v>
      </c>
      <c r="C74" s="15" t="s">
        <v>30</v>
      </c>
      <c r="D74" s="15">
        <v>1</v>
      </c>
    </row>
    <row r="75" spans="1:4" x14ac:dyDescent="0.25">
      <c r="A75" s="10" t="s">
        <v>130</v>
      </c>
      <c r="B75" s="10" t="s">
        <v>131</v>
      </c>
      <c r="C75" s="11" t="s">
        <v>35</v>
      </c>
      <c r="D75" s="11">
        <v>0</v>
      </c>
    </row>
    <row r="76" spans="1:4" x14ac:dyDescent="0.25">
      <c r="A76" s="10" t="s">
        <v>132</v>
      </c>
      <c r="B76" s="10" t="s">
        <v>133</v>
      </c>
      <c r="C76" s="11" t="s">
        <v>35</v>
      </c>
      <c r="D76" s="11">
        <v>0</v>
      </c>
    </row>
    <row r="77" spans="1:4" x14ac:dyDescent="0.25">
      <c r="A77" s="10" t="s">
        <v>134</v>
      </c>
      <c r="B77" s="10" t="s">
        <v>135</v>
      </c>
      <c r="C77" s="11" t="s">
        <v>35</v>
      </c>
      <c r="D77" s="11">
        <v>0</v>
      </c>
    </row>
    <row r="78" spans="1:4" x14ac:dyDescent="0.25">
      <c r="A78" s="10" t="s">
        <v>136</v>
      </c>
      <c r="B78" s="10" t="s">
        <v>137</v>
      </c>
      <c r="C78" s="11" t="s">
        <v>35</v>
      </c>
      <c r="D78" s="11">
        <v>0</v>
      </c>
    </row>
    <row r="79" spans="1:4" x14ac:dyDescent="0.25">
      <c r="A79" s="10" t="s">
        <v>138</v>
      </c>
      <c r="B79" s="10" t="s">
        <v>139</v>
      </c>
      <c r="C79" s="11" t="s">
        <v>35</v>
      </c>
      <c r="D79" s="11">
        <v>0</v>
      </c>
    </row>
    <row r="80" spans="1:4" x14ac:dyDescent="0.25">
      <c r="A80" s="10" t="s">
        <v>140</v>
      </c>
      <c r="B80" s="10" t="s">
        <v>141</v>
      </c>
      <c r="C80" s="11" t="s">
        <v>35</v>
      </c>
      <c r="D80" s="11">
        <v>0</v>
      </c>
    </row>
    <row r="81" spans="1:4" x14ac:dyDescent="0.25">
      <c r="A81" s="10" t="s">
        <v>142</v>
      </c>
      <c r="B81" s="10" t="s">
        <v>143</v>
      </c>
      <c r="C81" s="11" t="s">
        <v>35</v>
      </c>
      <c r="D81" s="11">
        <v>0</v>
      </c>
    </row>
    <row r="82" spans="1:4" x14ac:dyDescent="0.25">
      <c r="A82" s="14" t="s">
        <v>144</v>
      </c>
      <c r="B82" s="14" t="s">
        <v>145</v>
      </c>
      <c r="C82" s="15" t="s">
        <v>30</v>
      </c>
      <c r="D82" s="15">
        <v>1</v>
      </c>
    </row>
    <row r="83" spans="1:4" x14ac:dyDescent="0.25">
      <c r="A83" s="14" t="s">
        <v>146</v>
      </c>
      <c r="B83" s="14" t="s">
        <v>147</v>
      </c>
      <c r="C83" s="15" t="s">
        <v>30</v>
      </c>
      <c r="D83" s="15">
        <v>5</v>
      </c>
    </row>
    <row r="84" spans="1:4" x14ac:dyDescent="0.25">
      <c r="A84" s="14" t="s">
        <v>148</v>
      </c>
      <c r="B84" s="14" t="s">
        <v>149</v>
      </c>
      <c r="C84" s="15" t="s">
        <v>30</v>
      </c>
      <c r="D84" s="15">
        <v>1</v>
      </c>
    </row>
    <row r="85" spans="1:4" x14ac:dyDescent="0.25">
      <c r="A85" s="10" t="s">
        <v>150</v>
      </c>
      <c r="B85" s="10" t="s">
        <v>151</v>
      </c>
      <c r="C85" s="11" t="s">
        <v>35</v>
      </c>
      <c r="D85" s="11">
        <v>0</v>
      </c>
    </row>
    <row r="86" spans="1:4" x14ac:dyDescent="0.25">
      <c r="A86" s="14" t="s">
        <v>152</v>
      </c>
      <c r="B86" s="14" t="s">
        <v>153</v>
      </c>
      <c r="C86" s="15" t="s">
        <v>30</v>
      </c>
      <c r="D86" s="15">
        <v>1</v>
      </c>
    </row>
    <row r="87" spans="1:4" x14ac:dyDescent="0.25">
      <c r="A87" s="10" t="s">
        <v>154</v>
      </c>
      <c r="B87" s="10" t="s">
        <v>155</v>
      </c>
      <c r="C87" s="11" t="s">
        <v>35</v>
      </c>
      <c r="D87" s="11">
        <v>0</v>
      </c>
    </row>
    <row r="88" spans="1:4" x14ac:dyDescent="0.25">
      <c r="A88" s="10" t="s">
        <v>156</v>
      </c>
      <c r="B88" s="10" t="s">
        <v>157</v>
      </c>
      <c r="C88" s="11" t="s">
        <v>35</v>
      </c>
      <c r="D88" s="11">
        <v>0</v>
      </c>
    </row>
    <row r="89" spans="1:4" x14ac:dyDescent="0.25">
      <c r="A89" s="10" t="s">
        <v>158</v>
      </c>
      <c r="B89" s="10" t="s">
        <v>159</v>
      </c>
      <c r="C89" s="11" t="s">
        <v>35</v>
      </c>
      <c r="D89" s="11">
        <v>0</v>
      </c>
    </row>
    <row r="90" spans="1:4" x14ac:dyDescent="0.25">
      <c r="A90" s="10" t="s">
        <v>160</v>
      </c>
      <c r="B90" s="10" t="s">
        <v>161</v>
      </c>
      <c r="C90" s="11" t="s">
        <v>35</v>
      </c>
      <c r="D90" s="11">
        <v>0</v>
      </c>
    </row>
    <row r="91" spans="1:4" x14ac:dyDescent="0.25">
      <c r="A91" s="10" t="s">
        <v>162</v>
      </c>
      <c r="B91" s="10" t="s">
        <v>163</v>
      </c>
      <c r="C91" s="11" t="s">
        <v>35</v>
      </c>
      <c r="D91" s="11">
        <v>0</v>
      </c>
    </row>
    <row r="92" spans="1:4" x14ac:dyDescent="0.25">
      <c r="A92" s="10" t="s">
        <v>164</v>
      </c>
      <c r="B92" s="10" t="s">
        <v>165</v>
      </c>
      <c r="C92" s="11" t="s">
        <v>35</v>
      </c>
      <c r="D92" s="11">
        <v>0</v>
      </c>
    </row>
    <row r="93" spans="1:4" x14ac:dyDescent="0.25">
      <c r="A93" s="10" t="s">
        <v>166</v>
      </c>
      <c r="B93" s="10" t="s">
        <v>167</v>
      </c>
      <c r="C93" s="11" t="s">
        <v>35</v>
      </c>
      <c r="D93" s="11">
        <v>0</v>
      </c>
    </row>
    <row r="94" spans="1:4" x14ac:dyDescent="0.25">
      <c r="A94" s="10" t="s">
        <v>168</v>
      </c>
      <c r="B94" s="10" t="s">
        <v>169</v>
      </c>
      <c r="C94" s="11" t="s">
        <v>35</v>
      </c>
      <c r="D94" s="11">
        <v>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G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18" customWidth="1"/>
    <col min="4" max="4" width="60" customWidth="1"/>
    <col min="5" max="5" width="18" customWidth="1"/>
    <col min="6" max="6" width="40" customWidth="1"/>
    <col min="7" max="7" width="14" customWidth="1"/>
  </cols>
  <sheetData>
    <row r="1" ht="22" customHeight="1" spans="1:7" x14ac:dyDescent="0.25">
      <c r="A1" s="5" t="s">
        <v>170</v>
      </c>
      <c r="B1" s="5" t="s">
        <v>25</v>
      </c>
      <c r="C1" s="5" t="s">
        <v>171</v>
      </c>
      <c r="D1" s="5" t="s">
        <v>172</v>
      </c>
      <c r="E1" s="5" t="s">
        <v>173</v>
      </c>
      <c r="F1" s="5" t="s">
        <v>174</v>
      </c>
      <c r="G1" s="5" t="s">
        <v>175</v>
      </c>
    </row>
    <row r="2" spans="1:7" x14ac:dyDescent="0.25">
      <c r="A2" s="16" t="s">
        <v>13</v>
      </c>
      <c r="B2" s="16" t="s">
        <v>58</v>
      </c>
      <c r="C2" s="16" t="s">
        <v>176</v>
      </c>
      <c r="D2" s="17" t="s">
        <v>177</v>
      </c>
      <c r="E2" s="16" t="s">
        <v>178</v>
      </c>
      <c r="F2" s="17" t="s">
        <v>179</v>
      </c>
      <c r="G2" s="18" t="s">
        <v>180</v>
      </c>
    </row>
    <row r="3" spans="1:7" x14ac:dyDescent="0.25">
      <c r="A3" s="16" t="s">
        <v>13</v>
      </c>
      <c r="B3" s="16" t="s">
        <v>110</v>
      </c>
      <c r="C3" s="16" t="s">
        <v>181</v>
      </c>
      <c r="D3" s="17" t="s">
        <v>182</v>
      </c>
      <c r="E3" s="16" t="s">
        <v>178</v>
      </c>
      <c r="F3" s="17" t="s">
        <v>183</v>
      </c>
      <c r="G3" s="18" t="s">
        <v>180</v>
      </c>
    </row>
    <row r="4" spans="1:7" x14ac:dyDescent="0.25">
      <c r="A4" s="19" t="s">
        <v>6</v>
      </c>
      <c r="B4" s="19" t="s">
        <v>6</v>
      </c>
      <c r="C4" s="19" t="s">
        <v>6</v>
      </c>
      <c r="D4" s="20" t="s">
        <v>184</v>
      </c>
      <c r="E4" s="19" t="s">
        <v>185</v>
      </c>
      <c r="F4" s="20" t="s">
        <v>186</v>
      </c>
      <c r="G4" s="21" t="s">
        <v>187</v>
      </c>
    </row>
    <row r="5" spans="1:7" x14ac:dyDescent="0.25">
      <c r="A5" s="16" t="s">
        <v>13</v>
      </c>
      <c r="B5" s="16" t="s">
        <v>148</v>
      </c>
      <c r="C5" s="16" t="s">
        <v>188</v>
      </c>
      <c r="D5" s="17" t="s">
        <v>189</v>
      </c>
      <c r="E5" s="16" t="s">
        <v>190</v>
      </c>
      <c r="F5" s="17" t="s">
        <v>191</v>
      </c>
      <c r="G5" s="18" t="s">
        <v>180</v>
      </c>
    </row>
    <row r="6" spans="1:7" x14ac:dyDescent="0.25">
      <c r="A6" s="19" t="s">
        <v>6</v>
      </c>
      <c r="B6" s="19" t="s">
        <v>6</v>
      </c>
      <c r="C6" s="19" t="s">
        <v>6</v>
      </c>
      <c r="D6" s="20" t="s">
        <v>192</v>
      </c>
      <c r="E6" s="19" t="s">
        <v>193</v>
      </c>
      <c r="F6" s="20" t="s">
        <v>6</v>
      </c>
      <c r="G6" s="21" t="s">
        <v>187</v>
      </c>
    </row>
    <row r="7" spans="1:7" x14ac:dyDescent="0.25">
      <c r="A7" s="16" t="s">
        <v>13</v>
      </c>
      <c r="B7" s="16" t="s">
        <v>152</v>
      </c>
      <c r="C7" s="16" t="s">
        <v>194</v>
      </c>
      <c r="D7" s="17" t="s">
        <v>195</v>
      </c>
      <c r="E7" s="16" t="s">
        <v>196</v>
      </c>
      <c r="F7" s="17" t="s">
        <v>197</v>
      </c>
      <c r="G7" s="16" t="s">
        <v>6</v>
      </c>
    </row>
    <row r="8" spans="1:7" x14ac:dyDescent="0.25">
      <c r="A8" s="19" t="s">
        <v>6</v>
      </c>
      <c r="B8" s="19" t="s">
        <v>6</v>
      </c>
      <c r="C8" s="19" t="s">
        <v>6</v>
      </c>
      <c r="D8" s="20" t="s">
        <v>198</v>
      </c>
      <c r="E8" s="19" t="s">
        <v>199</v>
      </c>
      <c r="F8" s="20" t="s">
        <v>200</v>
      </c>
      <c r="G8" s="21" t="s">
        <v>187</v>
      </c>
    </row>
    <row r="9" spans="1:7" x14ac:dyDescent="0.25">
      <c r="A9" s="14" t="s">
        <v>14</v>
      </c>
      <c r="B9" s="14" t="s">
        <v>28</v>
      </c>
      <c r="C9" s="14" t="s">
        <v>201</v>
      </c>
      <c r="D9" s="22" t="s">
        <v>202</v>
      </c>
      <c r="E9" s="14" t="s">
        <v>203</v>
      </c>
      <c r="F9" s="22" t="s">
        <v>204</v>
      </c>
      <c r="G9" s="23" t="s">
        <v>180</v>
      </c>
    </row>
    <row r="10" spans="1:7" x14ac:dyDescent="0.25">
      <c r="A10" s="14" t="s">
        <v>14</v>
      </c>
      <c r="B10" s="14" t="s">
        <v>31</v>
      </c>
      <c r="C10" s="14" t="s">
        <v>201</v>
      </c>
      <c r="D10" s="22" t="s">
        <v>205</v>
      </c>
      <c r="E10" s="14" t="s">
        <v>206</v>
      </c>
      <c r="F10" s="22" t="s">
        <v>207</v>
      </c>
      <c r="G10" s="14" t="s">
        <v>6</v>
      </c>
    </row>
    <row r="11" spans="1:7" x14ac:dyDescent="0.25">
      <c r="A11" s="14" t="s">
        <v>14</v>
      </c>
      <c r="B11" s="14" t="s">
        <v>31</v>
      </c>
      <c r="C11" s="14" t="s">
        <v>201</v>
      </c>
      <c r="D11" s="22" t="s">
        <v>208</v>
      </c>
      <c r="E11" s="14" t="s">
        <v>209</v>
      </c>
      <c r="F11" s="22" t="s">
        <v>207</v>
      </c>
      <c r="G11" s="14" t="s">
        <v>6</v>
      </c>
    </row>
    <row r="12" spans="1:7" x14ac:dyDescent="0.25">
      <c r="A12" s="14" t="s">
        <v>14</v>
      </c>
      <c r="B12" s="14" t="s">
        <v>31</v>
      </c>
      <c r="C12" s="14" t="s">
        <v>201</v>
      </c>
      <c r="D12" s="22" t="s">
        <v>210</v>
      </c>
      <c r="E12" s="14" t="s">
        <v>211</v>
      </c>
      <c r="F12" s="22" t="s">
        <v>207</v>
      </c>
      <c r="G12" s="14" t="s">
        <v>6</v>
      </c>
    </row>
    <row r="13" spans="1:7" x14ac:dyDescent="0.25">
      <c r="A13" s="14" t="s">
        <v>14</v>
      </c>
      <c r="B13" s="14" t="s">
        <v>60</v>
      </c>
      <c r="C13" s="14" t="s">
        <v>176</v>
      </c>
      <c r="D13" s="22" t="s">
        <v>212</v>
      </c>
      <c r="E13" s="14" t="s">
        <v>213</v>
      </c>
      <c r="F13" s="22" t="s">
        <v>214</v>
      </c>
      <c r="G13" s="23" t="s">
        <v>180</v>
      </c>
    </row>
    <row r="14" spans="1:7" x14ac:dyDescent="0.25">
      <c r="A14" s="14" t="s">
        <v>14</v>
      </c>
      <c r="B14" s="14" t="s">
        <v>66</v>
      </c>
      <c r="C14" s="14" t="s">
        <v>215</v>
      </c>
      <c r="D14" s="22" t="s">
        <v>216</v>
      </c>
      <c r="E14" s="14" t="s">
        <v>178</v>
      </c>
      <c r="F14" s="22" t="s">
        <v>217</v>
      </c>
      <c r="G14" s="23" t="s">
        <v>180</v>
      </c>
    </row>
    <row r="15" spans="1:7" x14ac:dyDescent="0.25">
      <c r="A15" s="14" t="s">
        <v>14</v>
      </c>
      <c r="B15" s="14" t="s">
        <v>86</v>
      </c>
      <c r="C15" s="14" t="s">
        <v>218</v>
      </c>
      <c r="D15" s="22" t="s">
        <v>219</v>
      </c>
      <c r="E15" s="14" t="s">
        <v>220</v>
      </c>
      <c r="F15" s="22" t="s">
        <v>221</v>
      </c>
      <c r="G15" s="23" t="s">
        <v>180</v>
      </c>
    </row>
    <row r="16" spans="1:7" x14ac:dyDescent="0.25">
      <c r="A16" s="14" t="s">
        <v>14</v>
      </c>
      <c r="B16" s="14" t="s">
        <v>92</v>
      </c>
      <c r="C16" s="14" t="s">
        <v>222</v>
      </c>
      <c r="D16" s="22" t="s">
        <v>223</v>
      </c>
      <c r="E16" s="14" t="s">
        <v>224</v>
      </c>
      <c r="F16" s="22" t="s">
        <v>225</v>
      </c>
      <c r="G16" s="23" t="s">
        <v>180</v>
      </c>
    </row>
    <row r="17" spans="1:7" x14ac:dyDescent="0.25">
      <c r="A17" s="14" t="s">
        <v>14</v>
      </c>
      <c r="B17" s="14" t="s">
        <v>96</v>
      </c>
      <c r="C17" s="14" t="s">
        <v>226</v>
      </c>
      <c r="D17" s="22" t="s">
        <v>227</v>
      </c>
      <c r="E17" s="14" t="s">
        <v>228</v>
      </c>
      <c r="F17" s="22" t="s">
        <v>229</v>
      </c>
      <c r="G17" s="14" t="s">
        <v>6</v>
      </c>
    </row>
    <row r="18" spans="1:7" x14ac:dyDescent="0.25">
      <c r="A18" s="14" t="s">
        <v>14</v>
      </c>
      <c r="B18" s="14" t="s">
        <v>96</v>
      </c>
      <c r="C18" s="14" t="s">
        <v>226</v>
      </c>
      <c r="D18" s="22" t="s">
        <v>230</v>
      </c>
      <c r="E18" s="14" t="s">
        <v>228</v>
      </c>
      <c r="F18" s="22" t="s">
        <v>231</v>
      </c>
      <c r="G18" s="14" t="s">
        <v>6</v>
      </c>
    </row>
    <row r="19" spans="1:7" x14ac:dyDescent="0.25">
      <c r="A19" s="14" t="s">
        <v>14</v>
      </c>
      <c r="B19" s="14" t="s">
        <v>102</v>
      </c>
      <c r="C19" s="14" t="s">
        <v>232</v>
      </c>
      <c r="D19" s="22" t="s">
        <v>233</v>
      </c>
      <c r="E19" s="14" t="s">
        <v>234</v>
      </c>
      <c r="F19" s="22" t="s">
        <v>235</v>
      </c>
      <c r="G19" s="23" t="s">
        <v>180</v>
      </c>
    </row>
    <row r="20" spans="1:7" x14ac:dyDescent="0.25">
      <c r="A20" s="14" t="s">
        <v>14</v>
      </c>
      <c r="B20" s="14" t="s">
        <v>102</v>
      </c>
      <c r="C20" s="14" t="s">
        <v>232</v>
      </c>
      <c r="D20" s="22" t="s">
        <v>236</v>
      </c>
      <c r="E20" s="14" t="s">
        <v>234</v>
      </c>
      <c r="F20" s="22" t="s">
        <v>235</v>
      </c>
      <c r="G20" s="23" t="s">
        <v>180</v>
      </c>
    </row>
    <row r="21" spans="1:7" x14ac:dyDescent="0.25">
      <c r="A21" s="14" t="s">
        <v>14</v>
      </c>
      <c r="B21" s="14" t="s">
        <v>102</v>
      </c>
      <c r="C21" s="14" t="s">
        <v>232</v>
      </c>
      <c r="D21" s="22" t="s">
        <v>237</v>
      </c>
      <c r="E21" s="14" t="s">
        <v>234</v>
      </c>
      <c r="F21" s="22" t="s">
        <v>235</v>
      </c>
      <c r="G21" s="23" t="s">
        <v>180</v>
      </c>
    </row>
    <row r="22" spans="1:7" x14ac:dyDescent="0.25">
      <c r="A22" s="14" t="s">
        <v>14</v>
      </c>
      <c r="B22" s="14" t="s">
        <v>104</v>
      </c>
      <c r="C22" s="14" t="s">
        <v>232</v>
      </c>
      <c r="D22" s="22" t="s">
        <v>238</v>
      </c>
      <c r="E22" s="14" t="s">
        <v>239</v>
      </c>
      <c r="F22" s="22" t="s">
        <v>240</v>
      </c>
      <c r="G22" s="23" t="s">
        <v>180</v>
      </c>
    </row>
    <row r="23" spans="1:7" x14ac:dyDescent="0.25">
      <c r="A23" s="14" t="s">
        <v>14</v>
      </c>
      <c r="B23" s="14" t="s">
        <v>112</v>
      </c>
      <c r="C23" s="14" t="s">
        <v>181</v>
      </c>
      <c r="D23" s="22" t="s">
        <v>241</v>
      </c>
      <c r="E23" s="14" t="s">
        <v>242</v>
      </c>
      <c r="F23" s="22" t="s">
        <v>243</v>
      </c>
      <c r="G23" s="23" t="s">
        <v>180</v>
      </c>
    </row>
    <row r="24" spans="1:7" x14ac:dyDescent="0.25">
      <c r="A24" s="19" t="s">
        <v>6</v>
      </c>
      <c r="B24" s="19" t="s">
        <v>6</v>
      </c>
      <c r="C24" s="19" t="s">
        <v>6</v>
      </c>
      <c r="D24" s="20" t="s">
        <v>244</v>
      </c>
      <c r="E24" s="19" t="s">
        <v>245</v>
      </c>
      <c r="F24" s="20" t="s">
        <v>6</v>
      </c>
      <c r="G24" s="21" t="s">
        <v>187</v>
      </c>
    </row>
    <row r="25" spans="1:7" x14ac:dyDescent="0.25">
      <c r="A25" s="19" t="s">
        <v>6</v>
      </c>
      <c r="B25" s="19" t="s">
        <v>6</v>
      </c>
      <c r="C25" s="19" t="s">
        <v>6</v>
      </c>
      <c r="D25" s="20" t="s">
        <v>246</v>
      </c>
      <c r="E25" s="19" t="s">
        <v>247</v>
      </c>
      <c r="F25" s="20" t="s">
        <v>6</v>
      </c>
      <c r="G25" s="21" t="s">
        <v>187</v>
      </c>
    </row>
    <row r="26" spans="1:7" x14ac:dyDescent="0.25">
      <c r="A26" s="14" t="s">
        <v>14</v>
      </c>
      <c r="B26" s="14" t="s">
        <v>112</v>
      </c>
      <c r="C26" s="14" t="s">
        <v>181</v>
      </c>
      <c r="D26" s="22" t="s">
        <v>248</v>
      </c>
      <c r="E26" s="14" t="s">
        <v>249</v>
      </c>
      <c r="F26" s="22" t="s">
        <v>243</v>
      </c>
      <c r="G26" s="23" t="s">
        <v>180</v>
      </c>
    </row>
    <row r="27" spans="1:7" x14ac:dyDescent="0.25">
      <c r="A27" s="19" t="s">
        <v>6</v>
      </c>
      <c r="B27" s="19" t="s">
        <v>6</v>
      </c>
      <c r="C27" s="19" t="s">
        <v>6</v>
      </c>
      <c r="D27" s="20" t="s">
        <v>250</v>
      </c>
      <c r="E27" s="19" t="s">
        <v>251</v>
      </c>
      <c r="F27" s="20" t="s">
        <v>6</v>
      </c>
      <c r="G27" s="21" t="s">
        <v>187</v>
      </c>
    </row>
    <row r="28" spans="1:7" x14ac:dyDescent="0.25">
      <c r="A28" s="14" t="s">
        <v>14</v>
      </c>
      <c r="B28" s="14" t="s">
        <v>116</v>
      </c>
      <c r="C28" s="14" t="s">
        <v>181</v>
      </c>
      <c r="D28" s="22" t="s">
        <v>252</v>
      </c>
      <c r="E28" s="14" t="s">
        <v>253</v>
      </c>
      <c r="F28" s="22" t="s">
        <v>254</v>
      </c>
      <c r="G28" s="23" t="s">
        <v>180</v>
      </c>
    </row>
    <row r="29" spans="1:7" x14ac:dyDescent="0.25">
      <c r="A29" s="14" t="s">
        <v>14</v>
      </c>
      <c r="B29" s="14" t="s">
        <v>120</v>
      </c>
      <c r="C29" s="14" t="s">
        <v>255</v>
      </c>
      <c r="D29" s="22" t="s">
        <v>256</v>
      </c>
      <c r="E29" s="14" t="s">
        <v>242</v>
      </c>
      <c r="F29" s="22" t="s">
        <v>257</v>
      </c>
      <c r="G29" s="23" t="s">
        <v>180</v>
      </c>
    </row>
    <row r="30" spans="1:7" x14ac:dyDescent="0.25">
      <c r="A30" s="19" t="s">
        <v>6</v>
      </c>
      <c r="B30" s="19" t="s">
        <v>6</v>
      </c>
      <c r="C30" s="19" t="s">
        <v>6</v>
      </c>
      <c r="D30" s="20" t="s">
        <v>258</v>
      </c>
      <c r="E30" s="19" t="s">
        <v>259</v>
      </c>
      <c r="F30" s="20" t="s">
        <v>6</v>
      </c>
      <c r="G30" s="21" t="s">
        <v>187</v>
      </c>
    </row>
    <row r="31" spans="1:7" x14ac:dyDescent="0.25">
      <c r="A31" s="14" t="s">
        <v>14</v>
      </c>
      <c r="B31" s="14" t="s">
        <v>126</v>
      </c>
      <c r="C31" s="14" t="s">
        <v>255</v>
      </c>
      <c r="D31" s="22" t="s">
        <v>260</v>
      </c>
      <c r="E31" s="14" t="s">
        <v>261</v>
      </c>
      <c r="F31" s="22" t="s">
        <v>262</v>
      </c>
      <c r="G31" s="23" t="s">
        <v>180</v>
      </c>
    </row>
    <row r="32" spans="1:7" x14ac:dyDescent="0.25">
      <c r="A32" s="14" t="s">
        <v>14</v>
      </c>
      <c r="B32" s="14" t="s">
        <v>126</v>
      </c>
      <c r="C32" s="14" t="s">
        <v>255</v>
      </c>
      <c r="D32" s="22" t="s">
        <v>263</v>
      </c>
      <c r="E32" s="14" t="s">
        <v>261</v>
      </c>
      <c r="F32" s="22" t="s">
        <v>264</v>
      </c>
      <c r="G32" s="23" t="s">
        <v>180</v>
      </c>
    </row>
    <row r="33" spans="1:7" x14ac:dyDescent="0.25">
      <c r="A33" s="14" t="s">
        <v>14</v>
      </c>
      <c r="B33" s="14" t="s">
        <v>144</v>
      </c>
      <c r="C33" s="14" t="s">
        <v>188</v>
      </c>
      <c r="D33" s="22" t="s">
        <v>265</v>
      </c>
      <c r="E33" s="14" t="s">
        <v>266</v>
      </c>
      <c r="F33" s="22" t="s">
        <v>267</v>
      </c>
      <c r="G33" s="14" t="s">
        <v>6</v>
      </c>
    </row>
    <row r="34" spans="1:7" x14ac:dyDescent="0.25">
      <c r="A34" s="19" t="s">
        <v>6</v>
      </c>
      <c r="B34" s="19" t="s">
        <v>6</v>
      </c>
      <c r="C34" s="19" t="s">
        <v>6</v>
      </c>
      <c r="D34" s="20" t="s">
        <v>268</v>
      </c>
      <c r="E34" s="19" t="s">
        <v>269</v>
      </c>
      <c r="F34" s="20" t="s">
        <v>6</v>
      </c>
      <c r="G34" s="21" t="s">
        <v>187</v>
      </c>
    </row>
    <row r="35" spans="1:7" x14ac:dyDescent="0.25">
      <c r="A35" s="19" t="s">
        <v>6</v>
      </c>
      <c r="B35" s="19" t="s">
        <v>6</v>
      </c>
      <c r="C35" s="19" t="s">
        <v>6</v>
      </c>
      <c r="D35" s="20" t="s">
        <v>270</v>
      </c>
      <c r="E35" s="19" t="s">
        <v>271</v>
      </c>
      <c r="F35" s="20" t="s">
        <v>6</v>
      </c>
      <c r="G35" s="21" t="s">
        <v>187</v>
      </c>
    </row>
    <row r="36" spans="1:7" x14ac:dyDescent="0.25">
      <c r="A36" s="19" t="s">
        <v>6</v>
      </c>
      <c r="B36" s="19" t="s">
        <v>6</v>
      </c>
      <c r="C36" s="19" t="s">
        <v>6</v>
      </c>
      <c r="D36" s="20" t="s">
        <v>272</v>
      </c>
      <c r="E36" s="19" t="s">
        <v>273</v>
      </c>
      <c r="F36" s="20" t="s">
        <v>6</v>
      </c>
      <c r="G36" s="21" t="s">
        <v>187</v>
      </c>
    </row>
    <row r="37" spans="1:7" x14ac:dyDescent="0.25">
      <c r="A37" s="14" t="s">
        <v>14</v>
      </c>
      <c r="B37" s="14" t="s">
        <v>146</v>
      </c>
      <c r="C37" s="14" t="s">
        <v>188</v>
      </c>
      <c r="D37" s="22" t="s">
        <v>274</v>
      </c>
      <c r="E37" s="14" t="s">
        <v>275</v>
      </c>
      <c r="F37" s="22" t="s">
        <v>276</v>
      </c>
      <c r="G37" s="23" t="s">
        <v>180</v>
      </c>
    </row>
    <row r="38" spans="1:7" x14ac:dyDescent="0.25">
      <c r="A38" s="19" t="s">
        <v>6</v>
      </c>
      <c r="B38" s="19" t="s">
        <v>6</v>
      </c>
      <c r="C38" s="19" t="s">
        <v>6</v>
      </c>
      <c r="D38" s="20" t="s">
        <v>277</v>
      </c>
      <c r="E38" s="19" t="s">
        <v>278</v>
      </c>
      <c r="F38" s="20" t="s">
        <v>6</v>
      </c>
      <c r="G38" s="21" t="s">
        <v>187</v>
      </c>
    </row>
    <row r="39" spans="1:7" x14ac:dyDescent="0.25">
      <c r="A39" s="19" t="s">
        <v>6</v>
      </c>
      <c r="B39" s="19" t="s">
        <v>6</v>
      </c>
      <c r="C39" s="19" t="s">
        <v>6</v>
      </c>
      <c r="D39" s="20" t="s">
        <v>279</v>
      </c>
      <c r="E39" s="19" t="s">
        <v>199</v>
      </c>
      <c r="F39" s="20" t="s">
        <v>6</v>
      </c>
      <c r="G39" s="21" t="s">
        <v>187</v>
      </c>
    </row>
    <row r="40" spans="1:7" x14ac:dyDescent="0.25">
      <c r="A40" s="14" t="s">
        <v>14</v>
      </c>
      <c r="B40" s="14" t="s">
        <v>146</v>
      </c>
      <c r="C40" s="14" t="s">
        <v>188</v>
      </c>
      <c r="D40" s="22" t="s">
        <v>280</v>
      </c>
      <c r="E40" s="14" t="s">
        <v>275</v>
      </c>
      <c r="F40" s="22" t="s">
        <v>276</v>
      </c>
      <c r="G40" s="23" t="s">
        <v>180</v>
      </c>
    </row>
    <row r="41" spans="1:7" x14ac:dyDescent="0.25">
      <c r="A41" s="19" t="s">
        <v>6</v>
      </c>
      <c r="B41" s="19" t="s">
        <v>6</v>
      </c>
      <c r="C41" s="19" t="s">
        <v>6</v>
      </c>
      <c r="D41" s="20" t="s">
        <v>281</v>
      </c>
      <c r="E41" s="19" t="s">
        <v>282</v>
      </c>
      <c r="F41" s="20" t="s">
        <v>6</v>
      </c>
      <c r="G41" s="21" t="s">
        <v>187</v>
      </c>
    </row>
    <row r="42" spans="1:7" x14ac:dyDescent="0.25">
      <c r="A42" s="19" t="s">
        <v>6</v>
      </c>
      <c r="B42" s="19" t="s">
        <v>6</v>
      </c>
      <c r="C42" s="19" t="s">
        <v>6</v>
      </c>
      <c r="D42" s="20" t="s">
        <v>283</v>
      </c>
      <c r="E42" s="19" t="s">
        <v>284</v>
      </c>
      <c r="F42" s="20" t="s">
        <v>6</v>
      </c>
      <c r="G42" s="21" t="s">
        <v>187</v>
      </c>
    </row>
    <row r="43" spans="1:7" x14ac:dyDescent="0.25">
      <c r="A43" s="14" t="s">
        <v>14</v>
      </c>
      <c r="B43" s="14" t="s">
        <v>146</v>
      </c>
      <c r="C43" s="14" t="s">
        <v>188</v>
      </c>
      <c r="D43" s="22" t="s">
        <v>285</v>
      </c>
      <c r="E43" s="14" t="s">
        <v>275</v>
      </c>
      <c r="F43" s="22" t="s">
        <v>276</v>
      </c>
      <c r="G43" s="23" t="s">
        <v>180</v>
      </c>
    </row>
    <row r="44" spans="1:7" x14ac:dyDescent="0.25">
      <c r="A44" s="19" t="s">
        <v>6</v>
      </c>
      <c r="B44" s="19" t="s">
        <v>6</v>
      </c>
      <c r="C44" s="19" t="s">
        <v>6</v>
      </c>
      <c r="D44" s="20" t="s">
        <v>286</v>
      </c>
      <c r="E44" s="19" t="s">
        <v>287</v>
      </c>
      <c r="F44" s="20" t="s">
        <v>6</v>
      </c>
      <c r="G44" s="21" t="s">
        <v>187</v>
      </c>
    </row>
    <row r="45" spans="1:7" x14ac:dyDescent="0.25">
      <c r="A45" s="19" t="s">
        <v>6</v>
      </c>
      <c r="B45" s="19" t="s">
        <v>6</v>
      </c>
      <c r="C45" s="19" t="s">
        <v>6</v>
      </c>
      <c r="D45" s="20" t="s">
        <v>288</v>
      </c>
      <c r="E45" s="19" t="s">
        <v>289</v>
      </c>
      <c r="F45" s="20" t="s">
        <v>6</v>
      </c>
      <c r="G45" s="21" t="s">
        <v>187</v>
      </c>
    </row>
    <row r="46" spans="1:7" x14ac:dyDescent="0.25">
      <c r="A46" s="14" t="s">
        <v>14</v>
      </c>
      <c r="B46" s="14" t="s">
        <v>146</v>
      </c>
      <c r="C46" s="14" t="s">
        <v>188</v>
      </c>
      <c r="D46" s="22" t="s">
        <v>290</v>
      </c>
      <c r="E46" s="14" t="s">
        <v>275</v>
      </c>
      <c r="F46" s="22" t="s">
        <v>276</v>
      </c>
      <c r="G46" s="23" t="s">
        <v>180</v>
      </c>
    </row>
    <row r="47" spans="1:7" x14ac:dyDescent="0.25">
      <c r="A47" s="19" t="s">
        <v>6</v>
      </c>
      <c r="B47" s="19" t="s">
        <v>6</v>
      </c>
      <c r="C47" s="19" t="s">
        <v>6</v>
      </c>
      <c r="D47" s="20" t="s">
        <v>291</v>
      </c>
      <c r="E47" s="19" t="s">
        <v>193</v>
      </c>
      <c r="F47" s="20" t="s">
        <v>6</v>
      </c>
      <c r="G47" s="19" t="s">
        <v>6</v>
      </c>
    </row>
    <row r="48" spans="1:7" x14ac:dyDescent="0.25">
      <c r="A48" s="19" t="s">
        <v>6</v>
      </c>
      <c r="B48" s="19" t="s">
        <v>6</v>
      </c>
      <c r="C48" s="19" t="s">
        <v>6</v>
      </c>
      <c r="D48" s="20" t="s">
        <v>292</v>
      </c>
      <c r="E48" s="19" t="s">
        <v>293</v>
      </c>
      <c r="F48" s="20" t="s">
        <v>6</v>
      </c>
      <c r="G48" s="21" t="s">
        <v>187</v>
      </c>
    </row>
    <row r="49" spans="1:7" x14ac:dyDescent="0.25">
      <c r="A49" s="14" t="s">
        <v>14</v>
      </c>
      <c r="B49" s="14" t="s">
        <v>146</v>
      </c>
      <c r="C49" s="14" t="s">
        <v>188</v>
      </c>
      <c r="D49" s="22" t="s">
        <v>294</v>
      </c>
      <c r="E49" s="14" t="s">
        <v>275</v>
      </c>
      <c r="F49" s="22" t="s">
        <v>276</v>
      </c>
      <c r="G49" s="23" t="s">
        <v>180</v>
      </c>
    </row>
    <row r="50" spans="1:7" x14ac:dyDescent="0.25">
      <c r="A50" s="19" t="s">
        <v>6</v>
      </c>
      <c r="B50" s="19" t="s">
        <v>6</v>
      </c>
      <c r="C50" s="19" t="s">
        <v>6</v>
      </c>
      <c r="D50" s="20" t="s">
        <v>295</v>
      </c>
      <c r="E50" s="19" t="s">
        <v>296</v>
      </c>
      <c r="F50" s="20" t="s">
        <v>6</v>
      </c>
      <c r="G50" s="21" t="s">
        <v>187</v>
      </c>
    </row>
    <row r="51" spans="1:7" x14ac:dyDescent="0.25">
      <c r="A51" s="19" t="s">
        <v>6</v>
      </c>
      <c r="B51" s="19" t="s">
        <v>6</v>
      </c>
      <c r="C51" s="19" t="s">
        <v>6</v>
      </c>
      <c r="D51" s="20" t="s">
        <v>297</v>
      </c>
      <c r="E51" s="19" t="s">
        <v>271</v>
      </c>
      <c r="F51" s="20" t="s">
        <v>6</v>
      </c>
      <c r="G51" s="21" t="s">
        <v>187</v>
      </c>
    </row>
    <row r="52" spans="1:7" x14ac:dyDescent="0.25">
      <c r="A52" s="24" t="s">
        <v>15</v>
      </c>
      <c r="B52" s="24" t="s">
        <v>56</v>
      </c>
      <c r="C52" s="24" t="s">
        <v>298</v>
      </c>
      <c r="D52" s="25" t="s">
        <v>299</v>
      </c>
      <c r="E52" s="24" t="s">
        <v>300</v>
      </c>
      <c r="F52" s="25" t="s">
        <v>301</v>
      </c>
      <c r="G52" s="24" t="s">
        <v>6</v>
      </c>
    </row>
    <row r="53" spans="1:7" x14ac:dyDescent="0.25">
      <c r="A53" s="24" t="s">
        <v>15</v>
      </c>
      <c r="B53" s="24" t="s">
        <v>108</v>
      </c>
      <c r="C53" s="24" t="s">
        <v>232</v>
      </c>
      <c r="D53" s="25" t="s">
        <v>302</v>
      </c>
      <c r="E53" s="24" t="s">
        <v>303</v>
      </c>
      <c r="F53" s="25" t="s">
        <v>304</v>
      </c>
      <c r="G53" s="26" t="s">
        <v>180</v>
      </c>
    </row>
    <row r="54" spans="1:7" x14ac:dyDescent="0.25">
      <c r="A54" s="24" t="s">
        <v>15</v>
      </c>
      <c r="B54" s="24" t="s">
        <v>108</v>
      </c>
      <c r="C54" s="24" t="s">
        <v>232</v>
      </c>
      <c r="D54" s="25" t="s">
        <v>305</v>
      </c>
      <c r="E54" s="24" t="s">
        <v>306</v>
      </c>
      <c r="F54" s="25" t="s">
        <v>304</v>
      </c>
      <c r="G54" s="26" t="s">
        <v>180</v>
      </c>
    </row>
    <row r="55" spans="1:7" x14ac:dyDescent="0.25">
      <c r="A55" s="24" t="s">
        <v>15</v>
      </c>
      <c r="B55" s="24" t="s">
        <v>108</v>
      </c>
      <c r="C55" s="24" t="s">
        <v>232</v>
      </c>
      <c r="D55" s="25" t="s">
        <v>307</v>
      </c>
      <c r="E55" s="24" t="s">
        <v>308</v>
      </c>
      <c r="F55" s="25" t="s">
        <v>304</v>
      </c>
      <c r="G55" s="26" t="s">
        <v>180</v>
      </c>
    </row>
    <row r="56" spans="1:7" x14ac:dyDescent="0.25">
      <c r="A56" s="24" t="s">
        <v>15</v>
      </c>
      <c r="B56" s="24" t="s">
        <v>108</v>
      </c>
      <c r="C56" s="24" t="s">
        <v>232</v>
      </c>
      <c r="D56" s="25" t="s">
        <v>309</v>
      </c>
      <c r="E56" s="24" t="s">
        <v>310</v>
      </c>
      <c r="F56" s="25" t="s">
        <v>304</v>
      </c>
      <c r="G56" s="26" t="s">
        <v>180</v>
      </c>
    </row>
    <row r="57" spans="1:7" x14ac:dyDescent="0.25">
      <c r="A57" s="24" t="s">
        <v>15</v>
      </c>
      <c r="B57" s="24" t="s">
        <v>108</v>
      </c>
      <c r="C57" s="24" t="s">
        <v>232</v>
      </c>
      <c r="D57" s="25" t="s">
        <v>311</v>
      </c>
      <c r="E57" s="24" t="s">
        <v>312</v>
      </c>
      <c r="F57" s="25" t="s">
        <v>304</v>
      </c>
      <c r="G57" s="26" t="s">
        <v>180</v>
      </c>
    </row>
    <row r="58" spans="1:7" x14ac:dyDescent="0.25">
      <c r="A58" s="24" t="s">
        <v>15</v>
      </c>
      <c r="B58" s="24" t="s">
        <v>128</v>
      </c>
      <c r="C58" s="24" t="s">
        <v>255</v>
      </c>
      <c r="D58" s="25" t="s">
        <v>313</v>
      </c>
      <c r="E58" s="24" t="s">
        <v>314</v>
      </c>
      <c r="F58" s="25" t="s">
        <v>315</v>
      </c>
      <c r="G58" s="26" t="s">
        <v>180</v>
      </c>
    </row>
  </sheetData>
  <autoFilter ref="A1:G58"/>
  <hyperlinks>
    <hyperlink ref="G2" r:id="rId1"/>
    <hyperlink ref="G3" r:id="rId2"/>
    <hyperlink ref="G4" r:id="rId3"/>
    <hyperlink ref="G5" r:id="rId4"/>
    <hyperlink ref="G6" r:id="rId5"/>
    <hyperlink ref="G8" r:id="rId6"/>
    <hyperlink ref="G9" r:id="rId7"/>
    <hyperlink ref="G13" r:id="rId8"/>
    <hyperlink ref="G14" r:id="rId9"/>
    <hyperlink ref="G15" r:id="rId10"/>
    <hyperlink ref="G16" r:id="rId11"/>
    <hyperlink ref="G19" r:id="rId12"/>
    <hyperlink ref="G20" r:id="rId13"/>
    <hyperlink ref="G21" r:id="rId14"/>
    <hyperlink ref="G22" r:id="rId15"/>
    <hyperlink ref="G23" r:id="rId16"/>
    <hyperlink ref="G24" r:id="rId17"/>
    <hyperlink ref="G25" r:id="rId18"/>
    <hyperlink ref="G26" r:id="rId19"/>
    <hyperlink ref="G27" r:id="rId20"/>
    <hyperlink ref="G28" r:id="rId21"/>
    <hyperlink ref="G29" r:id="rId22"/>
    <hyperlink ref="G30" r:id="rId23"/>
    <hyperlink ref="G31" r:id="rId24"/>
    <hyperlink ref="G32" r:id="rId25"/>
    <hyperlink ref="G34" r:id="rId26"/>
    <hyperlink ref="G35" r:id="rId27"/>
    <hyperlink ref="G36" r:id="rId28"/>
    <hyperlink ref="G37" r:id="rId29"/>
    <hyperlink ref="G38" r:id="rId30"/>
    <hyperlink ref="G39" r:id="rId31"/>
    <hyperlink ref="G40" r:id="rId32"/>
    <hyperlink ref="G41" r:id="rId33"/>
    <hyperlink ref="G42" r:id="rId34"/>
    <hyperlink ref="G43" r:id="rId35"/>
    <hyperlink ref="G44" r:id="rId36"/>
    <hyperlink ref="G45" r:id="rId37"/>
    <hyperlink ref="G46" r:id="rId38"/>
    <hyperlink ref="G48" r:id="rId39"/>
    <hyperlink ref="G49" r:id="rId40"/>
    <hyperlink ref="G50" r:id="rId41"/>
    <hyperlink ref="G51" r:id="rId42"/>
    <hyperlink ref="G53" r:id="rId43"/>
    <hyperlink ref="G54" r:id="rId44"/>
    <hyperlink ref="G55" r:id="rId45"/>
    <hyperlink ref="G56" r:id="rId46"/>
    <hyperlink ref="G57" r:id="rId47"/>
    <hyperlink ref="G58" r:id="rId4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2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17</v>
      </c>
      <c r="B1" s="27"/>
      <c r="C1" s="27"/>
      <c r="D1" s="27"/>
      <c r="E1" s="27"/>
      <c r="F1" s="27"/>
    </row>
    <row r="2" spans="1:1" x14ac:dyDescent="0.25">
      <c r="A2" s="28" t="s">
        <v>316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148</v>
      </c>
      <c r="C5" s="17" t="s">
        <v>189</v>
      </c>
      <c r="D5" s="16" t="s">
        <v>190</v>
      </c>
      <c r="E5" s="17" t="s">
        <v>191</v>
      </c>
      <c r="F5" s="18" t="s">
        <v>180</v>
      </c>
    </row>
    <row r="6" spans="1:6" x14ac:dyDescent="0.25">
      <c r="A6" s="19" t="s">
        <v>6</v>
      </c>
      <c r="B6" s="19" t="s">
        <v>6</v>
      </c>
      <c r="C6" s="20" t="s">
        <v>192</v>
      </c>
      <c r="D6" s="19" t="s">
        <v>193</v>
      </c>
      <c r="E6" s="20" t="s">
        <v>6</v>
      </c>
      <c r="F6" s="21" t="s">
        <v>187</v>
      </c>
    </row>
    <row r="7" spans="1:6" x14ac:dyDescent="0.25">
      <c r="A7" s="14" t="s">
        <v>14</v>
      </c>
      <c r="B7" s="14" t="s">
        <v>144</v>
      </c>
      <c r="C7" s="22" t="s">
        <v>265</v>
      </c>
      <c r="D7" s="14" t="s">
        <v>266</v>
      </c>
      <c r="E7" s="22" t="s">
        <v>267</v>
      </c>
      <c r="F7" s="14" t="s">
        <v>6</v>
      </c>
    </row>
    <row r="8" spans="1:6" x14ac:dyDescent="0.25">
      <c r="A8" s="19" t="s">
        <v>6</v>
      </c>
      <c r="B8" s="19" t="s">
        <v>6</v>
      </c>
      <c r="C8" s="20" t="s">
        <v>268</v>
      </c>
      <c r="D8" s="19" t="s">
        <v>269</v>
      </c>
      <c r="E8" s="20" t="s">
        <v>6</v>
      </c>
      <c r="F8" s="21" t="s">
        <v>187</v>
      </c>
    </row>
    <row r="9" spans="1:6" x14ac:dyDescent="0.25">
      <c r="A9" s="19" t="s">
        <v>6</v>
      </c>
      <c r="B9" s="19" t="s">
        <v>6</v>
      </c>
      <c r="C9" s="20" t="s">
        <v>270</v>
      </c>
      <c r="D9" s="19" t="s">
        <v>271</v>
      </c>
      <c r="E9" s="20" t="s">
        <v>6</v>
      </c>
      <c r="F9" s="21" t="s">
        <v>187</v>
      </c>
    </row>
    <row r="10" spans="1:6" x14ac:dyDescent="0.25">
      <c r="A10" s="19" t="s">
        <v>6</v>
      </c>
      <c r="B10" s="19" t="s">
        <v>6</v>
      </c>
      <c r="C10" s="20" t="s">
        <v>272</v>
      </c>
      <c r="D10" s="19" t="s">
        <v>273</v>
      </c>
      <c r="E10" s="20" t="s">
        <v>6</v>
      </c>
      <c r="F10" s="21" t="s">
        <v>187</v>
      </c>
    </row>
    <row r="11" spans="1:6" x14ac:dyDescent="0.25">
      <c r="A11" s="14" t="s">
        <v>14</v>
      </c>
      <c r="B11" s="14" t="s">
        <v>146</v>
      </c>
      <c r="C11" s="22" t="s">
        <v>274</v>
      </c>
      <c r="D11" s="14" t="s">
        <v>275</v>
      </c>
      <c r="E11" s="22" t="s">
        <v>276</v>
      </c>
      <c r="F11" s="23" t="s">
        <v>180</v>
      </c>
    </row>
    <row r="12" spans="1:6" x14ac:dyDescent="0.25">
      <c r="A12" s="19" t="s">
        <v>6</v>
      </c>
      <c r="B12" s="19" t="s">
        <v>6</v>
      </c>
      <c r="C12" s="20" t="s">
        <v>277</v>
      </c>
      <c r="D12" s="19" t="s">
        <v>278</v>
      </c>
      <c r="E12" s="20" t="s">
        <v>6</v>
      </c>
      <c r="F12" s="21" t="s">
        <v>187</v>
      </c>
    </row>
    <row r="13" spans="1:6" x14ac:dyDescent="0.25">
      <c r="A13" s="19" t="s">
        <v>6</v>
      </c>
      <c r="B13" s="19" t="s">
        <v>6</v>
      </c>
      <c r="C13" s="20" t="s">
        <v>279</v>
      </c>
      <c r="D13" s="19" t="s">
        <v>199</v>
      </c>
      <c r="E13" s="20" t="s">
        <v>6</v>
      </c>
      <c r="F13" s="21" t="s">
        <v>187</v>
      </c>
    </row>
    <row r="14" spans="1:6" x14ac:dyDescent="0.25">
      <c r="A14" s="14" t="s">
        <v>14</v>
      </c>
      <c r="B14" s="14" t="s">
        <v>146</v>
      </c>
      <c r="C14" s="22" t="s">
        <v>280</v>
      </c>
      <c r="D14" s="14" t="s">
        <v>275</v>
      </c>
      <c r="E14" s="22" t="s">
        <v>276</v>
      </c>
      <c r="F14" s="23" t="s">
        <v>180</v>
      </c>
    </row>
    <row r="15" spans="1:6" x14ac:dyDescent="0.25">
      <c r="A15" s="19" t="s">
        <v>6</v>
      </c>
      <c r="B15" s="19" t="s">
        <v>6</v>
      </c>
      <c r="C15" s="20" t="s">
        <v>281</v>
      </c>
      <c r="D15" s="19" t="s">
        <v>282</v>
      </c>
      <c r="E15" s="20" t="s">
        <v>6</v>
      </c>
      <c r="F15" s="21" t="s">
        <v>187</v>
      </c>
    </row>
    <row r="16" spans="1:6" x14ac:dyDescent="0.25">
      <c r="A16" s="19" t="s">
        <v>6</v>
      </c>
      <c r="B16" s="19" t="s">
        <v>6</v>
      </c>
      <c r="C16" s="20" t="s">
        <v>283</v>
      </c>
      <c r="D16" s="19" t="s">
        <v>284</v>
      </c>
      <c r="E16" s="20" t="s">
        <v>6</v>
      </c>
      <c r="F16" s="21" t="s">
        <v>187</v>
      </c>
    </row>
    <row r="17" spans="1:6" x14ac:dyDescent="0.25">
      <c r="A17" s="14" t="s">
        <v>14</v>
      </c>
      <c r="B17" s="14" t="s">
        <v>146</v>
      </c>
      <c r="C17" s="22" t="s">
        <v>285</v>
      </c>
      <c r="D17" s="14" t="s">
        <v>275</v>
      </c>
      <c r="E17" s="22" t="s">
        <v>276</v>
      </c>
      <c r="F17" s="23" t="s">
        <v>180</v>
      </c>
    </row>
    <row r="18" spans="1:6" x14ac:dyDescent="0.25">
      <c r="A18" s="19" t="s">
        <v>6</v>
      </c>
      <c r="B18" s="19" t="s">
        <v>6</v>
      </c>
      <c r="C18" s="20" t="s">
        <v>286</v>
      </c>
      <c r="D18" s="19" t="s">
        <v>287</v>
      </c>
      <c r="E18" s="20" t="s">
        <v>6</v>
      </c>
      <c r="F18" s="21" t="s">
        <v>187</v>
      </c>
    </row>
    <row r="19" spans="1:6" x14ac:dyDescent="0.25">
      <c r="A19" s="19" t="s">
        <v>6</v>
      </c>
      <c r="B19" s="19" t="s">
        <v>6</v>
      </c>
      <c r="C19" s="20" t="s">
        <v>288</v>
      </c>
      <c r="D19" s="19" t="s">
        <v>289</v>
      </c>
      <c r="E19" s="20" t="s">
        <v>6</v>
      </c>
      <c r="F19" s="21" t="s">
        <v>187</v>
      </c>
    </row>
    <row r="20" spans="1:6" x14ac:dyDescent="0.25">
      <c r="A20" s="14" t="s">
        <v>14</v>
      </c>
      <c r="B20" s="14" t="s">
        <v>146</v>
      </c>
      <c r="C20" s="22" t="s">
        <v>290</v>
      </c>
      <c r="D20" s="14" t="s">
        <v>275</v>
      </c>
      <c r="E20" s="22" t="s">
        <v>276</v>
      </c>
      <c r="F20" s="23" t="s">
        <v>180</v>
      </c>
    </row>
    <row r="21" spans="1:6" x14ac:dyDescent="0.25">
      <c r="A21" s="19" t="s">
        <v>6</v>
      </c>
      <c r="B21" s="19" t="s">
        <v>6</v>
      </c>
      <c r="C21" s="20" t="s">
        <v>291</v>
      </c>
      <c r="D21" s="19" t="s">
        <v>193</v>
      </c>
      <c r="E21" s="20" t="s">
        <v>6</v>
      </c>
      <c r="F21" s="19" t="s">
        <v>6</v>
      </c>
    </row>
    <row r="22" spans="1:6" x14ac:dyDescent="0.25">
      <c r="A22" s="19" t="s">
        <v>6</v>
      </c>
      <c r="B22" s="19" t="s">
        <v>6</v>
      </c>
      <c r="C22" s="20" t="s">
        <v>292</v>
      </c>
      <c r="D22" s="19" t="s">
        <v>293</v>
      </c>
      <c r="E22" s="20" t="s">
        <v>6</v>
      </c>
      <c r="F22" s="21" t="s">
        <v>187</v>
      </c>
    </row>
    <row r="23" spans="1:6" x14ac:dyDescent="0.25">
      <c r="A23" s="14" t="s">
        <v>14</v>
      </c>
      <c r="B23" s="14" t="s">
        <v>146</v>
      </c>
      <c r="C23" s="22" t="s">
        <v>294</v>
      </c>
      <c r="D23" s="14" t="s">
        <v>275</v>
      </c>
      <c r="E23" s="22" t="s">
        <v>276</v>
      </c>
      <c r="F23" s="23" t="s">
        <v>180</v>
      </c>
    </row>
    <row r="24" spans="1:6" x14ac:dyDescent="0.25">
      <c r="A24" s="19" t="s">
        <v>6</v>
      </c>
      <c r="B24" s="19" t="s">
        <v>6</v>
      </c>
      <c r="C24" s="20" t="s">
        <v>295</v>
      </c>
      <c r="D24" s="19" t="s">
        <v>296</v>
      </c>
      <c r="E24" s="20" t="s">
        <v>6</v>
      </c>
      <c r="F24" s="21" t="s">
        <v>187</v>
      </c>
    </row>
    <row r="25" spans="1:6" x14ac:dyDescent="0.25">
      <c r="A25" s="19" t="s">
        <v>6</v>
      </c>
      <c r="B25" s="19" t="s">
        <v>6</v>
      </c>
      <c r="C25" s="20" t="s">
        <v>297</v>
      </c>
      <c r="D25" s="19" t="s">
        <v>271</v>
      </c>
      <c r="E25" s="20" t="s">
        <v>6</v>
      </c>
      <c r="F25" s="21" t="s">
        <v>187</v>
      </c>
    </row>
  </sheetData>
  <autoFilter ref="A4:F25"/>
  <mergeCells count="1">
    <mergeCell ref="A1:F1"/>
  </mergeCells>
  <hyperlinks>
    <hyperlink ref="F5" r:id="rId1"/>
    <hyperlink ref="F6" r:id="rId2"/>
    <hyperlink ref="F8" r:id="rId3"/>
    <hyperlink ref="F9" r:id="rId4"/>
    <hyperlink ref="F10" r:id="rId5"/>
    <hyperlink ref="F11" r:id="rId6"/>
    <hyperlink ref="F12" r:id="rId7"/>
    <hyperlink ref="F13" r:id="rId8"/>
    <hyperlink ref="F14" r:id="rId9"/>
    <hyperlink ref="F15" r:id="rId10"/>
    <hyperlink ref="F16" r:id="rId11"/>
    <hyperlink ref="F17" r:id="rId12"/>
    <hyperlink ref="F18" r:id="rId13"/>
    <hyperlink ref="F19" r:id="rId14"/>
    <hyperlink ref="F20" r:id="rId15"/>
    <hyperlink ref="F22" r:id="rId16"/>
    <hyperlink ref="F23" r:id="rId17"/>
    <hyperlink ref="F24" r:id="rId18"/>
    <hyperlink ref="F25" r:id="rId1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19</v>
      </c>
      <c r="B1" s="27"/>
      <c r="C1" s="27"/>
      <c r="D1" s="27"/>
      <c r="E1" s="27"/>
      <c r="F1" s="27"/>
    </row>
    <row r="2" spans="1:1" x14ac:dyDescent="0.25">
      <c r="A2" s="28" t="s">
        <v>317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152</v>
      </c>
      <c r="C5" s="17" t="s">
        <v>195</v>
      </c>
      <c r="D5" s="16" t="s">
        <v>196</v>
      </c>
      <c r="E5" s="17" t="s">
        <v>197</v>
      </c>
      <c r="F5" s="16" t="s">
        <v>6</v>
      </c>
    </row>
    <row r="6" spans="1:6" x14ac:dyDescent="0.25">
      <c r="A6" s="19" t="s">
        <v>6</v>
      </c>
      <c r="B6" s="19" t="s">
        <v>6</v>
      </c>
      <c r="C6" s="20" t="s">
        <v>198</v>
      </c>
      <c r="D6" s="19" t="s">
        <v>199</v>
      </c>
      <c r="E6" s="20" t="s">
        <v>200</v>
      </c>
      <c r="F6" s="21" t="s">
        <v>187</v>
      </c>
    </row>
  </sheetData>
  <autoFilter ref="A4:F6"/>
  <mergeCells count="1">
    <mergeCell ref="A1:F1"/>
  </mergeCells>
  <hyperlinks>
    <hyperlink ref="F6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4"/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20</v>
      </c>
      <c r="B1" s="27"/>
      <c r="C1" s="27"/>
      <c r="D1" s="27"/>
      <c r="E1" s="27"/>
      <c r="F1" s="27"/>
    </row>
    <row r="2" spans="1:1" x14ac:dyDescent="0.25">
      <c r="A2" s="28" t="s">
        <v>318</v>
      </c>
    </row>
    <row r="4" spans="1:1" x14ac:dyDescent="0.25">
      <c r="A4" s="29" t="s">
        <v>319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1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21</v>
      </c>
      <c r="B1" s="27"/>
      <c r="C1" s="27"/>
      <c r="D1" s="27"/>
      <c r="E1" s="27"/>
      <c r="F1" s="27"/>
    </row>
    <row r="2" spans="1:1" x14ac:dyDescent="0.25">
      <c r="A2" s="28" t="s">
        <v>320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58</v>
      </c>
      <c r="C5" s="17" t="s">
        <v>177</v>
      </c>
      <c r="D5" s="16" t="s">
        <v>178</v>
      </c>
      <c r="E5" s="17" t="s">
        <v>179</v>
      </c>
      <c r="F5" s="18" t="s">
        <v>180</v>
      </c>
    </row>
    <row r="6" spans="1:6" x14ac:dyDescent="0.25">
      <c r="A6" s="16" t="s">
        <v>13</v>
      </c>
      <c r="B6" s="16" t="s">
        <v>110</v>
      </c>
      <c r="C6" s="17" t="s">
        <v>182</v>
      </c>
      <c r="D6" s="16" t="s">
        <v>178</v>
      </c>
      <c r="E6" s="17" t="s">
        <v>183</v>
      </c>
      <c r="F6" s="18" t="s">
        <v>180</v>
      </c>
    </row>
    <row r="7" spans="1:6" x14ac:dyDescent="0.25">
      <c r="A7" s="19" t="s">
        <v>6</v>
      </c>
      <c r="B7" s="19" t="s">
        <v>6</v>
      </c>
      <c r="C7" s="20" t="s">
        <v>184</v>
      </c>
      <c r="D7" s="19" t="s">
        <v>185</v>
      </c>
      <c r="E7" s="20" t="s">
        <v>186</v>
      </c>
      <c r="F7" s="21" t="s">
        <v>187</v>
      </c>
    </row>
    <row r="8" spans="1:6" x14ac:dyDescent="0.25">
      <c r="A8" s="14" t="s">
        <v>14</v>
      </c>
      <c r="B8" s="14" t="s">
        <v>60</v>
      </c>
      <c r="C8" s="22" t="s">
        <v>212</v>
      </c>
      <c r="D8" s="14" t="s">
        <v>213</v>
      </c>
      <c r="E8" s="22" t="s">
        <v>214</v>
      </c>
      <c r="F8" s="23" t="s">
        <v>180</v>
      </c>
    </row>
    <row r="9" spans="1:6" x14ac:dyDescent="0.25">
      <c r="A9" s="14" t="s">
        <v>14</v>
      </c>
      <c r="B9" s="14" t="s">
        <v>66</v>
      </c>
      <c r="C9" s="22" t="s">
        <v>216</v>
      </c>
      <c r="D9" s="14" t="s">
        <v>178</v>
      </c>
      <c r="E9" s="22" t="s">
        <v>217</v>
      </c>
      <c r="F9" s="23" t="s">
        <v>180</v>
      </c>
    </row>
    <row r="10" spans="1:6" x14ac:dyDescent="0.25">
      <c r="A10" s="14" t="s">
        <v>14</v>
      </c>
      <c r="B10" s="14" t="s">
        <v>112</v>
      </c>
      <c r="C10" s="22" t="s">
        <v>241</v>
      </c>
      <c r="D10" s="14" t="s">
        <v>242</v>
      </c>
      <c r="E10" s="22" t="s">
        <v>243</v>
      </c>
      <c r="F10" s="23" t="s">
        <v>180</v>
      </c>
    </row>
    <row r="11" spans="1:6" x14ac:dyDescent="0.25">
      <c r="A11" s="19" t="s">
        <v>6</v>
      </c>
      <c r="B11" s="19" t="s">
        <v>6</v>
      </c>
      <c r="C11" s="20" t="s">
        <v>244</v>
      </c>
      <c r="D11" s="19" t="s">
        <v>245</v>
      </c>
      <c r="E11" s="20" t="s">
        <v>6</v>
      </c>
      <c r="F11" s="21" t="s">
        <v>187</v>
      </c>
    </row>
    <row r="12" spans="1:6" x14ac:dyDescent="0.25">
      <c r="A12" s="19" t="s">
        <v>6</v>
      </c>
      <c r="B12" s="19" t="s">
        <v>6</v>
      </c>
      <c r="C12" s="20" t="s">
        <v>246</v>
      </c>
      <c r="D12" s="19" t="s">
        <v>247</v>
      </c>
      <c r="E12" s="20" t="s">
        <v>6</v>
      </c>
      <c r="F12" s="21" t="s">
        <v>187</v>
      </c>
    </row>
    <row r="13" spans="1:6" x14ac:dyDescent="0.25">
      <c r="A13" s="14" t="s">
        <v>14</v>
      </c>
      <c r="B13" s="14" t="s">
        <v>112</v>
      </c>
      <c r="C13" s="22" t="s">
        <v>248</v>
      </c>
      <c r="D13" s="14" t="s">
        <v>249</v>
      </c>
      <c r="E13" s="22" t="s">
        <v>243</v>
      </c>
      <c r="F13" s="23" t="s">
        <v>180</v>
      </c>
    </row>
    <row r="14" spans="1:6" x14ac:dyDescent="0.25">
      <c r="A14" s="19" t="s">
        <v>6</v>
      </c>
      <c r="B14" s="19" t="s">
        <v>6</v>
      </c>
      <c r="C14" s="20" t="s">
        <v>250</v>
      </c>
      <c r="D14" s="19" t="s">
        <v>251</v>
      </c>
      <c r="E14" s="20" t="s">
        <v>6</v>
      </c>
      <c r="F14" s="21" t="s">
        <v>187</v>
      </c>
    </row>
    <row r="15" spans="1:6" x14ac:dyDescent="0.25">
      <c r="A15" s="14" t="s">
        <v>14</v>
      </c>
      <c r="B15" s="14" t="s">
        <v>116</v>
      </c>
      <c r="C15" s="22" t="s">
        <v>252</v>
      </c>
      <c r="D15" s="14" t="s">
        <v>253</v>
      </c>
      <c r="E15" s="22" t="s">
        <v>254</v>
      </c>
      <c r="F15" s="23" t="s">
        <v>180</v>
      </c>
    </row>
  </sheetData>
  <autoFilter ref="A4:F15"/>
  <mergeCells count="1">
    <mergeCell ref="A1:F1"/>
  </mergeCells>
  <hyperlinks>
    <hyperlink ref="F5" r:id="rId1"/>
    <hyperlink ref="F6" r:id="rId2"/>
    <hyperlink ref="F7" r:id="rId3"/>
    <hyperlink ref="F8" r:id="rId4"/>
    <hyperlink ref="F9" r:id="rId5"/>
    <hyperlink ref="F10" r:id="rId6"/>
    <hyperlink ref="F11" r:id="rId7"/>
    <hyperlink ref="F12" r:id="rId8"/>
    <hyperlink ref="F13" r:id="rId9"/>
    <hyperlink ref="F14" r:id="rId10"/>
    <hyperlink ref="F15" r:id="rId1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2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22</v>
      </c>
      <c r="B1" s="27"/>
      <c r="C1" s="27"/>
      <c r="D1" s="27"/>
      <c r="E1" s="27"/>
      <c r="F1" s="27"/>
    </row>
    <row r="2" spans="1:1" x14ac:dyDescent="0.25">
      <c r="A2" s="28" t="s">
        <v>321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86</v>
      </c>
      <c r="C5" s="22" t="s">
        <v>219</v>
      </c>
      <c r="D5" s="14" t="s">
        <v>220</v>
      </c>
      <c r="E5" s="22" t="s">
        <v>221</v>
      </c>
      <c r="F5" s="23" t="s">
        <v>180</v>
      </c>
    </row>
    <row r="6" spans="1:6" x14ac:dyDescent="0.25">
      <c r="A6" s="14" t="s">
        <v>14</v>
      </c>
      <c r="B6" s="14" t="s">
        <v>92</v>
      </c>
      <c r="C6" s="22" t="s">
        <v>223</v>
      </c>
      <c r="D6" s="14" t="s">
        <v>224</v>
      </c>
      <c r="E6" s="22" t="s">
        <v>225</v>
      </c>
      <c r="F6" s="23" t="s">
        <v>180</v>
      </c>
    </row>
    <row r="7" spans="1:6" x14ac:dyDescent="0.25">
      <c r="A7" s="14" t="s">
        <v>14</v>
      </c>
      <c r="B7" s="14" t="s">
        <v>96</v>
      </c>
      <c r="C7" s="22" t="s">
        <v>227</v>
      </c>
      <c r="D7" s="14" t="s">
        <v>228</v>
      </c>
      <c r="E7" s="22" t="s">
        <v>229</v>
      </c>
      <c r="F7" s="14" t="s">
        <v>6</v>
      </c>
    </row>
    <row r="8" spans="1:6" x14ac:dyDescent="0.25">
      <c r="A8" s="14" t="s">
        <v>14</v>
      </c>
      <c r="B8" s="14" t="s">
        <v>96</v>
      </c>
      <c r="C8" s="22" t="s">
        <v>230</v>
      </c>
      <c r="D8" s="14" t="s">
        <v>228</v>
      </c>
      <c r="E8" s="22" t="s">
        <v>231</v>
      </c>
      <c r="F8" s="14" t="s">
        <v>6</v>
      </c>
    </row>
    <row r="9" spans="1:6" x14ac:dyDescent="0.25">
      <c r="A9" s="14" t="s">
        <v>14</v>
      </c>
      <c r="B9" s="14" t="s">
        <v>102</v>
      </c>
      <c r="C9" s="22" t="s">
        <v>233</v>
      </c>
      <c r="D9" s="14" t="s">
        <v>234</v>
      </c>
      <c r="E9" s="22" t="s">
        <v>235</v>
      </c>
      <c r="F9" s="23" t="s">
        <v>180</v>
      </c>
    </row>
    <row r="10" spans="1:6" x14ac:dyDescent="0.25">
      <c r="A10" s="14" t="s">
        <v>14</v>
      </c>
      <c r="B10" s="14" t="s">
        <v>102</v>
      </c>
      <c r="C10" s="22" t="s">
        <v>236</v>
      </c>
      <c r="D10" s="14" t="s">
        <v>234</v>
      </c>
      <c r="E10" s="22" t="s">
        <v>235</v>
      </c>
      <c r="F10" s="23" t="s">
        <v>180</v>
      </c>
    </row>
    <row r="11" spans="1:6" x14ac:dyDescent="0.25">
      <c r="A11" s="14" t="s">
        <v>14</v>
      </c>
      <c r="B11" s="14" t="s">
        <v>102</v>
      </c>
      <c r="C11" s="22" t="s">
        <v>237</v>
      </c>
      <c r="D11" s="14" t="s">
        <v>234</v>
      </c>
      <c r="E11" s="22" t="s">
        <v>235</v>
      </c>
      <c r="F11" s="23" t="s">
        <v>180</v>
      </c>
    </row>
    <row r="12" spans="1:6" x14ac:dyDescent="0.25">
      <c r="A12" s="14" t="s">
        <v>14</v>
      </c>
      <c r="B12" s="14" t="s">
        <v>104</v>
      </c>
      <c r="C12" s="22" t="s">
        <v>238</v>
      </c>
      <c r="D12" s="14" t="s">
        <v>239</v>
      </c>
      <c r="E12" s="22" t="s">
        <v>240</v>
      </c>
      <c r="F12" s="23" t="s">
        <v>180</v>
      </c>
    </row>
    <row r="13" spans="1:6" x14ac:dyDescent="0.25">
      <c r="A13" s="14" t="s">
        <v>14</v>
      </c>
      <c r="B13" s="14" t="s">
        <v>120</v>
      </c>
      <c r="C13" s="22" t="s">
        <v>256</v>
      </c>
      <c r="D13" s="14" t="s">
        <v>242</v>
      </c>
      <c r="E13" s="22" t="s">
        <v>257</v>
      </c>
      <c r="F13" s="23" t="s">
        <v>180</v>
      </c>
    </row>
    <row r="14" spans="1:6" x14ac:dyDescent="0.25">
      <c r="A14" s="19" t="s">
        <v>6</v>
      </c>
      <c r="B14" s="19" t="s">
        <v>6</v>
      </c>
      <c r="C14" s="20" t="s">
        <v>258</v>
      </c>
      <c r="D14" s="19" t="s">
        <v>259</v>
      </c>
      <c r="E14" s="20" t="s">
        <v>6</v>
      </c>
      <c r="F14" s="21" t="s">
        <v>187</v>
      </c>
    </row>
    <row r="15" spans="1:6" x14ac:dyDescent="0.25">
      <c r="A15" s="14" t="s">
        <v>14</v>
      </c>
      <c r="B15" s="14" t="s">
        <v>126</v>
      </c>
      <c r="C15" s="22" t="s">
        <v>260</v>
      </c>
      <c r="D15" s="14" t="s">
        <v>261</v>
      </c>
      <c r="E15" s="22" t="s">
        <v>262</v>
      </c>
      <c r="F15" s="23" t="s">
        <v>180</v>
      </c>
    </row>
    <row r="16" spans="1:6" x14ac:dyDescent="0.25">
      <c r="A16" s="14" t="s">
        <v>14</v>
      </c>
      <c r="B16" s="14" t="s">
        <v>126</v>
      </c>
      <c r="C16" s="22" t="s">
        <v>263</v>
      </c>
      <c r="D16" s="14" t="s">
        <v>261</v>
      </c>
      <c r="E16" s="22" t="s">
        <v>264</v>
      </c>
      <c r="F16" s="23" t="s">
        <v>180</v>
      </c>
    </row>
    <row r="17" spans="1:6" x14ac:dyDescent="0.25">
      <c r="A17" s="24" t="s">
        <v>15</v>
      </c>
      <c r="B17" s="24" t="s">
        <v>108</v>
      </c>
      <c r="C17" s="25" t="s">
        <v>302</v>
      </c>
      <c r="D17" s="24" t="s">
        <v>303</v>
      </c>
      <c r="E17" s="25" t="s">
        <v>304</v>
      </c>
      <c r="F17" s="26" t="s">
        <v>180</v>
      </c>
    </row>
    <row r="18" spans="1:6" x14ac:dyDescent="0.25">
      <c r="A18" s="24" t="s">
        <v>15</v>
      </c>
      <c r="B18" s="24" t="s">
        <v>108</v>
      </c>
      <c r="C18" s="25" t="s">
        <v>305</v>
      </c>
      <c r="D18" s="24" t="s">
        <v>306</v>
      </c>
      <c r="E18" s="25" t="s">
        <v>304</v>
      </c>
      <c r="F18" s="26" t="s">
        <v>180</v>
      </c>
    </row>
    <row r="19" spans="1:6" x14ac:dyDescent="0.25">
      <c r="A19" s="24" t="s">
        <v>15</v>
      </c>
      <c r="B19" s="24" t="s">
        <v>108</v>
      </c>
      <c r="C19" s="25" t="s">
        <v>307</v>
      </c>
      <c r="D19" s="24" t="s">
        <v>308</v>
      </c>
      <c r="E19" s="25" t="s">
        <v>304</v>
      </c>
      <c r="F19" s="26" t="s">
        <v>180</v>
      </c>
    </row>
    <row r="20" spans="1:6" x14ac:dyDescent="0.25">
      <c r="A20" s="24" t="s">
        <v>15</v>
      </c>
      <c r="B20" s="24" t="s">
        <v>108</v>
      </c>
      <c r="C20" s="25" t="s">
        <v>309</v>
      </c>
      <c r="D20" s="24" t="s">
        <v>310</v>
      </c>
      <c r="E20" s="25" t="s">
        <v>304</v>
      </c>
      <c r="F20" s="26" t="s">
        <v>180</v>
      </c>
    </row>
    <row r="21" spans="1:6" x14ac:dyDescent="0.25">
      <c r="A21" s="24" t="s">
        <v>15</v>
      </c>
      <c r="B21" s="24" t="s">
        <v>108</v>
      </c>
      <c r="C21" s="25" t="s">
        <v>311</v>
      </c>
      <c r="D21" s="24" t="s">
        <v>312</v>
      </c>
      <c r="E21" s="25" t="s">
        <v>304</v>
      </c>
      <c r="F21" s="26" t="s">
        <v>180</v>
      </c>
    </row>
    <row r="22" spans="1:6" x14ac:dyDescent="0.25">
      <c r="A22" s="24" t="s">
        <v>15</v>
      </c>
      <c r="B22" s="24" t="s">
        <v>128</v>
      </c>
      <c r="C22" s="25" t="s">
        <v>313</v>
      </c>
      <c r="D22" s="24" t="s">
        <v>314</v>
      </c>
      <c r="E22" s="25" t="s">
        <v>315</v>
      </c>
      <c r="F22" s="26" t="s">
        <v>180</v>
      </c>
    </row>
  </sheetData>
  <autoFilter ref="A4:F22"/>
  <mergeCells count="1">
    <mergeCell ref="A1:F1"/>
  </mergeCells>
  <hyperlinks>
    <hyperlink ref="F5" r:id="rId1"/>
    <hyperlink ref="F6" r:id="rId2"/>
    <hyperlink ref="F9" r:id="rId3"/>
    <hyperlink ref="F10" r:id="rId4"/>
    <hyperlink ref="F11" r:id="rId5"/>
    <hyperlink ref="F12" r:id="rId6"/>
    <hyperlink ref="F13" r:id="rId7"/>
    <hyperlink ref="F14" r:id="rId8"/>
    <hyperlink ref="F15" r:id="rId9"/>
    <hyperlink ref="F16" r:id="rId10"/>
    <hyperlink ref="F17" r:id="rId11"/>
    <hyperlink ref="F18" r:id="rId12"/>
    <hyperlink ref="F19" r:id="rId13"/>
    <hyperlink ref="F20" r:id="rId14"/>
    <hyperlink ref="F21" r:id="rId15"/>
    <hyperlink ref="F22" r:id="rId1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23</v>
      </c>
      <c r="B1" s="27"/>
      <c r="C1" s="27"/>
      <c r="D1" s="27"/>
      <c r="E1" s="27"/>
      <c r="F1" s="27"/>
    </row>
    <row r="2" spans="1:1" x14ac:dyDescent="0.25">
      <c r="A2" s="28" t="s">
        <v>322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28</v>
      </c>
      <c r="C5" s="22" t="s">
        <v>202</v>
      </c>
      <c r="D5" s="14" t="s">
        <v>203</v>
      </c>
      <c r="E5" s="22" t="s">
        <v>204</v>
      </c>
      <c r="F5" s="23" t="s">
        <v>180</v>
      </c>
    </row>
    <row r="6" spans="1:6" x14ac:dyDescent="0.25">
      <c r="A6" s="14" t="s">
        <v>14</v>
      </c>
      <c r="B6" s="14" t="s">
        <v>31</v>
      </c>
      <c r="C6" s="22" t="s">
        <v>205</v>
      </c>
      <c r="D6" s="14" t="s">
        <v>206</v>
      </c>
      <c r="E6" s="22" t="s">
        <v>207</v>
      </c>
      <c r="F6" s="14" t="s">
        <v>6</v>
      </c>
    </row>
    <row r="7" spans="1:6" x14ac:dyDescent="0.25">
      <c r="A7" s="14" t="s">
        <v>14</v>
      </c>
      <c r="B7" s="14" t="s">
        <v>31</v>
      </c>
      <c r="C7" s="22" t="s">
        <v>208</v>
      </c>
      <c r="D7" s="14" t="s">
        <v>209</v>
      </c>
      <c r="E7" s="22" t="s">
        <v>207</v>
      </c>
      <c r="F7" s="14" t="s">
        <v>6</v>
      </c>
    </row>
    <row r="8" spans="1:6" x14ac:dyDescent="0.25">
      <c r="A8" s="14" t="s">
        <v>14</v>
      </c>
      <c r="B8" s="14" t="s">
        <v>31</v>
      </c>
      <c r="C8" s="22" t="s">
        <v>210</v>
      </c>
      <c r="D8" s="14" t="s">
        <v>211</v>
      </c>
      <c r="E8" s="22" t="s">
        <v>207</v>
      </c>
      <c r="F8" s="14" t="s">
        <v>6</v>
      </c>
    </row>
    <row r="9" spans="1:6" x14ac:dyDescent="0.25">
      <c r="A9" s="24" t="s">
        <v>15</v>
      </c>
      <c r="B9" s="24" t="s">
        <v>56</v>
      </c>
      <c r="C9" s="25" t="s">
        <v>299</v>
      </c>
      <c r="D9" s="24" t="s">
        <v>300</v>
      </c>
      <c r="E9" s="25" t="s">
        <v>301</v>
      </c>
      <c r="F9" s="24" t="s">
        <v>6</v>
      </c>
    </row>
  </sheetData>
  <autoFilter ref="A4:F9"/>
  <mergeCells count="1">
    <mergeCell ref="A1:F1"/>
  </mergeCells>
  <hyperlinks>
    <hyperlink ref="F5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5A5A6"/>
  </sheetPr>
  <dimension ref="A1:G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16" customWidth="1"/>
    <col min="5" max="6" width="10" customWidth="1"/>
    <col min="7" max="7" width="14" customWidth="1"/>
  </cols>
  <sheetData>
    <row r="1" ht="22" customHeight="1" spans="1:7" x14ac:dyDescent="0.25">
      <c r="A1" s="5" t="s">
        <v>323</v>
      </c>
      <c r="B1" s="5" t="s">
        <v>324</v>
      </c>
      <c r="C1" s="5" t="s">
        <v>325</v>
      </c>
      <c r="D1" s="5" t="s">
        <v>326</v>
      </c>
      <c r="E1" s="5" t="s">
        <v>327</v>
      </c>
      <c r="F1" s="5" t="s">
        <v>328</v>
      </c>
      <c r="G1" s="5" t="s">
        <v>329</v>
      </c>
    </row>
    <row r="2" spans="1:7" x14ac:dyDescent="0.25">
      <c r="A2" s="10" t="s">
        <v>330</v>
      </c>
      <c r="B2" s="30">
        <v>691351</v>
      </c>
      <c r="C2" s="30">
        <v>734993</v>
      </c>
      <c r="D2" s="30">
        <v>-43642</v>
      </c>
      <c r="E2" s="31" t="s">
        <v>331</v>
      </c>
      <c r="F2" s="10" t="s">
        <v>6</v>
      </c>
      <c r="G2" s="32" t="s">
        <v>332</v>
      </c>
    </row>
    <row r="3" spans="1:7" x14ac:dyDescent="0.25">
      <c r="A3" s="10" t="s">
        <v>333</v>
      </c>
      <c r="B3" s="30">
        <v>2181342</v>
      </c>
      <c r="C3" s="30">
        <v>2128732</v>
      </c>
      <c r="D3" s="30">
        <v>52610</v>
      </c>
      <c r="E3" s="31" t="s">
        <v>334</v>
      </c>
      <c r="F3" s="10" t="s">
        <v>6</v>
      </c>
      <c r="G3" s="32" t="s">
        <v>332</v>
      </c>
    </row>
    <row r="4" spans="1:7" x14ac:dyDescent="0.25">
      <c r="A4" s="10" t="s">
        <v>335</v>
      </c>
      <c r="B4" s="30">
        <v>0</v>
      </c>
      <c r="C4" s="30">
        <v>782099</v>
      </c>
      <c r="D4" s="33">
        <v>-782099</v>
      </c>
      <c r="E4" s="31" t="s">
        <v>336</v>
      </c>
      <c r="F4" s="10" t="s">
        <v>337</v>
      </c>
      <c r="G4" s="32" t="s">
        <v>332</v>
      </c>
    </row>
    <row r="5" spans="1:7" x14ac:dyDescent="0.25">
      <c r="A5" s="10" t="s">
        <v>338</v>
      </c>
      <c r="B5" s="30">
        <v>82500</v>
      </c>
      <c r="C5" s="30">
        <v>82500</v>
      </c>
      <c r="D5" s="30">
        <v>0</v>
      </c>
      <c r="E5" s="31" t="s">
        <v>339</v>
      </c>
      <c r="F5" s="10" t="s">
        <v>6</v>
      </c>
      <c r="G5" s="32" t="s">
        <v>332</v>
      </c>
    </row>
    <row r="6" spans="1:7" x14ac:dyDescent="0.25">
      <c r="A6" s="10" t="s">
        <v>340</v>
      </c>
      <c r="B6" s="30">
        <v>1</v>
      </c>
      <c r="C6" s="30">
        <v>1</v>
      </c>
      <c r="D6" s="30">
        <v>0</v>
      </c>
      <c r="E6" s="31" t="s">
        <v>339</v>
      </c>
      <c r="F6" s="10" t="s">
        <v>6</v>
      </c>
      <c r="G6" s="32" t="s">
        <v>332</v>
      </c>
    </row>
    <row r="7" spans="1:7" x14ac:dyDescent="0.25">
      <c r="A7" s="10" t="s">
        <v>341</v>
      </c>
      <c r="B7" s="30">
        <v>1</v>
      </c>
      <c r="C7" s="30">
        <v>75001</v>
      </c>
      <c r="D7" s="33">
        <v>-75000</v>
      </c>
      <c r="E7" s="31" t="s">
        <v>336</v>
      </c>
      <c r="F7" s="10" t="s">
        <v>337</v>
      </c>
      <c r="G7" s="32" t="s">
        <v>332</v>
      </c>
    </row>
    <row r="8" spans="1:7" x14ac:dyDescent="0.25">
      <c r="A8" s="10" t="s">
        <v>342</v>
      </c>
      <c r="B8" s="30">
        <v>0</v>
      </c>
      <c r="C8" s="30">
        <v>0</v>
      </c>
      <c r="D8" s="30">
        <v>0</v>
      </c>
      <c r="E8" s="31" t="s">
        <v>6</v>
      </c>
      <c r="F8" s="10" t="s">
        <v>6</v>
      </c>
      <c r="G8" s="32" t="s">
        <v>332</v>
      </c>
    </row>
    <row r="9" spans="1:7" x14ac:dyDescent="0.25">
      <c r="A9" s="10" t="s">
        <v>343</v>
      </c>
      <c r="B9" s="30">
        <v>82500</v>
      </c>
      <c r="C9" s="30">
        <v>82500</v>
      </c>
      <c r="D9" s="30">
        <v>0</v>
      </c>
      <c r="E9" s="31" t="s">
        <v>339</v>
      </c>
      <c r="F9" s="10" t="s">
        <v>6</v>
      </c>
      <c r="G9" s="32" t="s">
        <v>332</v>
      </c>
    </row>
    <row r="10" spans="1:7" x14ac:dyDescent="0.25">
      <c r="A10" s="10" t="s">
        <v>344</v>
      </c>
      <c r="B10" s="30">
        <v>9275</v>
      </c>
      <c r="C10" s="30">
        <v>10600</v>
      </c>
      <c r="D10" s="30">
        <v>-1325</v>
      </c>
      <c r="E10" s="31" t="s">
        <v>345</v>
      </c>
      <c r="F10" s="10" t="s">
        <v>6</v>
      </c>
      <c r="G10" s="32" t="s">
        <v>332</v>
      </c>
    </row>
    <row r="11" spans="1:7" x14ac:dyDescent="0.25">
      <c r="A11" s="10" t="s">
        <v>346</v>
      </c>
      <c r="B11" s="30">
        <v>17820</v>
      </c>
      <c r="C11" s="30">
        <v>17820</v>
      </c>
      <c r="D11" s="30">
        <v>0</v>
      </c>
      <c r="E11" s="31" t="s">
        <v>339</v>
      </c>
      <c r="F11" s="10" t="s">
        <v>6</v>
      </c>
      <c r="G11" s="32" t="s">
        <v>332</v>
      </c>
    </row>
    <row r="12" spans="1:7" x14ac:dyDescent="0.25">
      <c r="A12" s="10" t="s">
        <v>347</v>
      </c>
      <c r="B12" s="34">
        <v>-13318191</v>
      </c>
      <c r="C12" s="30">
        <v>-13420638</v>
      </c>
      <c r="D12" s="30">
        <v>102447</v>
      </c>
      <c r="E12" s="31" t="s">
        <v>348</v>
      </c>
      <c r="F12" s="10" t="s">
        <v>30</v>
      </c>
      <c r="G12" s="32" t="s">
        <v>332</v>
      </c>
    </row>
    <row r="13" spans="1:7" x14ac:dyDescent="0.25">
      <c r="A13" s="10" t="s">
        <v>349</v>
      </c>
      <c r="B13" s="30">
        <v>670546</v>
      </c>
      <c r="C13" s="30">
        <v>520722</v>
      </c>
      <c r="D13" s="30">
        <v>149824</v>
      </c>
      <c r="E13" s="31" t="s">
        <v>350</v>
      </c>
      <c r="F13" s="10" t="s">
        <v>6</v>
      </c>
      <c r="G13" s="32" t="s">
        <v>332</v>
      </c>
    </row>
    <row r="14" spans="1:7" x14ac:dyDescent="0.25">
      <c r="A14" s="10" t="s">
        <v>351</v>
      </c>
      <c r="B14" s="30">
        <v>157322</v>
      </c>
      <c r="C14" s="30">
        <v>229882</v>
      </c>
      <c r="D14" s="30">
        <v>-72560</v>
      </c>
      <c r="E14" s="31" t="s">
        <v>352</v>
      </c>
      <c r="F14" s="10" t="s">
        <v>6</v>
      </c>
      <c r="G14" s="32" t="s">
        <v>332</v>
      </c>
    </row>
    <row r="15" spans="1:7" x14ac:dyDescent="0.25">
      <c r="A15" s="10" t="s">
        <v>353</v>
      </c>
      <c r="B15" s="30">
        <v>0</v>
      </c>
      <c r="C15" s="30">
        <v>0</v>
      </c>
      <c r="D15" s="30">
        <v>0</v>
      </c>
      <c r="E15" s="31" t="s">
        <v>6</v>
      </c>
      <c r="F15" s="10" t="s">
        <v>6</v>
      </c>
      <c r="G15" s="32" t="s">
        <v>332</v>
      </c>
    </row>
    <row r="16" spans="1:7" x14ac:dyDescent="0.25">
      <c r="A16" s="10" t="s">
        <v>354</v>
      </c>
      <c r="B16" s="30">
        <v>0</v>
      </c>
      <c r="C16" s="30">
        <v>0</v>
      </c>
      <c r="D16" s="30">
        <v>0</v>
      </c>
      <c r="E16" s="31" t="s">
        <v>6</v>
      </c>
      <c r="F16" s="10" t="s">
        <v>6</v>
      </c>
      <c r="G16" s="32" t="s">
        <v>332</v>
      </c>
    </row>
    <row r="17" spans="1:7" x14ac:dyDescent="0.25">
      <c r="A17" s="10" t="s">
        <v>355</v>
      </c>
      <c r="B17" s="30">
        <v>0</v>
      </c>
      <c r="C17" s="30">
        <v>0</v>
      </c>
      <c r="D17" s="30">
        <v>0</v>
      </c>
      <c r="E17" s="31" t="s">
        <v>6</v>
      </c>
      <c r="F17" s="10" t="s">
        <v>6</v>
      </c>
      <c r="G17" s="32" t="s">
        <v>332</v>
      </c>
    </row>
    <row r="18" spans="1:7" x14ac:dyDescent="0.25">
      <c r="A18" s="10" t="s">
        <v>356</v>
      </c>
      <c r="B18" s="30">
        <v>3000000</v>
      </c>
      <c r="C18" s="30">
        <v>3000000</v>
      </c>
      <c r="D18" s="30">
        <v>0</v>
      </c>
      <c r="E18" s="31" t="s">
        <v>339</v>
      </c>
      <c r="F18" s="10" t="s">
        <v>6</v>
      </c>
      <c r="G18" s="32" t="s">
        <v>332</v>
      </c>
    </row>
    <row r="19" spans="1:7" x14ac:dyDescent="0.25">
      <c r="A19" s="10" t="s">
        <v>357</v>
      </c>
      <c r="B19" s="30">
        <v>3754271</v>
      </c>
      <c r="C19" s="30">
        <v>3754271</v>
      </c>
      <c r="D19" s="30">
        <v>0</v>
      </c>
      <c r="E19" s="31" t="s">
        <v>339</v>
      </c>
      <c r="F19" s="10" t="s">
        <v>6</v>
      </c>
      <c r="G19" s="32" t="s">
        <v>332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O36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13" width="14" customWidth="1"/>
    <col min="14" max="14" width="16" customWidth="1"/>
    <col min="15" max="15" width="14" customWidth="1"/>
  </cols>
  <sheetData>
    <row r="1" spans="1:15" x14ac:dyDescent="0.25">
      <c r="A1" s="35" t="s">
        <v>358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</row>
    <row r="3" ht="22" customHeight="1" spans="1:15" x14ac:dyDescent="0.25">
      <c r="A3" s="5" t="s">
        <v>323</v>
      </c>
      <c r="B3" s="5" t="s">
        <v>359</v>
      </c>
      <c r="C3" s="5" t="s">
        <v>360</v>
      </c>
      <c r="D3" s="5" t="s">
        <v>361</v>
      </c>
      <c r="E3" s="5" t="s">
        <v>362</v>
      </c>
      <c r="F3" s="5" t="s">
        <v>363</v>
      </c>
      <c r="G3" s="5" t="s">
        <v>364</v>
      </c>
      <c r="H3" s="5" t="s">
        <v>365</v>
      </c>
      <c r="I3" s="5" t="s">
        <v>366</v>
      </c>
      <c r="J3" s="5" t="s">
        <v>367</v>
      </c>
      <c r="K3" s="5" t="s">
        <v>368</v>
      </c>
      <c r="L3" s="5" t="s">
        <v>369</v>
      </c>
      <c r="M3" s="36" t="s">
        <v>370</v>
      </c>
      <c r="N3" s="5" t="s">
        <v>371</v>
      </c>
      <c r="O3" s="5" t="s">
        <v>329</v>
      </c>
    </row>
    <row r="4" spans="1:15" x14ac:dyDescent="0.25">
      <c r="A4" s="10" t="s">
        <v>372</v>
      </c>
      <c r="B4" s="30">
        <v>726557</v>
      </c>
      <c r="C4" s="30">
        <v>484949</v>
      </c>
      <c r="D4" s="30">
        <v>1415570</v>
      </c>
      <c r="E4" s="30">
        <v>1809441</v>
      </c>
      <c r="F4" s="30">
        <v>2472575</v>
      </c>
      <c r="G4" s="30">
        <v>468662</v>
      </c>
      <c r="H4" s="30">
        <v>1710586</v>
      </c>
      <c r="I4" s="30">
        <v>2476671</v>
      </c>
      <c r="J4" s="30">
        <v>638491</v>
      </c>
      <c r="K4" s="30">
        <v>1702714</v>
      </c>
      <c r="L4" s="30">
        <v>2579827</v>
      </c>
      <c r="M4" s="37">
        <v>-305193</v>
      </c>
      <c r="N4" s="38">
        <f>SUM(B4:M4)</f>
        <v>16180850</v>
      </c>
      <c r="O4" s="39"/>
    </row>
    <row r="5" spans="1:15" x14ac:dyDescent="0.25">
      <c r="A5" s="10" t="s">
        <v>373</v>
      </c>
      <c r="B5" s="40">
        <v>0</v>
      </c>
      <c r="C5" s="40">
        <v>0</v>
      </c>
      <c r="D5" s="40">
        <v>0</v>
      </c>
      <c r="E5" s="40">
        <v>0</v>
      </c>
      <c r="F5" s="40">
        <v>0</v>
      </c>
      <c r="G5" s="40">
        <v>0</v>
      </c>
      <c r="H5" s="40">
        <v>0</v>
      </c>
      <c r="I5" s="40">
        <v>0</v>
      </c>
      <c r="J5" s="40">
        <v>0</v>
      </c>
      <c r="K5" s="40">
        <v>0</v>
      </c>
      <c r="L5" s="30">
        <v>3230</v>
      </c>
      <c r="M5" s="41">
        <v>0</v>
      </c>
      <c r="N5" s="38">
        <f>SUM(B5:M5)</f>
        <v>3230</v>
      </c>
      <c r="O5" s="39"/>
    </row>
    <row r="6" spans="1:15" x14ac:dyDescent="0.25">
      <c r="A6" s="42" t="s">
        <v>374</v>
      </c>
      <c r="B6" s="43">
        <v>726557</v>
      </c>
      <c r="C6" s="43">
        <v>484949</v>
      </c>
      <c r="D6" s="43">
        <v>1415570</v>
      </c>
      <c r="E6" s="43">
        <v>1809441</v>
      </c>
      <c r="F6" s="43">
        <v>2472575</v>
      </c>
      <c r="G6" s="43">
        <v>468662</v>
      </c>
      <c r="H6" s="43">
        <v>1710586</v>
      </c>
      <c r="I6" s="43">
        <v>2476671</v>
      </c>
      <c r="J6" s="43">
        <v>638491</v>
      </c>
      <c r="K6" s="43">
        <v>1702714</v>
      </c>
      <c r="L6" s="43">
        <v>2576597</v>
      </c>
      <c r="M6" s="43">
        <v>-305193</v>
      </c>
      <c r="N6" s="43">
        <f>SUM(B6:M6)</f>
        <v>16177620</v>
      </c>
      <c r="O6" s="44"/>
    </row>
    <row r="7" spans="1:15" x14ac:dyDescent="0.25">
      <c r="A7" s="10" t="s">
        <v>375</v>
      </c>
      <c r="B7" s="30">
        <f>HYPERLINK("https://secure.freee.co.jp/reports/general_ledgers/show?name=%E5%BD%B9%E5%93%A1%E5%A0%B1%E9%85%AC&amp;start_date=2025-03-01&amp;end_date=2025-03-31&amp;fiscal_year_id=9716383",50000)</f>
        <v>50000</v>
      </c>
      <c r="C7" s="30">
        <f>HYPERLINK("https://secure.freee.co.jp/reports/general_ledgers/show?name=%E5%BD%B9%E5%93%A1%E5%A0%B1%E9%85%AC&amp;start_date=2025-04-01&amp;end_date=2025-04-30&amp;fiscal_year_id=9716383",50000)</f>
        <v>50000</v>
      </c>
      <c r="D7" s="30">
        <f>HYPERLINK("https://secure.freee.co.jp/reports/general_ledgers/show?name=%E5%BD%B9%E5%93%A1%E5%A0%B1%E9%85%AC&amp;start_date=2025-05-01&amp;end_date=2025-05-31&amp;fiscal_year_id=9716383",50000)</f>
        <v>50000</v>
      </c>
      <c r="E7" s="30">
        <f>HYPERLINK("https://secure.freee.co.jp/reports/general_ledgers/show?name=%E5%BD%B9%E5%93%A1%E5%A0%B1%E9%85%AC&amp;start_date=2025-06-01&amp;end_date=2025-06-30&amp;fiscal_year_id=9716383",50000)</f>
        <v>50000</v>
      </c>
      <c r="F7" s="30">
        <f>HYPERLINK("https://secure.freee.co.jp/reports/general_ledgers/show?name=%E5%BD%B9%E5%93%A1%E5%A0%B1%E9%85%AC&amp;start_date=2025-07-01&amp;end_date=2025-07-31&amp;fiscal_year_id=9716383",50000)</f>
        <v>50000</v>
      </c>
      <c r="G7" s="30">
        <f>HYPERLINK("https://secure.freee.co.jp/reports/general_ledgers/show?name=%E5%BD%B9%E5%93%A1%E5%A0%B1%E9%85%AC&amp;start_date=2025-08-01&amp;end_date=2025-08-31&amp;fiscal_year_id=9716383",50000)</f>
        <v>50000</v>
      </c>
      <c r="H7" s="30">
        <f>HYPERLINK("https://secure.freee.co.jp/reports/general_ledgers/show?name=%E5%BD%B9%E5%93%A1%E5%A0%B1%E9%85%AC&amp;start_date=2025-09-01&amp;end_date=2025-09-30&amp;fiscal_year_id=9716383",50000)</f>
        <v>50000</v>
      </c>
      <c r="I7" s="30">
        <f>HYPERLINK("https://secure.freee.co.jp/reports/general_ledgers/show?name=%E5%BD%B9%E5%93%A1%E5%A0%B1%E9%85%AC&amp;start_date=2025-10-01&amp;end_date=2025-10-31&amp;fiscal_year_id=9716383",50000)</f>
        <v>50000</v>
      </c>
      <c r="J7" s="30">
        <f>HYPERLINK("https://secure.freee.co.jp/reports/general_ledgers/show?name=%E5%BD%B9%E5%93%A1%E5%A0%B1%E9%85%AC&amp;start_date=2025-11-01&amp;end_date=2025-11-30&amp;fiscal_year_id=9716383",50000)</f>
        <v>50000</v>
      </c>
      <c r="K7" s="30">
        <f>HYPERLINK("https://secure.freee.co.jp/reports/general_ledgers/show?name=%E5%BD%B9%E5%93%A1%E5%A0%B1%E9%85%AC&amp;start_date=2025-12-01&amp;end_date=2025-12-31&amp;fiscal_year_id=9716383",50000)</f>
        <v>50000</v>
      </c>
      <c r="L7" s="30">
        <f>HYPERLINK("https://secure.freee.co.jp/reports/general_ledgers/show?name=%E5%BD%B9%E5%93%A1%E5%A0%B1%E9%85%AC&amp;start_date=2026-01-01&amp;end_date=2026-01-31&amp;fiscal_year_id=9716383",50000)</f>
        <v>50000</v>
      </c>
      <c r="M7" s="37">
        <f>HYPERLINK("https://secure.freee.co.jp/reports/general_ledgers/show?name=%E5%BD%B9%E5%93%A1%E5%A0%B1%E9%85%AC&amp;start_date=2026-02-01&amp;end_date=2026-02-28&amp;fiscal_year_id=9716383",50000)</f>
        <v>50000</v>
      </c>
      <c r="N7" s="38">
        <f>SUM(B7:M7)</f>
        <v>600000</v>
      </c>
      <c r="O7" s="32" t="s">
        <v>329</v>
      </c>
    </row>
    <row r="8" spans="1:15" x14ac:dyDescent="0.25">
      <c r="A8" s="10" t="s">
        <v>376</v>
      </c>
      <c r="B8" s="30">
        <f>HYPERLINK("https://secure.freee.co.jp/reports/general_ledgers/show?name=%E6%B3%95%E5%AE%9A%E7%A6%8F%E5%88%A9%E8%B2%BB&amp;start_date=2025-03-01&amp;end_date=2025-03-31&amp;fiscal_year_id=9716383",11236)</f>
        <v>11236</v>
      </c>
      <c r="C8" s="30">
        <f>HYPERLINK("https://secure.freee.co.jp/reports/general_ledgers/show?name=%E6%B3%95%E5%AE%9A%E7%A6%8F%E5%88%A9%E8%B2%BB&amp;start_date=2025-04-01&amp;end_date=2025-04-30&amp;fiscal_year_id=9716383",11236)</f>
        <v>11236</v>
      </c>
      <c r="D8" s="30">
        <f>HYPERLINK("https://secure.freee.co.jp/reports/general_ledgers/show?name=%E6%B3%95%E5%AE%9A%E7%A6%8F%E5%88%A9%E8%B2%BB&amp;start_date=2025-05-01&amp;end_date=2025-05-31&amp;fiscal_year_id=9716383",11236)</f>
        <v>11236</v>
      </c>
      <c r="E8" s="30">
        <f>HYPERLINK("https://secure.freee.co.jp/reports/general_ledgers/show?name=%E6%B3%95%E5%AE%9A%E7%A6%8F%E5%88%A9%E8%B2%BB&amp;start_date=2025-06-01&amp;end_date=2025-06-30&amp;fiscal_year_id=9716383",11236)</f>
        <v>11236</v>
      </c>
      <c r="F8" s="30">
        <f>HYPERLINK("https://secure.freee.co.jp/reports/general_ledgers/show?name=%E6%B3%95%E5%AE%9A%E7%A6%8F%E5%88%A9%E8%B2%BB&amp;start_date=2025-07-01&amp;end_date=2025-07-31&amp;fiscal_year_id=9716383",11236)</f>
        <v>11236</v>
      </c>
      <c r="G8" s="30">
        <f>HYPERLINK("https://secure.freee.co.jp/reports/general_ledgers/show?name=%E6%B3%95%E5%AE%9A%E7%A6%8F%E5%88%A9%E8%B2%BB&amp;start_date=2025-08-01&amp;end_date=2025-08-31&amp;fiscal_year_id=9716383",11236)</f>
        <v>11236</v>
      </c>
      <c r="H8" s="30">
        <f>HYPERLINK("https://secure.freee.co.jp/reports/general_ledgers/show?name=%E6%B3%95%E5%AE%9A%E7%A6%8F%E5%88%A9%E8%B2%BB&amp;start_date=2025-09-01&amp;end_date=2025-09-30&amp;fiscal_year_id=9716383",11236)</f>
        <v>11236</v>
      </c>
      <c r="I8" s="30">
        <f>HYPERLINK("https://secure.freee.co.jp/reports/general_ledgers/show?name=%E6%B3%95%E5%AE%9A%E7%A6%8F%E5%88%A9%E8%B2%BB&amp;start_date=2025-10-01&amp;end_date=2025-10-31&amp;fiscal_year_id=9716383",11236)</f>
        <v>11236</v>
      </c>
      <c r="J8" s="30">
        <f>HYPERLINK("https://secure.freee.co.jp/reports/general_ledgers/show?name=%E6%B3%95%E5%AE%9A%E7%A6%8F%E5%88%A9%E8%B2%BB&amp;start_date=2025-11-01&amp;end_date=2025-11-30&amp;fiscal_year_id=9716383",11236)</f>
        <v>11236</v>
      </c>
      <c r="K8" s="30">
        <f>HYPERLINK("https://secure.freee.co.jp/reports/general_ledgers/show?name=%E6%B3%95%E5%AE%9A%E7%A6%8F%E5%88%A9%E8%B2%BB&amp;start_date=2025-12-01&amp;end_date=2025-12-31&amp;fiscal_year_id=9716383",11236)</f>
        <v>11236</v>
      </c>
      <c r="L8" s="30">
        <f>HYPERLINK("https://secure.freee.co.jp/reports/general_ledgers/show?name=%E6%B3%95%E5%AE%9A%E7%A6%8F%E5%88%A9%E8%B2%BB&amp;start_date=2026-01-01&amp;end_date=2026-01-31&amp;fiscal_year_id=9716383",11236)</f>
        <v>11236</v>
      </c>
      <c r="M8" s="37">
        <f>HYPERLINK("https://secure.freee.co.jp/reports/general_ledgers/show?name=%E6%B3%95%E5%AE%9A%E7%A6%8F%E5%88%A9%E8%B2%BB&amp;start_date=2026-02-01&amp;end_date=2026-02-28&amp;fiscal_year_id=9716383",11236)</f>
        <v>11236</v>
      </c>
      <c r="N8" s="38">
        <f>SUM(B8:M8)</f>
        <v>134832</v>
      </c>
      <c r="O8" s="32" t="s">
        <v>329</v>
      </c>
    </row>
    <row r="9" spans="1:15" x14ac:dyDescent="0.25">
      <c r="A9" s="10" t="s">
        <v>377</v>
      </c>
      <c r="B9" s="30">
        <f>HYPERLINK("https://secure.freee.co.jp/reports/general_ledgers/show?name=%E5%A4%96%E6%B3%A8%E8%B2%BB&amp;start_date=2025-03-01&amp;end_date=2025-03-31&amp;fiscal_year_id=9716383",143000)</f>
        <v>143000</v>
      </c>
      <c r="C9" s="30">
        <f>HYPERLINK("https://secure.freee.co.jp/reports/general_ledgers/show?name=%E5%A4%96%E6%B3%A8%E8%B2%BB&amp;start_date=2025-04-01&amp;end_date=2025-04-30&amp;fiscal_year_id=9716383",154000)</f>
        <v>154000</v>
      </c>
      <c r="D9" s="45">
        <v>0</v>
      </c>
      <c r="E9" s="40">
        <v>0</v>
      </c>
      <c r="F9" s="40">
        <v>0</v>
      </c>
      <c r="G9" s="40">
        <v>0</v>
      </c>
      <c r="H9" s="40">
        <v>0</v>
      </c>
      <c r="I9" s="40">
        <v>0</v>
      </c>
      <c r="J9" s="40">
        <v>0</v>
      </c>
      <c r="K9" s="40">
        <v>0</v>
      </c>
      <c r="L9" s="40">
        <v>0</v>
      </c>
      <c r="M9" s="41">
        <v>0</v>
      </c>
      <c r="N9" s="38">
        <f>SUM(B9:M9)</f>
        <v>297000</v>
      </c>
      <c r="O9" s="32" t="s">
        <v>329</v>
      </c>
    </row>
    <row r="10" spans="1:15" x14ac:dyDescent="0.25">
      <c r="A10" s="10" t="s">
        <v>378</v>
      </c>
      <c r="B10" s="30">
        <f>HYPERLINK("https://secure.freee.co.jp/reports/general_ledgers/show?name=%E4%BA%A4%E9%9A%9B%E8%B2%BB&amp;start_date=2025-03-01&amp;end_date=2025-03-31&amp;fiscal_year_id=9716383",384013)</f>
        <v>384013</v>
      </c>
      <c r="C10" s="33">
        <f>HYPERLINK("https://secure.freee.co.jp/reports/general_ledgers/show?name=%E4%BA%A4%E9%9A%9B%E8%B2%BB&amp;start_date=2025-04-01&amp;end_date=2025-04-30&amp;fiscal_year_id=9716383",181677)</f>
        <v>181677</v>
      </c>
      <c r="D10" s="33">
        <f>HYPERLINK("https://secure.freee.co.jp/reports/general_ledgers/show?name=%E4%BA%A4%E9%9A%9B%E8%B2%BB&amp;start_date=2025-05-01&amp;end_date=2025-05-31&amp;fiscal_year_id=9716383",43082)</f>
        <v>43082</v>
      </c>
      <c r="E10" s="33">
        <f>HYPERLINK("https://secure.freee.co.jp/reports/general_ledgers/show?name=%E4%BA%A4%E9%9A%9B%E8%B2%BB&amp;start_date=2025-06-01&amp;end_date=2025-06-30&amp;fiscal_year_id=9716383",267910)</f>
        <v>267910</v>
      </c>
      <c r="F10" s="33">
        <f>HYPERLINK("https://secure.freee.co.jp/reports/general_ledgers/show?name=%E4%BA%A4%E9%9A%9B%E8%B2%BB&amp;start_date=2025-07-01&amp;end_date=2025-07-31&amp;fiscal_year_id=9716383",75692)</f>
        <v>75692</v>
      </c>
      <c r="G10" s="30">
        <f>HYPERLINK("https://secure.freee.co.jp/reports/general_ledgers/show?name=%E4%BA%A4%E9%9A%9B%E8%B2%BB&amp;start_date=2025-08-01&amp;end_date=2025-08-31&amp;fiscal_year_id=9716383",90193)</f>
        <v>90193</v>
      </c>
      <c r="H10" s="30">
        <f>HYPERLINK("https://secure.freee.co.jp/reports/general_ledgers/show?name=%E4%BA%A4%E9%9A%9B%E8%B2%BB&amp;start_date=2025-09-01&amp;end_date=2025-09-30&amp;fiscal_year_id=9716383",86070)</f>
        <v>86070</v>
      </c>
      <c r="I10" s="30">
        <f>HYPERLINK("https://secure.freee.co.jp/reports/general_ledgers/show?name=%E4%BA%A4%E9%9A%9B%E8%B2%BB&amp;start_date=2025-10-01&amp;end_date=2025-10-31&amp;fiscal_year_id=9716383",70888)</f>
        <v>70888</v>
      </c>
      <c r="J10" s="33">
        <f>HYPERLINK("https://secure.freee.co.jp/reports/general_ledgers/show?name=%E4%BA%A4%E9%9A%9B%E8%B2%BB&amp;start_date=2025-11-01&amp;end_date=2025-11-30&amp;fiscal_year_id=9716383",208987)</f>
        <v>208987</v>
      </c>
      <c r="K10" s="30">
        <f>HYPERLINK("https://secure.freee.co.jp/reports/general_ledgers/show?name=%E4%BA%A4%E9%9A%9B%E8%B2%BB&amp;start_date=2025-12-01&amp;end_date=2025-12-31&amp;fiscal_year_id=9716383",173196)</f>
        <v>173196</v>
      </c>
      <c r="L10" s="30">
        <f>HYPERLINK("https://secure.freee.co.jp/reports/general_ledgers/show?name=%E4%BA%A4%E9%9A%9B%E8%B2%BB&amp;start_date=2026-01-01&amp;end_date=2026-01-31&amp;fiscal_year_id=9716383",126050)</f>
        <v>126050</v>
      </c>
      <c r="M10" s="37">
        <f>HYPERLINK("https://secure.freee.co.jp/reports/general_ledgers/show?name=%E4%BA%A4%E9%9A%9B%E8%B2%BB&amp;start_date=2026-02-01&amp;end_date=2026-02-28&amp;fiscal_year_id=9716383",135883)</f>
        <v>135883</v>
      </c>
      <c r="N10" s="38">
        <f>SUM(B10:M10)</f>
        <v>1843641</v>
      </c>
      <c r="O10" s="32" t="s">
        <v>329</v>
      </c>
    </row>
    <row r="11" spans="1:15" x14ac:dyDescent="0.25">
      <c r="A11" s="10" t="s">
        <v>379</v>
      </c>
      <c r="B11" s="30">
        <f>HYPERLINK("https://secure.freee.co.jp/reports/general_ledgers/show?name=%E4%BC%9A%E8%AD%B0%E8%B2%BB&amp;start_date=2025-03-01&amp;end_date=2025-03-31&amp;fiscal_year_id=9716383",33693)</f>
        <v>33693</v>
      </c>
      <c r="C11" s="30">
        <f>HYPERLINK("https://secure.freee.co.jp/reports/general_ledgers/show?name=%E4%BC%9A%E8%AD%B0%E8%B2%BB&amp;start_date=2025-04-01&amp;end_date=2025-04-30&amp;fiscal_year_id=9716383",31978)</f>
        <v>31978</v>
      </c>
      <c r="D11" s="33">
        <f>HYPERLINK("https://secure.freee.co.jp/reports/general_ledgers/show?name=%E4%BC%9A%E8%AD%B0%E8%B2%BB&amp;start_date=2025-05-01&amp;end_date=2025-05-31&amp;fiscal_year_id=9716383",88103)</f>
        <v>88103</v>
      </c>
      <c r="E11" s="30">
        <f>HYPERLINK("https://secure.freee.co.jp/reports/general_ledgers/show?name=%E4%BC%9A%E8%AD%B0%E8%B2%BB&amp;start_date=2025-06-01&amp;end_date=2025-06-30&amp;fiscal_year_id=9716383",96709)</f>
        <v>96709</v>
      </c>
      <c r="F11" s="33">
        <f>HYPERLINK("https://secure.freee.co.jp/reports/general_ledgers/show?name=%E4%BC%9A%E8%AD%B0%E8%B2%BB&amp;start_date=2025-07-01&amp;end_date=2025-07-31&amp;fiscal_year_id=9716383",29267)</f>
        <v>29267</v>
      </c>
      <c r="G11" s="30">
        <f>HYPERLINK("https://secure.freee.co.jp/reports/general_ledgers/show?name=%E4%BC%9A%E8%AD%B0%E8%B2%BB&amp;start_date=2025-08-01&amp;end_date=2025-08-31&amp;fiscal_year_id=9716383",20790)</f>
        <v>20790</v>
      </c>
      <c r="H11" s="33">
        <f>HYPERLINK("https://secure.freee.co.jp/reports/general_ledgers/show?name=%E4%BC%9A%E8%AD%B0%E8%B2%BB&amp;start_date=2025-09-01&amp;end_date=2025-09-30&amp;fiscal_year_id=9716383",9860)</f>
        <v>9860</v>
      </c>
      <c r="I11" s="33">
        <f>HYPERLINK("https://secure.freee.co.jp/reports/general_ledgers/show?name=%E4%BC%9A%E8%AD%B0%E8%B2%BB&amp;start_date=2025-10-01&amp;end_date=2025-10-31&amp;fiscal_year_id=9716383",32617)</f>
        <v>32617</v>
      </c>
      <c r="J11" s="33">
        <f>HYPERLINK("https://secure.freee.co.jp/reports/general_ledgers/show?name=%E4%BC%9A%E8%AD%B0%E8%B2%BB&amp;start_date=2025-11-01&amp;end_date=2025-11-30&amp;fiscal_year_id=9716383",73152)</f>
        <v>73152</v>
      </c>
      <c r="K11" s="30">
        <f>HYPERLINK("https://secure.freee.co.jp/reports/general_ledgers/show?name=%E4%BC%9A%E8%AD%B0%E8%B2%BB&amp;start_date=2025-12-01&amp;end_date=2025-12-31&amp;fiscal_year_id=9716383",53561)</f>
        <v>53561</v>
      </c>
      <c r="L11" s="33">
        <f>HYPERLINK("https://secure.freee.co.jp/reports/general_ledgers/show?name=%E4%BC%9A%E8%AD%B0%E8%B2%BB&amp;start_date=2026-01-01&amp;end_date=2026-01-31&amp;fiscal_year_id=9716383",16300)</f>
        <v>16300</v>
      </c>
      <c r="M11" s="33">
        <f>HYPERLINK("https://secure.freee.co.jp/reports/general_ledgers/show?name=%E4%BC%9A%E8%AD%B0%E8%B2%BB&amp;start_date=2026-02-01&amp;end_date=2026-02-28&amp;fiscal_year_id=9716383",53717)</f>
        <v>53717</v>
      </c>
      <c r="N11" s="38">
        <f>SUM(B11:M11)</f>
        <v>539747</v>
      </c>
      <c r="O11" s="32" t="s">
        <v>329</v>
      </c>
    </row>
    <row r="12" spans="1:15" x14ac:dyDescent="0.25">
      <c r="A12" s="10" t="s">
        <v>380</v>
      </c>
      <c r="B12" s="30">
        <f>HYPERLINK("https://secure.freee.co.jp/reports/general_ledgers/show?name=%E6%97%85%E8%B2%BB%E4%BA%A4%E9%80%9A%E8%B2%BB&amp;start_date=2025-03-01&amp;end_date=2025-03-31&amp;fiscal_year_id=9716383",213339)</f>
        <v>213339</v>
      </c>
      <c r="C12" s="33">
        <f>HYPERLINK("https://secure.freee.co.jp/reports/general_ledgers/show?name=%E6%97%85%E8%B2%BB%E4%BA%A4%E9%80%9A%E8%B2%BB&amp;start_date=2025-04-01&amp;end_date=2025-04-30&amp;fiscal_year_id=9716383",94680)</f>
        <v>94680</v>
      </c>
      <c r="D12" s="30">
        <f>HYPERLINK("https://secure.freee.co.jp/reports/general_ledgers/show?name=%E6%97%85%E8%B2%BB%E4%BA%A4%E9%80%9A%E8%B2%BB&amp;start_date=2025-05-01&amp;end_date=2025-05-31&amp;fiscal_year_id=9716383",101555)</f>
        <v>101555</v>
      </c>
      <c r="E12" s="30">
        <f>HYPERLINK("https://secure.freee.co.jp/reports/general_ledgers/show?name=%E6%97%85%E8%B2%BB%E4%BA%A4%E9%80%9A%E8%B2%BB&amp;start_date=2025-06-01&amp;end_date=2025-06-30&amp;fiscal_year_id=9716383",57570)</f>
        <v>57570</v>
      </c>
      <c r="F12" s="30">
        <f>HYPERLINK("https://secure.freee.co.jp/reports/general_ledgers/show?name=%E6%97%85%E8%B2%BB%E4%BA%A4%E9%80%9A%E8%B2%BB&amp;start_date=2025-07-01&amp;end_date=2025-07-31&amp;fiscal_year_id=9716383",53920)</f>
        <v>53920</v>
      </c>
      <c r="G12" s="33">
        <f>HYPERLINK("https://secure.freee.co.jp/reports/general_ledgers/show?name=%E6%97%85%E8%B2%BB%E4%BA%A4%E9%80%9A%E8%B2%BB&amp;start_date=2025-08-01&amp;end_date=2025-08-31&amp;fiscal_year_id=9716383",374372)</f>
        <v>374372</v>
      </c>
      <c r="H12" s="30">
        <f>HYPERLINK("https://secure.freee.co.jp/reports/general_ledgers/show?name=%E6%97%85%E8%B2%BB%E4%BA%A4%E9%80%9A%E8%B2%BB&amp;start_date=2025-09-01&amp;end_date=2025-09-30&amp;fiscal_year_id=9716383",197080)</f>
        <v>197080</v>
      </c>
      <c r="I12" s="33">
        <f>HYPERLINK("https://secure.freee.co.jp/reports/general_ledgers/show?name=%E6%97%85%E8%B2%BB%E4%BA%A4%E9%80%9A%E8%B2%BB&amp;start_date=2025-10-01&amp;end_date=2025-10-31&amp;fiscal_year_id=9716383",87193)</f>
        <v>87193</v>
      </c>
      <c r="J12" s="30">
        <f>HYPERLINK("https://secure.freee.co.jp/reports/general_ledgers/show?name=%E6%97%85%E8%B2%BB%E4%BA%A4%E9%80%9A%E8%B2%BB&amp;start_date=2025-11-01&amp;end_date=2025-11-30&amp;fiscal_year_id=9716383",51630)</f>
        <v>51630</v>
      </c>
      <c r="K12" s="30">
        <f>HYPERLINK("https://secure.freee.co.jp/reports/general_ledgers/show?name=%E6%97%85%E8%B2%BB%E4%BA%A4%E9%80%9A%E8%B2%BB&amp;start_date=2025-12-01&amp;end_date=2025-12-31&amp;fiscal_year_id=9716383",60990)</f>
        <v>60990</v>
      </c>
      <c r="L12" s="30">
        <f>HYPERLINK("https://secure.freee.co.jp/reports/general_ledgers/show?name=%E6%97%85%E8%B2%BB%E4%BA%A4%E9%80%9A%E8%B2%BB&amp;start_date=2026-01-01&amp;end_date=2026-01-31&amp;fiscal_year_id=9716383",60120)</f>
        <v>60120</v>
      </c>
      <c r="M12" s="33">
        <f>HYPERLINK("https://secure.freee.co.jp/reports/general_ledgers/show?name=%E6%97%85%E8%B2%BB%E4%BA%A4%E9%80%9A%E8%B2%BB&amp;start_date=2026-02-01&amp;end_date=2026-02-28&amp;fiscal_year_id=9716383",12780)</f>
        <v>12780</v>
      </c>
      <c r="N12" s="38">
        <f>SUM(B12:M12)</f>
        <v>1365229</v>
      </c>
      <c r="O12" s="32" t="s">
        <v>329</v>
      </c>
    </row>
    <row r="13" spans="1:15" x14ac:dyDescent="0.25">
      <c r="A13" s="10" t="s">
        <v>381</v>
      </c>
      <c r="B13" s="30">
        <f>HYPERLINK("https://secure.freee.co.jp/reports/general_ledgers/show?name=%E9%80%9A%E4%BF%A1%E8%B2%BB&amp;start_date=2025-03-01&amp;end_date=2025-03-31&amp;fiscal_year_id=9716383",179453)</f>
        <v>179453</v>
      </c>
      <c r="C13" s="33">
        <f>HYPERLINK("https://secure.freee.co.jp/reports/general_ledgers/show?name=%E9%80%9A%E4%BF%A1%E8%B2%BB&amp;start_date=2025-04-01&amp;end_date=2025-04-30&amp;fiscal_year_id=9716383",36897)</f>
        <v>36897</v>
      </c>
      <c r="D13" s="33">
        <f>HYPERLINK("https://secure.freee.co.jp/reports/general_ledgers/show?name=%E9%80%9A%E4%BF%A1%E8%B2%BB&amp;start_date=2025-05-01&amp;end_date=2025-05-31&amp;fiscal_year_id=9716383",17937)</f>
        <v>17937</v>
      </c>
      <c r="E13" s="30">
        <f>HYPERLINK("https://secure.freee.co.jp/reports/general_ledgers/show?name=%E9%80%9A%E4%BF%A1%E8%B2%BB&amp;start_date=2025-06-01&amp;end_date=2025-06-30&amp;fiscal_year_id=9716383",17937)</f>
        <v>17937</v>
      </c>
      <c r="F13" s="30">
        <f>HYPERLINK("https://secure.freee.co.jp/reports/general_ledgers/show?name=%E9%80%9A%E4%BF%A1%E8%B2%BB&amp;start_date=2025-07-01&amp;end_date=2025-07-31&amp;fiscal_year_id=9716383",18536)</f>
        <v>18536</v>
      </c>
      <c r="G13" s="30">
        <f>HYPERLINK("https://secure.freee.co.jp/reports/general_ledgers/show?name=%E9%80%9A%E4%BF%A1%E8%B2%BB&amp;start_date=2025-08-01&amp;end_date=2025-08-31&amp;fiscal_year_id=9716383",18102)</f>
        <v>18102</v>
      </c>
      <c r="H13" s="33">
        <f>HYPERLINK("https://secure.freee.co.jp/reports/general_ledgers/show?name=%E9%80%9A%E4%BF%A1%E8%B2%BB&amp;start_date=2025-09-01&amp;end_date=2025-09-30&amp;fiscal_year_id=9716383",27208)</f>
        <v>27208</v>
      </c>
      <c r="I13" s="30">
        <f>HYPERLINK("https://secure.freee.co.jp/reports/general_ledgers/show?name=%E9%80%9A%E4%BF%A1%E8%B2%BB&amp;start_date=2025-10-01&amp;end_date=2025-10-31&amp;fiscal_year_id=9716383",18982)</f>
        <v>18982</v>
      </c>
      <c r="J13" s="33">
        <f>HYPERLINK("https://secure.freee.co.jp/reports/general_ledgers/show?name=%E9%80%9A%E4%BF%A1%E8%B2%BB&amp;start_date=2025-11-01&amp;end_date=2025-11-30&amp;fiscal_year_id=9716383",39160)</f>
        <v>39160</v>
      </c>
      <c r="K13" s="33">
        <f>HYPERLINK("https://secure.freee.co.jp/reports/general_ledgers/show?name=%E9%80%9A%E4%BF%A1%E8%B2%BB&amp;start_date=2025-12-01&amp;end_date=2025-12-31&amp;fiscal_year_id=9716383",18569)</f>
        <v>18569</v>
      </c>
      <c r="L13" s="30">
        <f>HYPERLINK("https://secure.freee.co.jp/reports/general_ledgers/show?name=%E9%80%9A%E4%BF%A1%E8%B2%BB&amp;start_date=2026-01-01&amp;end_date=2026-01-31&amp;fiscal_year_id=9716383",17011)</f>
        <v>17011</v>
      </c>
      <c r="M13" s="37">
        <f>HYPERLINK("https://secure.freee.co.jp/reports/general_ledgers/show?name=%E9%80%9A%E4%BF%A1%E8%B2%BB&amp;start_date=2026-02-01&amp;end_date=2026-02-28&amp;fiscal_year_id=9716383",18419)</f>
        <v>18419</v>
      </c>
      <c r="N13" s="38">
        <f>SUM(B13:M13)</f>
        <v>428211</v>
      </c>
      <c r="O13" s="32" t="s">
        <v>329</v>
      </c>
    </row>
    <row r="14" spans="1:15" x14ac:dyDescent="0.25">
      <c r="A14" s="10" t="s">
        <v>382</v>
      </c>
      <c r="B14" s="30">
        <f>HYPERLINK("https://secure.freee.co.jp/reports/general_ledgers/show?name=%E6%B6%88%E8%80%97%E5%93%81%E8%B2%BB&amp;start_date=2025-03-01&amp;end_date=2025-03-31&amp;fiscal_year_id=9716383",4680)</f>
        <v>4680</v>
      </c>
      <c r="C14" s="45">
        <v>0</v>
      </c>
      <c r="D14" s="30">
        <f>HYPERLINK("https://secure.freee.co.jp/reports/general_ledgers/show?name=%E6%B6%88%E8%80%97%E5%93%81%E8%B2%BB&amp;start_date=2025-05-01&amp;end_date=2025-05-31&amp;fiscal_year_id=9716383",5849)</f>
        <v>5849</v>
      </c>
      <c r="E14" s="45">
        <v>0</v>
      </c>
      <c r="F14" s="40">
        <v>0</v>
      </c>
      <c r="G14" s="30">
        <f>HYPERLINK("https://secure.freee.co.jp/reports/general_ledgers/show?name=%E6%B6%88%E8%80%97%E5%93%81%E8%B2%BB&amp;start_date=2025-08-01&amp;end_date=2025-08-31&amp;fiscal_year_id=9716383",5618)</f>
        <v>5618</v>
      </c>
      <c r="H14" s="33">
        <f>HYPERLINK("https://secure.freee.co.jp/reports/general_ledgers/show?name=%E6%B6%88%E8%80%97%E5%93%81%E8%B2%BB&amp;start_date=2025-09-01&amp;end_date=2025-09-30&amp;fiscal_year_id=9716383",15646)</f>
        <v>15646</v>
      </c>
      <c r="I14" s="45">
        <v>0</v>
      </c>
      <c r="J14" s="30">
        <f>HYPERLINK("https://secure.freee.co.jp/reports/general_ledgers/show?name=%E6%B6%88%E8%80%97%E5%93%81%E8%B2%BB&amp;start_date=2025-11-01&amp;end_date=2025-11-30&amp;fiscal_year_id=9716383",2600)</f>
        <v>2600</v>
      </c>
      <c r="K14" s="33">
        <f>HYPERLINK("https://secure.freee.co.jp/reports/general_ledgers/show?name=%E6%B6%88%E8%80%97%E5%93%81%E8%B2%BB&amp;start_date=2025-12-01&amp;end_date=2025-12-31&amp;fiscal_year_id=9716383",53012)</f>
        <v>53012</v>
      </c>
      <c r="L14" s="30">
        <f>HYPERLINK("https://secure.freee.co.jp/reports/general_ledgers/show?name=%E6%B6%88%E8%80%97%E5%93%81%E8%B2%BB&amp;start_date=2026-01-01&amp;end_date=2026-01-31&amp;fiscal_year_id=9716383",36234)</f>
        <v>36234</v>
      </c>
      <c r="M14" s="33">
        <f>HYPERLINK("https://secure.freee.co.jp/reports/general_ledgers/show?name=%E6%B6%88%E8%80%97%E5%93%81%E8%B2%BB&amp;start_date=2026-02-01&amp;end_date=2026-02-28&amp;fiscal_year_id=9716383",1759)</f>
        <v>1759</v>
      </c>
      <c r="N14" s="38">
        <f>SUM(B14:M14)</f>
        <v>125398</v>
      </c>
      <c r="O14" s="32" t="s">
        <v>329</v>
      </c>
    </row>
    <row r="15" spans="1:15" x14ac:dyDescent="0.25">
      <c r="A15" s="10" t="s">
        <v>383</v>
      </c>
      <c r="B15" s="30">
        <f>HYPERLINK("https://secure.freee.co.jp/reports/general_ledgers/show?name=%E4%BF%AE%E7%B9%95%E8%B2%BB&amp;start_date=2025-03-01&amp;end_date=2025-03-31&amp;fiscal_year_id=9716383",1325)</f>
        <v>1325</v>
      </c>
      <c r="C15" s="30">
        <f>HYPERLINK("https://secure.freee.co.jp/reports/general_ledgers/show?name=%E4%BF%AE%E7%B9%95%E8%B2%BB&amp;start_date=2025-04-01&amp;end_date=2025-04-30&amp;fiscal_year_id=9716383",1325)</f>
        <v>1325</v>
      </c>
      <c r="D15" s="30">
        <f>HYPERLINK("https://secure.freee.co.jp/reports/general_ledgers/show?name=%E4%BF%AE%E7%B9%95%E8%B2%BB&amp;start_date=2025-05-01&amp;end_date=2025-05-31&amp;fiscal_year_id=9716383",1325)</f>
        <v>1325</v>
      </c>
      <c r="E15" s="30">
        <f>HYPERLINK("https://secure.freee.co.jp/reports/general_ledgers/show?name=%E4%BF%AE%E7%B9%95%E8%B2%BB&amp;start_date=2025-06-01&amp;end_date=2025-06-30&amp;fiscal_year_id=9716383",1325)</f>
        <v>1325</v>
      </c>
      <c r="F15" s="30">
        <f>HYPERLINK("https://secure.freee.co.jp/reports/general_ledgers/show?name=%E4%BF%AE%E7%B9%95%E8%B2%BB&amp;start_date=2025-07-01&amp;end_date=2025-07-31&amp;fiscal_year_id=9716383",1325)</f>
        <v>1325</v>
      </c>
      <c r="G15" s="30">
        <f>HYPERLINK("https://secure.freee.co.jp/reports/general_ledgers/show?name=%E4%BF%AE%E7%B9%95%E8%B2%BB&amp;start_date=2025-08-01&amp;end_date=2025-08-31&amp;fiscal_year_id=9716383",1325)</f>
        <v>1325</v>
      </c>
      <c r="H15" s="30">
        <f>HYPERLINK("https://secure.freee.co.jp/reports/general_ledgers/show?name=%E4%BF%AE%E7%B9%95%E8%B2%BB&amp;start_date=2025-09-01&amp;end_date=2025-09-30&amp;fiscal_year_id=9716383",1325)</f>
        <v>1325</v>
      </c>
      <c r="I15" s="30">
        <f>HYPERLINK("https://secure.freee.co.jp/reports/general_ledgers/show?name=%E4%BF%AE%E7%B9%95%E8%B2%BB&amp;start_date=2025-10-01&amp;end_date=2025-10-31&amp;fiscal_year_id=9716383",1325)</f>
        <v>1325</v>
      </c>
      <c r="J15" s="30">
        <f>HYPERLINK("https://secure.freee.co.jp/reports/general_ledgers/show?name=%E4%BF%AE%E7%B9%95%E8%B2%BB&amp;start_date=2025-11-01&amp;end_date=2025-11-30&amp;fiscal_year_id=9716383",1325)</f>
        <v>1325</v>
      </c>
      <c r="K15" s="30">
        <f>HYPERLINK("https://secure.freee.co.jp/reports/general_ledgers/show?name=%E4%BF%AE%E7%B9%95%E8%B2%BB&amp;start_date=2025-12-01&amp;end_date=2025-12-31&amp;fiscal_year_id=9716383",1325)</f>
        <v>1325</v>
      </c>
      <c r="L15" s="30">
        <f>HYPERLINK("https://secure.freee.co.jp/reports/general_ledgers/show?name=%E4%BF%AE%E7%B9%95%E8%B2%BB&amp;start_date=2026-01-01&amp;end_date=2026-01-31&amp;fiscal_year_id=9716383",1325)</f>
        <v>1325</v>
      </c>
      <c r="M15" s="37">
        <f>HYPERLINK("https://secure.freee.co.jp/reports/general_ledgers/show?name=%E4%BF%AE%E7%B9%95%E8%B2%BB&amp;start_date=2026-02-01&amp;end_date=2026-02-28&amp;fiscal_year_id=9716383",1325)</f>
        <v>1325</v>
      </c>
      <c r="N15" s="38">
        <f>SUM(B15:M15)</f>
        <v>15900</v>
      </c>
      <c r="O15" s="32" t="s">
        <v>329</v>
      </c>
    </row>
    <row r="16" spans="1:15" x14ac:dyDescent="0.25">
      <c r="A16" s="10" t="s">
        <v>384</v>
      </c>
      <c r="B16" s="30">
        <f>HYPERLINK("https://secure.freee.co.jp/reports/general_ledgers/show?name=%E6%94%AF%E6%89%95%E6%89%8B%E6%95%B0%E6%96%99&amp;start_date=2025-03-01&amp;end_date=2025-03-31&amp;fiscal_year_id=9716383",111545)</f>
        <v>111545</v>
      </c>
      <c r="C16" s="33">
        <f>HYPERLINK("https://secure.freee.co.jp/reports/general_ledgers/show?name=%E6%94%AF%E6%89%95%E6%89%8B%E6%95%B0%E6%96%99&amp;start_date=2025-04-01&amp;end_date=2025-04-30&amp;fiscal_year_id=9716383",10816)</f>
        <v>10816</v>
      </c>
      <c r="D16" s="33">
        <f>HYPERLINK("https://secure.freee.co.jp/reports/general_ledgers/show?name=%E6%94%AF%E6%89%95%E6%89%8B%E6%95%B0%E6%96%99&amp;start_date=2025-05-01&amp;end_date=2025-05-31&amp;fiscal_year_id=9716383",175129)</f>
        <v>175129</v>
      </c>
      <c r="E16" s="33">
        <f>HYPERLINK("https://secure.freee.co.jp/reports/general_ledgers/show?name=%E6%94%AF%E6%89%95%E6%89%8B%E6%95%B0%E6%96%99&amp;start_date=2025-06-01&amp;end_date=2025-06-30&amp;fiscal_year_id=9716383",10129)</f>
        <v>10129</v>
      </c>
      <c r="F16" s="30">
        <f>HYPERLINK("https://secure.freee.co.jp/reports/general_ledgers/show?name=%E6%94%AF%E6%89%95%E6%89%8B%E6%95%B0%E6%96%99&amp;start_date=2025-07-01&amp;end_date=2025-07-31&amp;fiscal_year_id=9716383",10129)</f>
        <v>10129</v>
      </c>
      <c r="G16" s="30">
        <f>HYPERLINK("https://secure.freee.co.jp/reports/general_ledgers/show?name=%E6%94%AF%E6%89%95%E6%89%8B%E6%95%B0%E6%96%99&amp;start_date=2025-08-01&amp;end_date=2025-08-31&amp;fiscal_year_id=9716383",10358)</f>
        <v>10358</v>
      </c>
      <c r="H16" s="30">
        <f>HYPERLINK("https://secure.freee.co.jp/reports/general_ledgers/show?name=%E6%94%AF%E6%89%95%E6%89%8B%E6%95%B0%E6%96%99&amp;start_date=2025-09-01&amp;end_date=2025-09-30&amp;fiscal_year_id=9716383",10358)</f>
        <v>10358</v>
      </c>
      <c r="I16" s="30">
        <f>HYPERLINK("https://secure.freee.co.jp/reports/general_ledgers/show?name=%E6%94%AF%E6%89%95%E6%89%8B%E6%95%B0%E6%96%99&amp;start_date=2025-10-01&amp;end_date=2025-10-31&amp;fiscal_year_id=9716383",14529)</f>
        <v>14529</v>
      </c>
      <c r="J16" s="30">
        <f>HYPERLINK("https://secure.freee.co.jp/reports/general_ledgers/show?name=%E6%94%AF%E6%89%95%E6%89%8B%E6%95%B0%E6%96%99&amp;start_date=2025-11-01&amp;end_date=2025-11-30&amp;fiscal_year_id=9716383",12129)</f>
        <v>12129</v>
      </c>
      <c r="K16" s="30">
        <f>HYPERLINK("https://secure.freee.co.jp/reports/general_ledgers/show?name=%E6%94%AF%E6%89%95%E6%89%8B%E6%95%B0%E6%96%99&amp;start_date=2025-12-01&amp;end_date=2025-12-31&amp;fiscal_year_id=9716383",10358)</f>
        <v>10358</v>
      </c>
      <c r="L16" s="30">
        <f>HYPERLINK("https://secure.freee.co.jp/reports/general_ledgers/show?name=%E6%94%AF%E6%89%95%E6%89%8B%E6%95%B0%E6%96%99&amp;start_date=2026-01-01&amp;end_date=2026-01-31&amp;fiscal_year_id=9716383",10358)</f>
        <v>10358</v>
      </c>
      <c r="M16" s="33">
        <f>HYPERLINK("https://secure.freee.co.jp/reports/general_ledgers/show?name=%E6%94%AF%E6%89%95%E6%89%8B%E6%95%B0%E6%96%99&amp;start_date=2026-02-01&amp;end_date=2026-02-28&amp;fiscal_year_id=9716383",195795)</f>
        <v>195795</v>
      </c>
      <c r="N16" s="38">
        <f>SUM(B16:M16)</f>
        <v>581633</v>
      </c>
      <c r="O16" s="32" t="s">
        <v>329</v>
      </c>
    </row>
    <row r="17" spans="1:15" x14ac:dyDescent="0.25">
      <c r="A17" s="10" t="s">
        <v>385</v>
      </c>
      <c r="B17" s="30">
        <f>HYPERLINK("https://secure.freee.co.jp/reports/general_ledgers/show?name=%E8%BB%8A%E4%B8%A1%E8%B2%BB&amp;start_date=2025-03-01&amp;end_date=2025-03-31&amp;fiscal_year_id=9716383",7669)</f>
        <v>7669</v>
      </c>
      <c r="C17" s="30">
        <f>HYPERLINK("https://secure.freee.co.jp/reports/general_ledgers/show?name=%E8%BB%8A%E4%B8%A1%E8%B2%BB&amp;start_date=2025-04-01&amp;end_date=2025-04-30&amp;fiscal_year_id=9716383",6914)</f>
        <v>6914</v>
      </c>
      <c r="D17" s="33">
        <f>HYPERLINK("https://secure.freee.co.jp/reports/general_ledgers/show?name=%E8%BB%8A%E4%B8%A1%E8%B2%BB&amp;start_date=2025-05-01&amp;end_date=2025-05-31&amp;fiscal_year_id=9716383",23488)</f>
        <v>23488</v>
      </c>
      <c r="E17" s="33">
        <f>HYPERLINK("https://secure.freee.co.jp/reports/general_ledgers/show?name=%E8%BB%8A%E4%B8%A1%E8%B2%BB&amp;start_date=2025-06-01&amp;end_date=2025-06-30&amp;fiscal_year_id=9716383",7385)</f>
        <v>7385</v>
      </c>
      <c r="F17" s="30">
        <f>HYPERLINK("https://secure.freee.co.jp/reports/general_ledgers/show?name=%E8%BB%8A%E4%B8%A1%E8%B2%BB&amp;start_date=2025-07-01&amp;end_date=2025-07-31&amp;fiscal_year_id=9716383",10817)</f>
        <v>10817</v>
      </c>
      <c r="G17" s="30">
        <f>HYPERLINK("https://secure.freee.co.jp/reports/general_ledgers/show?name=%E8%BB%8A%E4%B8%A1%E8%B2%BB&amp;start_date=2025-08-01&amp;end_date=2025-08-31&amp;fiscal_year_id=9716383",6990)</f>
        <v>6990</v>
      </c>
      <c r="H17" s="33">
        <f>HYPERLINK("https://secure.freee.co.jp/reports/general_ledgers/show?name=%E8%BB%8A%E4%B8%A1%E8%B2%BB&amp;start_date=2025-09-01&amp;end_date=2025-09-30&amp;fiscal_year_id=9716383",33422)</f>
        <v>33422</v>
      </c>
      <c r="I17" s="45">
        <v>0</v>
      </c>
      <c r="J17" s="40">
        <v>0</v>
      </c>
      <c r="K17" s="30">
        <f>HYPERLINK("https://secure.freee.co.jp/reports/general_ledgers/show?name=%E8%BB%8A%E4%B8%A1%E8%B2%BB&amp;start_date=2025-12-01&amp;end_date=2025-12-31&amp;fiscal_year_id=9716383",61384)</f>
        <v>61384</v>
      </c>
      <c r="L17" s="30">
        <f>HYPERLINK("https://secure.freee.co.jp/reports/general_ledgers/show?name=%E8%BB%8A%E4%B8%A1%E8%B2%BB&amp;start_date=2026-01-01&amp;end_date=2026-01-31&amp;fiscal_year_id=9716383",56614)</f>
        <v>56614</v>
      </c>
      <c r="M17" s="45">
        <v>0</v>
      </c>
      <c r="N17" s="38">
        <f>SUM(B17:M17)</f>
        <v>214683</v>
      </c>
      <c r="O17" s="32" t="s">
        <v>329</v>
      </c>
    </row>
    <row r="18" spans="1:15" x14ac:dyDescent="0.25">
      <c r="A18" s="10" t="s">
        <v>386</v>
      </c>
      <c r="B18" s="30">
        <f>HYPERLINK("https://secure.freee.co.jp/reports/general_ledgers/show?name=%E5%9C%B0%E4%BB%A3%E5%AE%B6%E8%B3%83&amp;start_date=2025-03-01&amp;end_date=2025-03-31&amp;fiscal_year_id=9716383",170600)</f>
        <v>170600</v>
      </c>
      <c r="C18" s="30">
        <f>HYPERLINK("https://secure.freee.co.jp/reports/general_ledgers/show?name=%E5%9C%B0%E4%BB%A3%E5%AE%B6%E8%B3%83&amp;start_date=2025-04-01&amp;end_date=2025-04-30&amp;fiscal_year_id=9716383",170600)</f>
        <v>170600</v>
      </c>
      <c r="D18" s="30">
        <f>HYPERLINK("https://secure.freee.co.jp/reports/general_ledgers/show?name=%E5%9C%B0%E4%BB%A3%E5%AE%B6%E8%B3%83&amp;start_date=2025-05-01&amp;end_date=2025-05-31&amp;fiscal_year_id=9716383",170600)</f>
        <v>170600</v>
      </c>
      <c r="E18" s="30">
        <f>HYPERLINK("https://secure.freee.co.jp/reports/general_ledgers/show?name=%E5%9C%B0%E4%BB%A3%E5%AE%B6%E8%B3%83&amp;start_date=2025-06-01&amp;end_date=2025-06-30&amp;fiscal_year_id=9716383",170600)</f>
        <v>170600</v>
      </c>
      <c r="F18" s="30">
        <f>HYPERLINK("https://secure.freee.co.jp/reports/general_ledgers/show?name=%E5%9C%B0%E4%BB%A3%E5%AE%B6%E8%B3%83&amp;start_date=2025-07-01&amp;end_date=2025-07-31&amp;fiscal_year_id=9716383",170600)</f>
        <v>170600</v>
      </c>
      <c r="G18" s="30">
        <f>HYPERLINK("https://secure.freee.co.jp/reports/general_ledgers/show?name=%E5%9C%B0%E4%BB%A3%E5%AE%B6%E8%B3%83&amp;start_date=2025-08-01&amp;end_date=2025-08-31&amp;fiscal_year_id=9716383",170600)</f>
        <v>170600</v>
      </c>
      <c r="H18" s="30">
        <f>HYPERLINK("https://secure.freee.co.jp/reports/general_ledgers/show?name=%E5%9C%B0%E4%BB%A3%E5%AE%B6%E8%B3%83&amp;start_date=2025-09-01&amp;end_date=2025-09-30&amp;fiscal_year_id=9716383",170600)</f>
        <v>170600</v>
      </c>
      <c r="I18" s="30">
        <f>HYPERLINK("https://secure.freee.co.jp/reports/general_ledgers/show?name=%E5%9C%B0%E4%BB%A3%E5%AE%B6%E8%B3%83&amp;start_date=2025-10-01&amp;end_date=2025-10-31&amp;fiscal_year_id=9716383",170600)</f>
        <v>170600</v>
      </c>
      <c r="J18" s="30">
        <f>HYPERLINK("https://secure.freee.co.jp/reports/general_ledgers/show?name=%E5%9C%B0%E4%BB%A3%E5%AE%B6%E8%B3%83&amp;start_date=2025-11-01&amp;end_date=2025-11-30&amp;fiscal_year_id=9716383",170600)</f>
        <v>170600</v>
      </c>
      <c r="K18" s="30">
        <f>HYPERLINK("https://secure.freee.co.jp/reports/general_ledgers/show?name=%E5%9C%B0%E4%BB%A3%E5%AE%B6%E8%B3%83&amp;start_date=2025-12-01&amp;end_date=2025-12-31&amp;fiscal_year_id=9716383",170600)</f>
        <v>170600</v>
      </c>
      <c r="L18" s="30">
        <f>HYPERLINK("https://secure.freee.co.jp/reports/general_ledgers/show?name=%E5%9C%B0%E4%BB%A3%E5%AE%B6%E8%B3%83&amp;start_date=2026-01-01&amp;end_date=2026-01-31&amp;fiscal_year_id=9716383",170600)</f>
        <v>170600</v>
      </c>
      <c r="M18" s="37">
        <f>HYPERLINK("https://secure.freee.co.jp/reports/general_ledgers/show?name=%E5%9C%B0%E4%BB%A3%E5%AE%B6%E8%B3%83&amp;start_date=2026-02-01&amp;end_date=2026-02-28&amp;fiscal_year_id=9716383",170600)</f>
        <v>170600</v>
      </c>
      <c r="N18" s="38">
        <f>SUM(B18:M18)</f>
        <v>2047200</v>
      </c>
      <c r="O18" s="32" t="s">
        <v>329</v>
      </c>
    </row>
    <row r="19" spans="1:15" x14ac:dyDescent="0.25">
      <c r="A19" s="10" t="s">
        <v>387</v>
      </c>
      <c r="B19" s="40">
        <v>0</v>
      </c>
      <c r="C19" s="40">
        <v>0</v>
      </c>
      <c r="D19" s="40">
        <v>0</v>
      </c>
      <c r="E19" s="40">
        <v>0</v>
      </c>
      <c r="F19" s="40">
        <v>0</v>
      </c>
      <c r="G19" s="30">
        <f>HYPERLINK("https://secure.freee.co.jp/reports/general_ledgers/show?name=%E4%BF%9D%E9%99%BA%E6%96%99&amp;start_date=2025-08-01&amp;end_date=2025-08-31&amp;fiscal_year_id=9716383",162820)</f>
        <v>162820</v>
      </c>
      <c r="H19" s="45">
        <v>0</v>
      </c>
      <c r="I19" s="40">
        <v>0</v>
      </c>
      <c r="J19" s="40">
        <v>0</v>
      </c>
      <c r="K19" s="40">
        <v>0</v>
      </c>
      <c r="L19" s="40">
        <v>0</v>
      </c>
      <c r="M19" s="41">
        <v>0</v>
      </c>
      <c r="N19" s="38">
        <f>SUM(B19:M19)</f>
        <v>162820</v>
      </c>
      <c r="O19" s="32" t="s">
        <v>329</v>
      </c>
    </row>
    <row r="20" spans="1:15" x14ac:dyDescent="0.25">
      <c r="A20" s="10" t="s">
        <v>388</v>
      </c>
      <c r="B20" s="30">
        <f>HYPERLINK("https://secure.freee.co.jp/reports/general_ledgers/show?name=%E7%A7%9F%E7%A8%8E%E5%85%AC%E8%AA%B2&amp;start_date=2025-03-01&amp;end_date=2025-03-31&amp;fiscal_year_id=9716383",10400)</f>
        <v>10400</v>
      </c>
      <c r="C20" s="45">
        <v>0</v>
      </c>
      <c r="D20" s="30">
        <f>HYPERLINK("https://secure.freee.co.jp/reports/general_ledgers/show?name=%E7%A7%9F%E7%A8%8E%E5%85%AC%E8%AA%B2&amp;start_date=2025-05-01&amp;end_date=2025-05-31&amp;fiscal_year_id=9716383",45000)</f>
        <v>45000</v>
      </c>
      <c r="E20" s="33">
        <f>HYPERLINK("https://secure.freee.co.jp/reports/general_ledgers/show?name=%E7%A7%9F%E7%A8%8E%E5%85%AC%E8%AA%B2&amp;start_date=2025-06-01&amp;end_date=2025-06-30&amp;fiscal_year_id=9716383",94300)</f>
        <v>94300</v>
      </c>
      <c r="F20" s="33">
        <f>HYPERLINK("https://secure.freee.co.jp/reports/general_ledgers/show?name=%E7%A7%9F%E7%A8%8E%E5%85%AC%E8%AA%B2&amp;start_date=2025-07-01&amp;end_date=2025-07-31&amp;fiscal_year_id=9716383",200)</f>
        <v>200</v>
      </c>
      <c r="G20" s="45">
        <v>0</v>
      </c>
      <c r="H20" s="40">
        <v>0</v>
      </c>
      <c r="I20" s="30">
        <f>HYPERLINK("https://secure.freee.co.jp/reports/general_ledgers/show?name=%E7%A7%9F%E7%A8%8E%E5%85%AC%E8%AA%B2&amp;start_date=2025-10-01&amp;end_date=2025-10-31&amp;fiscal_year_id=9716383",502180)</f>
        <v>502180</v>
      </c>
      <c r="J20" s="45">
        <v>0</v>
      </c>
      <c r="K20" s="40">
        <v>0</v>
      </c>
      <c r="L20" s="30">
        <f>HYPERLINK("https://secure.freee.co.jp/reports/general_ledgers/show?name=%E7%A7%9F%E7%A8%8E%E5%85%AC%E8%AA%B2&amp;start_date=2026-01-01&amp;end_date=2026-01-31&amp;fiscal_year_id=9716383",1100)</f>
        <v>1100</v>
      </c>
      <c r="M20" s="33">
        <f>HYPERLINK("https://secure.freee.co.jp/reports/general_ledgers/show?name=%E7%A7%9F%E7%A8%8E%E5%85%AC%E8%AA%B2&amp;start_date=2026-02-01&amp;end_date=2026-02-28&amp;fiscal_year_id=9716383",200)</f>
        <v>200</v>
      </c>
      <c r="N20" s="38">
        <f>SUM(B20:M20)</f>
        <v>653380</v>
      </c>
      <c r="O20" s="32" t="s">
        <v>329</v>
      </c>
    </row>
    <row r="21" spans="1:15" x14ac:dyDescent="0.25">
      <c r="A21" s="10" t="s">
        <v>389</v>
      </c>
      <c r="B21" s="40">
        <v>0</v>
      </c>
      <c r="C21" s="40">
        <v>0</v>
      </c>
      <c r="D21" s="40">
        <v>0</v>
      </c>
      <c r="E21" s="40">
        <v>0</v>
      </c>
      <c r="F21" s="40">
        <v>0</v>
      </c>
      <c r="G21" s="40">
        <v>0</v>
      </c>
      <c r="H21" s="40">
        <v>0</v>
      </c>
      <c r="I21" s="40">
        <v>0</v>
      </c>
      <c r="J21" s="40">
        <v>0</v>
      </c>
      <c r="K21" s="40">
        <v>0</v>
      </c>
      <c r="L21" s="30">
        <f>HYPERLINK("https://secure.freee.co.jp/reports/general_ledgers/show?name=%E6%B8%9B%E4%BE%A1%E5%84%9F%E5%8D%B4%E8%B2%BB&amp;start_date=2026-01-01&amp;end_date=2026-01-31&amp;fiscal_year_id=9716383",75000)</f>
        <v>75000</v>
      </c>
      <c r="M21" s="37">
        <f>HYPERLINK("https://secure.freee.co.jp/reports/general_ledgers/show?name=%E6%B8%9B%E4%BE%A1%E5%84%9F%E5%8D%B4%E8%B2%BB&amp;start_date=2026-02-01&amp;end_date=2026-02-28&amp;fiscal_year_id=9716383",75000)</f>
        <v>75000</v>
      </c>
      <c r="N21" s="38">
        <f>SUM(B21:M21)</f>
        <v>150000</v>
      </c>
      <c r="O21" s="32" t="s">
        <v>329</v>
      </c>
    </row>
    <row r="22" spans="1:15" x14ac:dyDescent="0.25">
      <c r="A22" s="42" t="s">
        <v>390</v>
      </c>
      <c r="B22" s="43">
        <v>1320953</v>
      </c>
      <c r="C22" s="43">
        <v>750123</v>
      </c>
      <c r="D22" s="43">
        <v>733304</v>
      </c>
      <c r="E22" s="43">
        <v>785101</v>
      </c>
      <c r="F22" s="43">
        <v>431722</v>
      </c>
      <c r="G22" s="43">
        <v>922404</v>
      </c>
      <c r="H22" s="43">
        <v>612805</v>
      </c>
      <c r="I22" s="43">
        <v>959550</v>
      </c>
      <c r="J22" s="43">
        <v>620819</v>
      </c>
      <c r="K22" s="43">
        <v>664231</v>
      </c>
      <c r="L22" s="43">
        <v>631948</v>
      </c>
      <c r="M22" s="43">
        <v>726714</v>
      </c>
      <c r="N22" s="43">
        <f>SUM(B22:M22)</f>
        <v>9159674</v>
      </c>
      <c r="O22" s="44"/>
    </row>
    <row r="23" spans="1:15" x14ac:dyDescent="0.25">
      <c r="A23" s="42" t="s">
        <v>391</v>
      </c>
      <c r="B23" s="43">
        <v>-594396</v>
      </c>
      <c r="C23" s="43">
        <v>-265174</v>
      </c>
      <c r="D23" s="43">
        <v>682266</v>
      </c>
      <c r="E23" s="43">
        <v>1024340</v>
      </c>
      <c r="F23" s="43">
        <v>2040853</v>
      </c>
      <c r="G23" s="43">
        <v>-453742</v>
      </c>
      <c r="H23" s="43">
        <v>1097781</v>
      </c>
      <c r="I23" s="43">
        <v>1517121</v>
      </c>
      <c r="J23" s="43">
        <v>17672</v>
      </c>
      <c r="K23" s="43">
        <v>1038483</v>
      </c>
      <c r="L23" s="43">
        <v>1944649</v>
      </c>
      <c r="M23" s="43">
        <v>-1031907</v>
      </c>
      <c r="N23" s="43">
        <f>SUM(B23:M23)</f>
        <v>7017946</v>
      </c>
      <c r="O23" s="44"/>
    </row>
    <row r="24" spans="1:15" x14ac:dyDescent="0.25">
      <c r="A24" s="10" t="s">
        <v>392</v>
      </c>
      <c r="B24" s="30">
        <f>HYPERLINK("https://secure.freee.co.jp/reports/general_ledgers/show?name=%E5%8F%97%E5%8F%96%E5%88%A9%E6%81%AF&amp;start_date=2025-03-01&amp;end_date=2025-03-31&amp;fiscal_year_id=9716383",804)</f>
        <v>804</v>
      </c>
      <c r="C24" s="45">
        <v>0</v>
      </c>
      <c r="D24" s="40">
        <v>0</v>
      </c>
      <c r="E24" s="40">
        <v>0</v>
      </c>
      <c r="F24" s="40">
        <v>0</v>
      </c>
      <c r="G24" s="30">
        <f>HYPERLINK("https://secure.freee.co.jp/reports/general_ledgers/show?name=%E5%8F%97%E5%8F%96%E5%88%A9%E6%81%AF&amp;start_date=2025-08-01&amp;end_date=2025-08-31&amp;fiscal_year_id=9716383",860)</f>
        <v>860</v>
      </c>
      <c r="H24" s="33">
        <f>HYPERLINK("https://secure.freee.co.jp/reports/general_ledgers/show?name=%E5%8F%97%E5%8F%96%E5%88%A9%E6%81%AF&amp;start_date=2025-09-01&amp;end_date=2025-09-30&amp;fiscal_year_id=9716383",2651)</f>
        <v>2651</v>
      </c>
      <c r="I24" s="45">
        <v>0</v>
      </c>
      <c r="J24" s="40">
        <v>0</v>
      </c>
      <c r="K24" s="40">
        <v>0</v>
      </c>
      <c r="L24" s="40">
        <v>0</v>
      </c>
      <c r="M24" s="37">
        <f>HYPERLINK("https://secure.freee.co.jp/reports/general_ledgers/show?name=%E5%8F%97%E5%8F%96%E5%88%A9%E6%81%AF&amp;start_date=2026-02-01&amp;end_date=2026-02-28&amp;fiscal_year_id=9716383",791)</f>
        <v>791</v>
      </c>
      <c r="N24" s="38">
        <f>SUM(B24:M24)</f>
        <v>5106</v>
      </c>
      <c r="O24" s="32" t="s">
        <v>329</v>
      </c>
    </row>
    <row r="25" spans="1:15" x14ac:dyDescent="0.25">
      <c r="A25" s="10" t="s">
        <v>393</v>
      </c>
      <c r="B25" s="30">
        <v>804</v>
      </c>
      <c r="C25" s="40">
        <v>0</v>
      </c>
      <c r="D25" s="40">
        <v>0</v>
      </c>
      <c r="E25" s="40">
        <v>0</v>
      </c>
      <c r="F25" s="40">
        <v>0</v>
      </c>
      <c r="G25" s="30">
        <v>860</v>
      </c>
      <c r="H25" s="30">
        <v>2651</v>
      </c>
      <c r="I25" s="40">
        <v>0</v>
      </c>
      <c r="J25" s="40">
        <v>0</v>
      </c>
      <c r="K25" s="40">
        <v>0</v>
      </c>
      <c r="L25" s="40">
        <v>0</v>
      </c>
      <c r="M25" s="37">
        <v>791</v>
      </c>
      <c r="N25" s="38">
        <f>SUM(B25:M25)</f>
        <v>5106</v>
      </c>
      <c r="O25" s="39"/>
    </row>
    <row r="26" spans="1:15" x14ac:dyDescent="0.25">
      <c r="A26" s="10" t="s">
        <v>394</v>
      </c>
      <c r="B26" s="40">
        <v>0</v>
      </c>
      <c r="C26" s="40">
        <v>0</v>
      </c>
      <c r="D26" s="40">
        <v>0</v>
      </c>
      <c r="E26" s="40">
        <v>0</v>
      </c>
      <c r="F26" s="40">
        <v>0</v>
      </c>
      <c r="G26" s="40">
        <v>0</v>
      </c>
      <c r="H26" s="40">
        <v>0</v>
      </c>
      <c r="I26" s="40">
        <v>0</v>
      </c>
      <c r="J26" s="40">
        <v>0</v>
      </c>
      <c r="K26" s="40">
        <v>0</v>
      </c>
      <c r="L26" s="40">
        <v>0</v>
      </c>
      <c r="M26" s="37">
        <f>HYPERLINK("https://secure.freee.co.jp/reports/general_ledgers/show?name=%E7%82%BA%E6%9B%BF%E5%B7%AE%E6%90%8D&amp;start_date=2026-02-01&amp;end_date=2026-02-28&amp;fiscal_year_id=9716383",-2070)</f>
        <v>-2070</v>
      </c>
      <c r="N26" s="38">
        <f>SUM(B26:M26)</f>
        <v>-2070</v>
      </c>
      <c r="O26" s="32" t="s">
        <v>329</v>
      </c>
    </row>
    <row r="27" spans="1:15" x14ac:dyDescent="0.25">
      <c r="A27" s="10" t="s">
        <v>395</v>
      </c>
      <c r="B27" s="40">
        <v>0</v>
      </c>
      <c r="C27" s="40">
        <v>0</v>
      </c>
      <c r="D27" s="40">
        <v>0</v>
      </c>
      <c r="E27" s="40">
        <v>0</v>
      </c>
      <c r="F27" s="40">
        <v>0</v>
      </c>
      <c r="G27" s="40">
        <v>0</v>
      </c>
      <c r="H27" s="40">
        <v>0</v>
      </c>
      <c r="I27" s="40">
        <v>0</v>
      </c>
      <c r="J27" s="40">
        <v>0</v>
      </c>
      <c r="K27" s="40">
        <v>0</v>
      </c>
      <c r="L27" s="40">
        <v>0</v>
      </c>
      <c r="M27" s="37">
        <v>-2070</v>
      </c>
      <c r="N27" s="38">
        <f>SUM(B27:M27)</f>
        <v>-2070</v>
      </c>
      <c r="O27" s="39"/>
    </row>
    <row r="28" spans="1:15" x14ac:dyDescent="0.25">
      <c r="A28" s="42" t="s">
        <v>396</v>
      </c>
      <c r="B28" s="43">
        <v>-593592</v>
      </c>
      <c r="C28" s="43">
        <v>-265174</v>
      </c>
      <c r="D28" s="43">
        <v>682266</v>
      </c>
      <c r="E28" s="43">
        <v>1024340</v>
      </c>
      <c r="F28" s="43">
        <v>2040853</v>
      </c>
      <c r="G28" s="43">
        <v>-452882</v>
      </c>
      <c r="H28" s="43">
        <v>1100432</v>
      </c>
      <c r="I28" s="43">
        <v>1517121</v>
      </c>
      <c r="J28" s="43">
        <v>17672</v>
      </c>
      <c r="K28" s="43">
        <v>1038483</v>
      </c>
      <c r="L28" s="43">
        <v>1944649</v>
      </c>
      <c r="M28" s="43">
        <v>-1029046</v>
      </c>
      <c r="N28" s="43">
        <f>SUM(B28:M28)</f>
        <v>7025122</v>
      </c>
      <c r="O28" s="44"/>
    </row>
    <row r="29" spans="1:15" x14ac:dyDescent="0.25">
      <c r="A29" s="10" t="s">
        <v>397</v>
      </c>
      <c r="B29" s="30">
        <f>HYPERLINK("https://secure.freee.co.jp/reports/general_ledgers/show?name=%E5%9B%BA%E5%AE%9A%E8%B3%87%E7%94%A3%E5%A3%B2%E5%8D%B4%E7%9B%8A&amp;start_date=2025-03-01&amp;end_date=2025-03-31&amp;fiscal_year_id=9716383",2187620)</f>
        <v>2187620</v>
      </c>
      <c r="C29" s="45">
        <v>0</v>
      </c>
      <c r="D29" s="30">
        <f>HYPERLINK("https://secure.freee.co.jp/reports/general_ledgers/show?name=%E5%9B%BA%E5%AE%9A%E8%B3%87%E7%94%A3%E5%A3%B2%E5%8D%B4%E7%9B%8A&amp;start_date=2025-05-01&amp;end_date=2025-05-31&amp;fiscal_year_id=9716383",72081)</f>
        <v>72081</v>
      </c>
      <c r="E29" s="45">
        <v>0</v>
      </c>
      <c r="F29" s="40">
        <v>0</v>
      </c>
      <c r="G29" s="40">
        <v>0</v>
      </c>
      <c r="H29" s="40">
        <v>0</v>
      </c>
      <c r="I29" s="40">
        <v>0</v>
      </c>
      <c r="J29" s="40">
        <v>0</v>
      </c>
      <c r="K29" s="40">
        <v>0</v>
      </c>
      <c r="L29" s="40">
        <v>0</v>
      </c>
      <c r="M29" s="41">
        <v>0</v>
      </c>
      <c r="N29" s="38">
        <f>SUM(B29:M29)</f>
        <v>2259701</v>
      </c>
      <c r="O29" s="32" t="s">
        <v>329</v>
      </c>
    </row>
    <row r="30" spans="1:15" x14ac:dyDescent="0.25">
      <c r="A30" s="10" t="s">
        <v>398</v>
      </c>
      <c r="B30" s="30">
        <v>2187620</v>
      </c>
      <c r="C30" s="40">
        <v>0</v>
      </c>
      <c r="D30" s="30">
        <v>72081</v>
      </c>
      <c r="E30" s="40">
        <v>0</v>
      </c>
      <c r="F30" s="40">
        <v>0</v>
      </c>
      <c r="G30" s="40">
        <v>0</v>
      </c>
      <c r="H30" s="40">
        <v>0</v>
      </c>
      <c r="I30" s="40">
        <v>0</v>
      </c>
      <c r="J30" s="40">
        <v>0</v>
      </c>
      <c r="K30" s="40">
        <v>0</v>
      </c>
      <c r="L30" s="40">
        <v>0</v>
      </c>
      <c r="M30" s="41">
        <v>0</v>
      </c>
      <c r="N30" s="38">
        <f>SUM(B30:M30)</f>
        <v>2259701</v>
      </c>
      <c r="O30" s="39"/>
    </row>
    <row r="31" spans="1:15" x14ac:dyDescent="0.25">
      <c r="A31" s="10" t="s">
        <v>399</v>
      </c>
      <c r="B31" s="40">
        <v>0</v>
      </c>
      <c r="C31" s="40">
        <v>0</v>
      </c>
      <c r="D31" s="40">
        <v>0</v>
      </c>
      <c r="E31" s="40">
        <v>0</v>
      </c>
      <c r="F31" s="40">
        <v>0</v>
      </c>
      <c r="G31" s="40">
        <v>0</v>
      </c>
      <c r="H31" s="40">
        <v>0</v>
      </c>
      <c r="I31" s="40">
        <v>0</v>
      </c>
      <c r="J31" s="40">
        <v>0</v>
      </c>
      <c r="K31" s="40">
        <v>0</v>
      </c>
      <c r="L31" s="40">
        <v>0</v>
      </c>
      <c r="M31" s="41">
        <v>0</v>
      </c>
      <c r="N31" s="38">
        <f>SUM(B31:M31)</f>
        <v>0</v>
      </c>
      <c r="O31" s="39"/>
    </row>
    <row r="32" spans="1:15" x14ac:dyDescent="0.25">
      <c r="A32" s="42" t="s">
        <v>400</v>
      </c>
      <c r="B32" s="43">
        <v>1594028</v>
      </c>
      <c r="C32" s="43">
        <v>-265174</v>
      </c>
      <c r="D32" s="43">
        <v>754347</v>
      </c>
      <c r="E32" s="43">
        <v>1024340</v>
      </c>
      <c r="F32" s="43">
        <v>2040853</v>
      </c>
      <c r="G32" s="43">
        <v>-452882</v>
      </c>
      <c r="H32" s="43">
        <v>1100432</v>
      </c>
      <c r="I32" s="43">
        <v>1517121</v>
      </c>
      <c r="J32" s="43">
        <v>17672</v>
      </c>
      <c r="K32" s="43">
        <v>1038483</v>
      </c>
      <c r="L32" s="43">
        <v>1944649</v>
      </c>
      <c r="M32" s="43">
        <v>-1029046</v>
      </c>
      <c r="N32" s="43">
        <f>SUM(B32:M32)</f>
        <v>9284823</v>
      </c>
      <c r="O32" s="44"/>
    </row>
    <row r="33" spans="1:15" x14ac:dyDescent="0.25">
      <c r="A33" s="10" t="s">
        <v>401</v>
      </c>
      <c r="B33" s="30">
        <f>HYPERLINK("https://secure.freee.co.jp/reports/general_ledgers/show?name=%E6%B3%95%E4%BA%BA%E7%A8%8E%E3%83%BB%E4%BD%8F%E6%B0%91%E7%A8%8E%E5%8F%8A%E3%81%B3%E4%BA%8B%E6%A5%AD%E7%A8%8E&amp;start_date=2025-03-01&amp;end_date=2025-03-31&amp;fiscal_year_id=9716383",123)</f>
        <v>123</v>
      </c>
      <c r="C33" s="45">
        <v>0</v>
      </c>
      <c r="D33" s="40">
        <v>0</v>
      </c>
      <c r="E33" s="40">
        <v>0</v>
      </c>
      <c r="F33" s="40">
        <v>0</v>
      </c>
      <c r="G33" s="30">
        <f>HYPERLINK("https://secure.freee.co.jp/reports/general_ledgers/show?name=%E6%B3%95%E4%BA%BA%E7%A8%8E%E3%83%BB%E4%BD%8F%E6%B0%91%E7%A8%8E%E5%8F%8A%E3%81%B3%E4%BA%8B%E6%A5%AD%E7%A8%8E&amp;start_date=2025-08-01&amp;end_date=2025-08-31&amp;fiscal_year_id=9716383",131)</f>
        <v>131</v>
      </c>
      <c r="H33" s="33">
        <f>HYPERLINK("https://secure.freee.co.jp/reports/general_ledgers/show?name=%E6%B3%95%E4%BA%BA%E7%A8%8E%E3%83%BB%E4%BD%8F%E6%B0%91%E7%A8%8E%E5%8F%8A%E3%81%B3%E4%BA%8B%E6%A5%AD%E7%A8%8E&amp;start_date=2025-09-01&amp;end_date=2025-09-30&amp;fiscal_year_id=9716383",406)</f>
        <v>406</v>
      </c>
      <c r="I33" s="45">
        <v>0</v>
      </c>
      <c r="J33" s="40">
        <v>0</v>
      </c>
      <c r="K33" s="40">
        <v>0</v>
      </c>
      <c r="L33" s="30">
        <f>HYPERLINK("https://secure.freee.co.jp/reports/general_ledgers/show?name=%E6%B3%95%E4%BA%BA%E7%A8%8E%E3%83%BB%E4%BD%8F%E6%B0%91%E7%A8%8E%E5%8F%8A%E3%81%B3%E4%BA%8B%E6%A5%AD%E7%A8%8E&amp;start_date=2026-01-01&amp;end_date=2026-01-31&amp;fiscal_year_id=9716383",483200)</f>
        <v>483200</v>
      </c>
      <c r="M33" s="33">
        <f>HYPERLINK("https://secure.freee.co.jp/reports/general_ledgers/show?name=%E6%B3%95%E4%BA%BA%E7%A8%8E%E3%83%BB%E4%BD%8F%E6%B0%91%E7%A8%8E%E5%8F%8A%E3%81%B3%E4%BA%8B%E6%A5%AD%E7%A8%8E&amp;start_date=2026-02-01&amp;end_date=2026-02-28&amp;fiscal_year_id=9716383",121)</f>
        <v>121</v>
      </c>
      <c r="N33" s="38">
        <f>SUM(B33:M33)</f>
        <v>483981</v>
      </c>
      <c r="O33" s="32" t="s">
        <v>329</v>
      </c>
    </row>
    <row r="34" spans="1:15" x14ac:dyDescent="0.25">
      <c r="A34" s="10" t="s">
        <v>402</v>
      </c>
      <c r="B34" s="30">
        <v>123</v>
      </c>
      <c r="C34" s="40">
        <v>0</v>
      </c>
      <c r="D34" s="40">
        <v>0</v>
      </c>
      <c r="E34" s="40">
        <v>0</v>
      </c>
      <c r="F34" s="40">
        <v>0</v>
      </c>
      <c r="G34" s="30">
        <v>131</v>
      </c>
      <c r="H34" s="30">
        <v>406</v>
      </c>
      <c r="I34" s="40">
        <v>0</v>
      </c>
      <c r="J34" s="40">
        <v>0</v>
      </c>
      <c r="K34" s="40">
        <v>0</v>
      </c>
      <c r="L34" s="30">
        <v>483200</v>
      </c>
      <c r="M34" s="37">
        <v>121</v>
      </c>
      <c r="N34" s="38">
        <f>SUM(B34:M34)</f>
        <v>483981</v>
      </c>
      <c r="O34" s="39"/>
    </row>
    <row r="35" spans="1:15" x14ac:dyDescent="0.25">
      <c r="A35" s="42" t="s">
        <v>403</v>
      </c>
      <c r="B35" s="43">
        <v>1593905</v>
      </c>
      <c r="C35" s="43">
        <v>-265174</v>
      </c>
      <c r="D35" s="43">
        <v>754347</v>
      </c>
      <c r="E35" s="43">
        <v>1024340</v>
      </c>
      <c r="F35" s="43">
        <v>2040853</v>
      </c>
      <c r="G35" s="43">
        <v>-453013</v>
      </c>
      <c r="H35" s="43">
        <v>1100026</v>
      </c>
      <c r="I35" s="43">
        <v>1517121</v>
      </c>
      <c r="J35" s="43">
        <v>17672</v>
      </c>
      <c r="K35" s="43">
        <v>1038483</v>
      </c>
      <c r="L35" s="43">
        <v>1461449</v>
      </c>
      <c r="M35" s="43">
        <v>-1029167</v>
      </c>
      <c r="N35" s="43">
        <f>SUM(B35:M35)</f>
        <v>8800842</v>
      </c>
      <c r="O35" s="44"/>
    </row>
    <row r="36" spans="1:15" x14ac:dyDescent="0.25">
      <c r="A36" s="10" t="s">
        <v>404</v>
      </c>
      <c r="B36" s="40">
        <v>0</v>
      </c>
      <c r="C36" s="40">
        <v>0</v>
      </c>
      <c r="D36" s="40">
        <v>0</v>
      </c>
      <c r="E36" s="40">
        <v>0</v>
      </c>
      <c r="F36" s="40">
        <v>0</v>
      </c>
      <c r="G36" s="40">
        <v>0</v>
      </c>
      <c r="H36" s="40">
        <v>0</v>
      </c>
      <c r="I36" s="40">
        <v>0</v>
      </c>
      <c r="J36" s="40">
        <v>0</v>
      </c>
      <c r="K36" s="40">
        <v>0</v>
      </c>
      <c r="L36" s="30">
        <f>HYPERLINK("https://secure.freee.co.jp/reports/general_ledgers/show?name=%E4%BB%95%E5%85%A5%E9%AB%98&amp;start_date=2026-01-01&amp;end_date=2026-01-31&amp;fiscal_year_id=9716383",3230)</f>
        <v>3230</v>
      </c>
      <c r="M36" s="45">
        <v>0</v>
      </c>
      <c r="N36" s="38">
        <f>SUM(B36:M36)</f>
        <v>3230</v>
      </c>
      <c r="O36" s="32" t="s">
        <v>329</v>
      </c>
    </row>
  </sheetData>
  <mergeCells count="1">
    <mergeCell ref="A1:O1"/>
  </mergeCells>
  <hyperlinks>
    <hyperlink ref="O7" r:id="rId1"/>
    <hyperlink ref="O8" r:id="rId2"/>
    <hyperlink ref="O9" r:id="rId3"/>
    <hyperlink ref="O10" r:id="rId4"/>
    <hyperlink ref="O11" r:id="rId5"/>
    <hyperlink ref="O12" r:id="rId6"/>
    <hyperlink ref="O13" r:id="rId7"/>
    <hyperlink ref="O14" r:id="rId8"/>
    <hyperlink ref="O15" r:id="rId9"/>
    <hyperlink ref="O16" r:id="rId10"/>
    <hyperlink ref="O17" r:id="rId11"/>
    <hyperlink ref="O18" r:id="rId12"/>
    <hyperlink ref="O19" r:id="rId13"/>
    <hyperlink ref="O20" r:id="rId14"/>
    <hyperlink ref="O21" r:id="rId15"/>
    <hyperlink ref="O24" r:id="rId16"/>
    <hyperlink ref="O26" r:id="rId17"/>
    <hyperlink ref="O29" r:id="rId18"/>
    <hyperlink ref="O33" r:id="rId19"/>
    <hyperlink ref="O36" r:id="rId2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80B9"/>
  </sheetPr>
  <dimension ref="A1:D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3" width="16" customWidth="1"/>
    <col min="4" max="4" width="12" customWidth="1"/>
  </cols>
  <sheetData>
    <row r="1" ht="22" customHeight="1" spans="1:4" x14ac:dyDescent="0.25">
      <c r="A1" s="5" t="s">
        <v>323</v>
      </c>
      <c r="B1" s="5" t="s">
        <v>405</v>
      </c>
      <c r="C1" s="5" t="s">
        <v>406</v>
      </c>
      <c r="D1" s="5" t="s">
        <v>407</v>
      </c>
    </row>
    <row r="2" spans="1:4" x14ac:dyDescent="0.25">
      <c r="A2" s="10" t="s">
        <v>349</v>
      </c>
      <c r="B2" s="10" t="s">
        <v>408</v>
      </c>
      <c r="C2" s="30">
        <v>546600</v>
      </c>
      <c r="D2" s="10" t="s">
        <v>6</v>
      </c>
    </row>
    <row r="3" spans="1:4" x14ac:dyDescent="0.25">
      <c r="A3" s="10" t="s">
        <v>349</v>
      </c>
      <c r="B3" s="10" t="s">
        <v>409</v>
      </c>
      <c r="C3" s="30">
        <v>53612</v>
      </c>
      <c r="D3" s="14" t="s">
        <v>410</v>
      </c>
    </row>
    <row r="4" spans="1:4" x14ac:dyDescent="0.25">
      <c r="A4" s="10" t="s">
        <v>349</v>
      </c>
      <c r="B4" s="10" t="s">
        <v>411</v>
      </c>
      <c r="C4" s="30">
        <v>45100</v>
      </c>
      <c r="D4" s="10" t="s">
        <v>6</v>
      </c>
    </row>
    <row r="5" spans="1:4" x14ac:dyDescent="0.25">
      <c r="A5" s="10" t="s">
        <v>349</v>
      </c>
      <c r="B5" s="10" t="s">
        <v>412</v>
      </c>
      <c r="C5" s="30">
        <v>22156</v>
      </c>
      <c r="D5" s="10" t="s">
        <v>6</v>
      </c>
    </row>
    <row r="6" spans="1:4" x14ac:dyDescent="0.25">
      <c r="A6" s="10" t="s">
        <v>349</v>
      </c>
      <c r="B6" s="10" t="s">
        <v>413</v>
      </c>
      <c r="C6" s="30">
        <v>3078</v>
      </c>
      <c r="D6" s="14" t="s">
        <v>410</v>
      </c>
    </row>
    <row r="7" spans="1:4" x14ac:dyDescent="0.25">
      <c r="A7" s="10" t="s">
        <v>335</v>
      </c>
      <c r="B7" s="10" t="s">
        <v>414</v>
      </c>
      <c r="C7" s="30">
        <v>0</v>
      </c>
      <c r="D7" s="10" t="s">
        <v>6</v>
      </c>
    </row>
    <row r="8" spans="1:4" x14ac:dyDescent="0.25">
      <c r="A8" s="10" t="s">
        <v>335</v>
      </c>
      <c r="B8" s="10" t="s">
        <v>415</v>
      </c>
      <c r="C8" s="30">
        <v>0</v>
      </c>
      <c r="D8" s="10" t="s">
        <v>6</v>
      </c>
    </row>
    <row r="9" spans="1:4" x14ac:dyDescent="0.25">
      <c r="A9" s="10" t="s">
        <v>335</v>
      </c>
      <c r="B9" s="10" t="s">
        <v>416</v>
      </c>
      <c r="C9" s="30">
        <v>0</v>
      </c>
      <c r="D9" s="10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サマリー</vt:lpstr>
      <vt:lpstr>指摘一覧</vt:lpstr>
      <vt:lpstr>消費税区分チェック</vt:lpstr>
      <vt:lpstr>源泉所得税チェック</vt:lpstr>
      <vt:lpstr>予定納税チェック</vt:lpstr>
      <vt:lpstr>BS残高指摘</vt:lpstr>
      <vt:lpstr>PL・期間配分チェック</vt:lpstr>
      <vt:lpstr>データ品質・その他</vt:lpstr>
      <vt:lpstr>BS残高チェック</vt:lpstr>
      <vt:lpstr>PL月次推移</vt:lpstr>
      <vt:lpstr>取引先別残高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freee-auto (Claude Code)</dc:creator>
  <dc:title/>
  <dc:subject/>
  <dc:description/>
  <cp:keywords/>
  <cp:category/>
  <cp:lastModifiedBy>Unknown</cp:lastModifiedBy>
  <dcterms:created xsi:type="dcterms:W3CDTF">2026-04-07T12:32:32Z</dcterms:created>
  <dcterms:modified xsi:type="dcterms:W3CDTF">2026-04-07T12:32:32Z</dcterms:modified>
</cp:coreProperties>
</file>