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<sst xmlns="http://schemas.openxmlformats.org/spreadsheetml/2006/main" count="1540" uniqueCount="500">
  <si>
    <t>株式会社RenK'z 帳簿チェックレポート</t>
  </si>
  <si>
    <t>対象月</t>
  </si>
  <si>
    <t>2026年2月</t>
  </si>
  <si>
    <t>チェック実行日</t>
  </si>
  <si>
    <t>2026年4月7日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</si>
  <si>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</si>
  <si>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</si>
  <si>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</si>
  <si>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</si>
  <si>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</si>
  <si>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</si>
  <si>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</si>
  <si>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</si>
  <si>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</si>
  <si>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</si>
  <si>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</si>
  <si>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</si>
  <si>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</si>
  <si>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</si>
  <si>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</si>
  <si>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</si>
  <si>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</si>
  <si>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</si>
  <si>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</si>
  <si>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</si>
  <si>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</si>
  <si>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</si>
  <si>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</si>
  <si>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</si>
  <si>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</si>
  <si>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</si>
  <si>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</si>
  <si>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</si>
  <si>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DQ-03</t>
  </si>
  <si>
    <t>PL全科目ゼロ</t>
  </si>
  <si>
    <t>✅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</si>
  <si>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</si>
  <si>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</si>
  <si>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</si>
  <si>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</si>
  <si>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</si>
  <si>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</si>
  <si>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</si>
  <si>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</si>
  <si>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</si>
  <si>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</si>
  <si>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</si>
  <si>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</si>
  <si>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</si>
  <si>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</si>
  <si>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</si>
  <si>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</si>
  <si>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</si>
  <si>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</si>
  <si>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</si>
  <si>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</si>
  <si>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</si>
  <si>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</si>
  <si>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</si>
  <si>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</si>
  <si>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</si>
  <si>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</si>
  <si>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</si>
  <si>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</si>
  <si>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</si>
  <si>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</si>
  <si>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</si>
  <si>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</si>
  <si>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</si>
  <si>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</si>
  <si>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</si>
  <si>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</si>
  <si>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</si>
  <si>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</si>
  <si>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</si>
  <si>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</si>
  <si>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</si>
  <si>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</si>
  <si>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</si>
  <si>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</si>
  <si>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</si>
  <si>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</si>
  <si>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</si>
  <si>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</si>
  <si>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</si>
  <si>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</si>
  <si>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</si>
  <si>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</si>
  <si>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</si>
  <si>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</si>
  <si>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</si>
  <si>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</si>
  <si>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</si>
  <si>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</si>
  <si>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</si>
  <si>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</si>
  <si>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</si>
  <si>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</si>
  <si>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</si>
  <si>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</si>
  <si>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</si>
  <si>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</si>
  <si>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</si>
  <si>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</si>
  <si>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</si>
  <si>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</si>
  <si>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</si>
  <si>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</si>
  <si>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</si>
  <si>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</si>
  <si>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</si>
  <si>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</si>
  <si>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</si>
  <si>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</si>
  <si>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</si>
  <si>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</si>
  <si>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</si>
  <si>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</si>
  <si>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</si>
  <si>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</si>
  <si>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</si>
  <si>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</si>
  <si>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</si>
  <si>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</si>
  <si>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</si>
  <si>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</si>
  <si>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</si>
  <si>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</si>
  <si>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</si>
  <si>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</si>
  <si>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</si>
  <si>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</si>
  <si>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</si>
  <si>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</si>
  <si>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</si>
  <si>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</si>
  <si>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</si>
  <si>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</si>
  <si>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</si>
  <si>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</si>
  <si>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</si>
  <si>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</si>
  <si>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</si>
  <si>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</si>
  <si>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</si>
  <si>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</si>
  <si>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</si>
  <si>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</si>
  <si>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</si>
  <si>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</si>
  <si>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</si>
  <si>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</si>
  <si>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</si>
  <si>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</si>
  <si>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</si>
  <si>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</si>
  <si>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</si>
  <si>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</si>
  <si>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</si>
  <si>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</si>
  <si>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</si>
  <si>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</si>
  <si>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</si>
  <si>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</si>
  <si>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</si>
  <si>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</si>
  <si>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</si>
  <si>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</si>
  <si>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</si>
  <si>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</si>
  <si>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</si>
  <si>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</si>
  <si>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</si>
  <si>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</si>
  <si>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</si>
  <si>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</si>
  <si>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現金・預金</t>
  </si>
  <si>
    <t>「小口現金」の残高がマイナス（-94,784円）です。当座借越契約がない限り異常です。</t>
  </si>
  <si>
    <t>-94,784円</t>
  </si>
  <si>
    <t>記帳漏れ、入金未処理、または口座間振替ミスを確認してください</t>
  </si>
  <si>
    <t>freeeで確認</t>
  </si>
  <si>
    <t>残高異常</t>
  </si>
  <si>
    <t>「立替経費」にマイナス残高 -697,000円があります。 取引先「未選択」: -2,751,868円、取引先「嶌田様」: -3,000円 ※当月取引からは原因を特定できません。期首からの累積の可能性があります。</t>
  </si>
  <si>
    <t>-697,000円</t>
  </si>
  <si>
    <t>記帳漏れまたは過大計上を確認してください</t>
  </si>
  <si>
    <t>「繰越利益剰余金」にマイナス残高 -21,563,253円があります。 取引先「未選択」: -21,563,253円 ※当月取引からは原因を特定できません。期首からの累積の可能性があります。</t>
  </si>
  <si>
    <t>-21,563,253円</t>
  </si>
  <si>
    <t>消費税区分</t>
  </si>
  <si>
    <t>「売上高」に非課税・不課税の取引が13件（655,160円）あります。売上は原則課税売上です。</t>
  </si>
  <si>
    <t>非課税/不課税 × 13件</t>
  </si>
  <si>
    <t>課税売上10%に修正</t>
  </si>
  <si>
    <t xml:space="preserve">　　2026-02-26  高木</t>
  </si>
  <si>
    <t>30,000円</t>
  </si>
  <si>
    <t>明細を開く</t>
  </si>
  <si>
    <t xml:space="preserve">　　2026-02-26  2/19</t>
  </si>
  <si>
    <t>20,000円</t>
  </si>
  <si>
    <t xml:space="preserve">　　2026-02-26  2/21</t>
  </si>
  <si>
    <t>60,000円</t>
  </si>
  <si>
    <t xml:space="preserve">　　2026-02-26  目白台</t>
  </si>
  <si>
    <t>22,000円</t>
  </si>
  <si>
    <t xml:space="preserve">　　2026-02-25  調査代</t>
  </si>
  <si>
    <t>223,860円</t>
  </si>
  <si>
    <t>売上高</t>
  </si>
  <si>
    <t xml:space="preserve">　　2026-02-25  調査報告書費</t>
  </si>
  <si>
    <t>3,300円</t>
  </si>
  <si>
    <t xml:space="preserve">　　2026-02-20  </t>
  </si>
  <si>
    <t xml:space="preserve">　　2026-02-16  2/10</t>
  </si>
  <si>
    <t xml:space="preserve">　　2026-02-16  2/14</t>
  </si>
  <si>
    <t>35,000円</t>
  </si>
  <si>
    <t xml:space="preserve">　　2026-02-16  2/13</t>
  </si>
  <si>
    <t>52,000円</t>
  </si>
  <si>
    <t>データ品質</t>
  </si>
  <si>
    <t>対象月（2026-02）末時点で、未登録の明細があります。freeeの「自動で経理」画面で確認してください。</t>
  </si>
  <si>
    <t>あり</t>
  </si>
  <si>
    <t>「取引＞自動で経理」で全件登録してください</t>
  </si>
  <si>
    <t>2026-02-28 に同日・同額（55,000円）・同科目(ID:221367458)の取引が 2 件あります。重複計上の可能性があります。</t>
  </si>
  <si>
    <t>deal_id: 3350930604, 3350929695</t>
  </si>
  <si>
    <t>重複していないか確認してください</t>
  </si>
  <si>
    <t>「千葉（メイン）」の残高が前月比111%増加しています（前月: 275,160円 → 当月: 579,442円）。</t>
  </si>
  <si>
    <t>579,442円</t>
  </si>
  <si>
    <t>大型入出金の内容を確認してください</t>
  </si>
  <si>
    <t>営業外・税金</t>
  </si>
  <si>
    <t>「仮払金」に3,050,000円の残高があります。内容を確認し、決算前までに適切な科目に振り替えてください。</t>
  </si>
  <si>
    <t>3,050,000円</t>
  </si>
  <si>
    <t>取引の内容を確認し、本来の勘定科目に振り替えてください</t>
  </si>
  <si>
    <t>「未払消費税等」に573,900円の残高があります（期首3月から12ヶ月経過）。既に納付済みであれば消込処理が必要です。</t>
  </si>
  <si>
    <t>573,900円</t>
  </si>
  <si>
    <t>納付済みの場合は当座預金からの出金で消込してください</t>
  </si>
  <si>
    <t>借入金・リース</t>
  </si>
  <si>
    <t>「役員借入金」に品目タグなしの残高（14,550,152円）があります。どの借入先・リース契約に属するか不明です。</t>
  </si>
  <si>
    <t>未選択: 14,550,152円</t>
  </si>
  <si>
    <t>各借入先・リース契約ごとに品目タグを設定し、内訳を明確にしてください</t>
  </si>
  <si>
    <t>「長期借入金」の「公庫①」で当月の返済が確認できません（残高変動なし: 3,948,000円）。</t>
  </si>
  <si>
    <t>前月: 3,948,000円 → 当月: 3,948,000円（変動 0円）</t>
  </si>
  <si>
    <t>返済日の出金が正しく記帳されているか確認してください。据置期間中の場合は問題ありません</t>
  </si>
  <si>
    <t>「長期借入金」の「千葉信金①」で当月の返済が確認できません（残高変動なし: 2,550,000円）。</t>
  </si>
  <si>
    <t>前月: 2,550,000円 → 当月: 2,550,000円（変動 0円）</t>
  </si>
  <si>
    <t>「長期借入金」の「千葉銀行②」で当月の返済が確認できません（残高変動なし: 3,120,000円）。</t>
  </si>
  <si>
    <t>前月: 3,120,000円 → 当月: 3,120,000円（変動 0円）</t>
  </si>
  <si>
    <t>「長期借入金」の「千葉銀行③」で当月の返済が確認できません（残高変動なし: 1,390,000円）。</t>
  </si>
  <si>
    <t>前月: 1,390,000円 → 当月: 1,390,000円（変動 0円）</t>
  </si>
  <si>
    <t>人件費</t>
  </si>
  <si>
    <t>法定福利費の比率が低すぎます。給与合計 858,095円 に対し 法定福利費 76,439円（8.9%）。正常値は概ね14〜15%です。</t>
  </si>
  <si>
    <t>8.9%（給与合計: 858,095円、法定福利費: 76,439円）</t>
  </si>
  <si>
    <t>法定福利費は社会保険対象の給与合計の14〜15%程度が正常です</t>
  </si>
  <si>
    <t>外注費</t>
  </si>
  <si>
    <t>「支払手数料」で士業取引先「あしたの会計事務所」への支払 79,860円があります。「預り金（源泉所得税（士業））」残高がゼロのため、未計上の可能性があります。源泉徴収（推定 8,153円 / 10.21%）の計上・納付を確認してください。</t>
  </si>
  <si>
    <t>支払額: 79,860円</t>
  </si>
  <si>
    <t>源泉所得税 約8,153円 を「預り金（源泉所得税（士業））」として計上し、翌月10日までに納付してください</t>
  </si>
  <si>
    <t>売上・売掛金</t>
  </si>
  <si>
    <t>売上高が前年同月比 31%減少しています（当月: 2,039,449円、前年同月推定: 2,937,231円）。</t>
  </si>
  <si>
    <t>当月: 2,039,449円</t>
  </si>
  <si>
    <t>顧客増減・単価変更・業務構成の変化等の背景を確認してください</t>
  </si>
  <si>
    <t>「売掛金」の「岩澤」残高が2ヶ月連続で同額（18,000円）です。回収が滞留している可能性があります。</t>
  </si>
  <si>
    <t>18,000円（前月比変動なし）</t>
  </si>
  <si>
    <t>回収期日を確認し、顧客に入金を依頼してください。回収不能の場合は貸倒引当金の計上を検討してください</t>
  </si>
  <si>
    <t>「売掛金」の「目黒不動尊瀧泉寺」残高が2ヶ月連続で同額（55,000円）です。回収が滞留している可能性があります。</t>
  </si>
  <si>
    <t>55,000円（前月比変動なし）</t>
  </si>
  <si>
    <t>「売掛金」の「鈴木みえこ」残高が2ヶ月連続で同額（99,000円）です。回収が滞留している可能性があります。</t>
  </si>
  <si>
    <t>99,000円（前月比変動なし）</t>
  </si>
  <si>
    <t>仕入・買掛金</t>
  </si>
  <si>
    <t>「仕入高」が前月平均比 100%減少しています（当月: 0円、前月平均: 24,633円）。</t>
  </si>
  <si>
    <t>当月: 0円</t>
  </si>
  <si>
    <t>季節変動・大口発注以外の原因がなければ、計上漏れや二重計上を確認してください</t>
  </si>
  <si>
    <t>「売上原価」が前月平均比 100%減少しています（当月: 0円、前月平均: 24,633円）。</t>
  </si>
  <si>
    <t>「外注費」が前月平均比 67%減少しています（当月: 18,900円、前月平均: 57,203円）。</t>
  </si>
  <si>
    <t>当月: 18,900円</t>
  </si>
  <si>
    <t>「未払金」の「齋藤練吾」残高が2ヶ月連続で同額（31,848円）です。支払が滞留している可能性があります。</t>
  </si>
  <si>
    <t>31,848円（前月比変動なし）</t>
  </si>
  <si>
    <t>支払期日を確認し、消込処理または支払を実施してください</t>
  </si>
  <si>
    <t>「短期貸付金」の残高 1,000,000円が前月から変動ありません（滞留の可能性）。</t>
  </si>
  <si>
    <t>1,000,000円（前月同額）</t>
  </si>
  <si>
    <t>回収・支払状況を確認し、必要に応じて貸倒処理や振替を検討してください</t>
  </si>
  <si>
    <t xml:space="preserve">　　取引先「阿部 浩樹」で滞留</t>
  </si>
  <si>
    <t>1,000,000円</t>
  </si>
  <si>
    <t>「出資金」の残高 30,000円が前月から変動ありません（滞留の可能性）。</t>
  </si>
  <si>
    <t>30,000円（前月同額）</t>
  </si>
  <si>
    <t xml:space="preserve">　　取引先「千葉信用金庫」で滞留</t>
  </si>
  <si>
    <t>「預託金」の残高 14,850円が前月から変動ありません（滞留の可能性）。</t>
  </si>
  <si>
    <t>14,850円（前月同額）</t>
  </si>
  <si>
    <t xml:space="preserve">　　取引先「ちばぎんリース㈱」で滞留</t>
  </si>
  <si>
    <t>11,010円</t>
  </si>
  <si>
    <t xml:space="preserve">　　取引先「㈱オートバックスセブン」で滞留</t>
  </si>
  <si>
    <t>-11,010円</t>
  </si>
  <si>
    <t xml:space="preserve">　　取引先「㈱ホンダモビリティ南関東」で滞留</t>
  </si>
  <si>
    <t>7,510円</t>
  </si>
  <si>
    <t xml:space="preserve">　　取引先「オートショップable」で滞留</t>
  </si>
  <si>
    <t>7,340円</t>
  </si>
  <si>
    <t>仮勘定「仮払金」に 3,050,000円の残高があります。</t>
  </si>
  <si>
    <t>内容を確認し、適切な科目に振り替えてください</t>
  </si>
  <si>
    <t xml:space="preserve">　　[品目] 未選択</t>
  </si>
  <si>
    <t>1,786,888円</t>
  </si>
  <si>
    <t xml:space="preserve">　　[品目] 給与</t>
  </si>
  <si>
    <t>1,263,112円</t>
  </si>
  <si>
    <t xml:space="preserve">　　2026-02-25  </t>
  </si>
  <si>
    <t>300,000円</t>
  </si>
  <si>
    <t>（不明）</t>
  </si>
  <si>
    <t>「千葉（メイン）」が前月比 111% 変動（275,160円 → 579,442円）。</t>
  </si>
  <si>
    <t>579,442円（前月: 275,160円、変動率: 111%）</t>
  </si>
  <si>
    <t>変動原因を確認してください</t>
  </si>
  <si>
    <t>「車両運搬具」が前月比 100% 変動（124,810円 → 1円）。</t>
  </si>
  <si>
    <t>1円（前月: 124,810円、変動率: 100%）</t>
  </si>
  <si>
    <t>「未払金」が前月比 50% 変動（991,598円 → 1,489,155円）。</t>
  </si>
  <si>
    <t>1,489,155円（前月: 991,598円、変動率: 50%）</t>
  </si>
  <si>
    <t>期間配分</t>
  </si>
  <si>
    <t>「通信費」で以下の取引先への計上が当月ありません。計上漏れの可能性があります: 「第一興商」（前月平均: 5,000円/月）</t>
  </si>
  <si>
    <t>当月 計上なし</t>
  </si>
  <si>
    <t>第一興商: 約5,000円</t>
  </si>
  <si>
    <t>「リース料」で以下の取引先への計上が当月ありません。計上漏れの可能性があります: 「ちばぎんリース㈱」（前月平均: 22,510円/月）</t>
  </si>
  <si>
    <t>ちばぎんリース㈱: 約22,510円</t>
  </si>
  <si>
    <t>「支払手数料」に2種類の税区分が混在しています（課対仕入10%: 9件、非課仕入: 1件）。</t>
  </si>
  <si>
    <t>2種類混在</t>
  </si>
  <si>
    <t>税区分ごとの内訳を確認してください</t>
  </si>
  <si>
    <t xml:space="preserve">　　課対仕入10%（9件・計84,810円）</t>
  </si>
  <si>
    <t>84,810円</t>
  </si>
  <si>
    <t xml:space="preserve">　　非課仕入（1件・計1,450円）</t>
  </si>
  <si>
    <t>1,450円</t>
  </si>
  <si>
    <t>「売上高」に3種類の税区分が混在しています（課税売上10%: 23件、税区分コード134: 11件、対象外: 2件）。</t>
  </si>
  <si>
    <t>3種類混在</t>
  </si>
  <si>
    <t xml:space="preserve">　　課税売上10%（23件・計1,384,289円）</t>
  </si>
  <si>
    <t>1,384,289円</t>
  </si>
  <si>
    <t xml:space="preserve">　　税区分コード134（11件・計428,000円）</t>
  </si>
  <si>
    <t>428,000円</t>
  </si>
  <si>
    <t xml:space="preserve">　　対象外（2件・計227,160円）</t>
  </si>
  <si>
    <t>227,160円</t>
  </si>
  <si>
    <t>「支払利息」に2種類の税区分が混在しています（対象外: 3件、非課仕入: 1件）。</t>
  </si>
  <si>
    <t xml:space="preserve">　　対象外（3件・計9,189円）</t>
  </si>
  <si>
    <t>9,189円</t>
  </si>
  <si>
    <t xml:space="preserve">　　非課仕入（1件・計2,598円）</t>
  </si>
  <si>
    <t>2,598円</t>
  </si>
  <si>
    <t>「地代家賃」に2種類の税区分が混在しています（課対仕入10%: 2件、非課仕入: 1件）。</t>
  </si>
  <si>
    <t xml:space="preserve">　　課対仕入10%（2件・計14,520円）</t>
  </si>
  <si>
    <t>14,520円</t>
  </si>
  <si>
    <t xml:space="preserve">　　非課仕入（1件・計58,000円）</t>
  </si>
  <si>
    <t>58,000円</t>
  </si>
  <si>
    <t>源泉所得税</t>
  </si>
  <si>
    <t>源泉税額が期待値と乖離している取引が3件あります。消費税の税込/税抜の違い、または計算誤りの可能性があります。</t>
  </si>
  <si>
    <t>乖離 × 3件</t>
  </si>
  <si>
    <t>源泉税額を再計算してください</t>
  </si>
  <si>
    <t xml:space="preserve">　　2026-02-25  基本給</t>
  </si>
  <si>
    <t>330円</t>
  </si>
  <si>
    <t>預り金: 1,600円（期待: 33円）</t>
  </si>
  <si>
    <t xml:space="preserve">　　2026-02-25  基本給+危険手当</t>
  </si>
  <si>
    <t>預り金: 700円（期待: 33円）</t>
  </si>
  <si>
    <t>550円</t>
  </si>
  <si>
    <t>預り金: 4,120円（期待: 56円）</t>
  </si>
  <si>
    <t>「雑収入」に300,086円が計上されています。内容を確認し、適切な科目で記録されているか確認してください。</t>
  </si>
  <si>
    <t>300,086円</t>
  </si>
  <si>
    <t>受取手数料・受取保険金等、適切な科目への振替を検討してください</t>
  </si>
  <si>
    <t>受取利息1,730円に対する源泉所得税（15.315%）の計上を確認してください。</t>
  </si>
  <si>
    <t>受取利息: 1,730円</t>
  </si>
  <si>
    <t>源泉税 約264円を「法人税・住民税及び事業税」または「仮払法人税等」で処理してください</t>
  </si>
  <si>
    <t>売上高に取引先タグなしの計上（6,446,331円）があります。どの顧客からの売上か不明です。</t>
  </si>
  <si>
    <t>未選択: 6,446,331円</t>
  </si>
  <si>
    <t>全ての売上取引に取引先タグを設定し、顧客別売上管理ができるようにしてください</t>
  </si>
  <si>
    <t>「租税公課」が前月平均比 193%変動しています（当月: -81,500円、前月平均: 87,975円）。</t>
  </si>
  <si>
    <t>当月: -81,500円</t>
  </si>
  <si>
    <t>計上内容と金額の妥当性を確認してください</t>
  </si>
  <si>
    <t>「交際費」が前月平均比 172%変動しています（当月: 33,900円、前月平均: 12,485円）。</t>
  </si>
  <si>
    <t>当月: 33,900円</t>
  </si>
  <si>
    <t>「車両費」が前月平均比 73%変動しています（当月: 15,653円、前月平均: 57,928円）。</t>
  </si>
  <si>
    <t>当月: 15,653円</t>
  </si>
  <si>
    <t>「支払手数料」の取引先「あしたの会計事務所」が前月平均比 133% 変動しています（前月平均: 34,310円 → 当月: 79,860円）。期間配分の観点から確認を推奨します。</t>
  </si>
  <si>
    <t>当月: 79,860円（前月平均: 34,310円）</t>
  </si>
  <si>
    <t>一時的な金額増減か、契約変更等によるものか確認してください</t>
  </si>
  <si>
    <t>勘定科目と消費税区分の組み合わせの妥当性を検証します。</t>
  </si>
  <si>
    <t>士業報酬・外注費等の源泉徴収の漏れ・計算誤りを検出します。</t>
  </si>
  <si>
    <t>法人税・消費税の中間納付の処理状況を確認します。</t>
  </si>
  <si>
    <t>✅ 指摘事項はありません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</si>
  <si>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</si>
  <si>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</si>
  <si>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</si>
  <si>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</si>
  <si>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</si>
  <si>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</si>
  <si>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</si>
  <si>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</si>
  <si>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</si>
  <si>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</si>
  <si>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現金</t>
  </si>
  <si>
    <t>元帳を開く</t>
  </si>
  <si>
    <t>小口現金</t>
  </si>
  <si>
    <t>-44.8%</t>
  </si>
  <si>
    <t>千葉（メイン）</t>
  </si>
  <si>
    <t>110.6%</t>
  </si>
  <si>
    <t>△</t>
  </si>
  <si>
    <t>千葉（サブ）</t>
  </si>
  <si>
    <t>-36.7%</t>
  </si>
  <si>
    <t>千葉信金（法人）（API）</t>
  </si>
  <si>
    <t>43.1%</t>
  </si>
  <si>
    <t>売掛金</t>
  </si>
  <si>
    <t>15.2%</t>
  </si>
  <si>
    <t>前渡金</t>
  </si>
  <si>
    <t>前払費用</t>
  </si>
  <si>
    <t>-100.0%</t>
  </si>
  <si>
    <t>短期貸付金</t>
  </si>
  <si>
    <t>0.0%</t>
  </si>
  <si>
    <t>未収入金</t>
  </si>
  <si>
    <t>仮払金</t>
  </si>
  <si>
    <t>10.9%</t>
  </si>
  <si>
    <t>車両運搬具</t>
  </si>
  <si>
    <t>ソフトウェア</t>
  </si>
  <si>
    <t>-2.9%</t>
  </si>
  <si>
    <t>出資金</t>
  </si>
  <si>
    <t>長期前払費用</t>
  </si>
  <si>
    <t>-5.8%</t>
  </si>
  <si>
    <t>預託金</t>
  </si>
  <si>
    <t>役員借入金</t>
  </si>
  <si>
    <t>-0.5%</t>
  </si>
  <si>
    <t>未払金</t>
  </si>
  <si>
    <t>50.2%</t>
  </si>
  <si>
    <t>立替経費</t>
  </si>
  <si>
    <t>-17.1%</t>
  </si>
  <si>
    <t>JCBカード（API）</t>
  </si>
  <si>
    <t>-13.7%</t>
  </si>
  <si>
    <t>AirCARD　JCBカード</t>
  </si>
  <si>
    <t>未払法人税等</t>
  </si>
  <si>
    <t>未払消費税等</t>
  </si>
  <si>
    <t>-24.0%</t>
  </si>
  <si>
    <t>預り金</t>
  </si>
  <si>
    <t>55.8%</t>
  </si>
  <si>
    <t>長期借入金</t>
  </si>
  <si>
    <t>-0.2%</t>
  </si>
  <si>
    <t>長期未払金</t>
  </si>
  <si>
    <t>-22.2%</t>
  </si>
  <si>
    <t>資本金</t>
  </si>
  <si>
    <t>繰越利益剰余金</t>
  </si>
  <si>
    <t>損益計算書 月次推移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</si>
  <si>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</si>
  <si>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</si>
  <si>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</si>
  <si>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</si>
  <si>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</si>
  <si>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</si>
  <si>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</si>
  <si>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</si>
  <si>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</si>
  <si>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</si>
  <si>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</si>
  <si>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</si>
  <si>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累計</t>
  </si>
  <si>
    <t>売上原価 計</t>
  </si>
  <si>
    <t>売上総利益</t>
  </si>
  <si>
    <t xml:space="preserve">  役員報酬</t>
  </si>
  <si>
    <t xml:space="preserve">  給料手当</t>
  </si>
  <si>
    <t xml:space="preserve">  法定福利費</t>
  </si>
  <si>
    <t xml:space="preserve">  外注費</t>
  </si>
  <si>
    <t xml:space="preserve">  広告宣伝費</t>
  </si>
  <si>
    <t xml:space="preserve">  交際費</t>
  </si>
  <si>
    <t xml:space="preserve">  会議費</t>
  </si>
  <si>
    <t xml:space="preserve">  旅費交通費</t>
  </si>
  <si>
    <t xml:space="preserve">  通信費</t>
  </si>
  <si>
    <t xml:space="preserve">  消耗品費</t>
  </si>
  <si>
    <t xml:space="preserve">  水道光熱費</t>
  </si>
  <si>
    <t xml:space="preserve">  諸会費</t>
  </si>
  <si>
    <t xml:space="preserve">  支払手数料</t>
  </si>
  <si>
    <t xml:space="preserve">  車両費</t>
  </si>
  <si>
    <t xml:space="preserve">  地代家賃</t>
  </si>
  <si>
    <t xml:space="preserve">  リース料</t>
  </si>
  <si>
    <t xml:space="preserve">  保険料</t>
  </si>
  <si>
    <t xml:space="preserve">  租税公課</t>
  </si>
  <si>
    <t xml:space="preserve">  研修費</t>
  </si>
  <si>
    <t xml:space="preserve">  減価償却費</t>
  </si>
  <si>
    <t xml:space="preserve">  雑費</t>
  </si>
  <si>
    <t>販売管理費 計</t>
  </si>
  <si>
    <t>営業利益</t>
  </si>
  <si>
    <t xml:space="preserve">  受取利息</t>
  </si>
  <si>
    <t xml:space="preserve">  雑収入</t>
  </si>
  <si>
    <t>営業外収益 計</t>
  </si>
  <si>
    <t xml:space="preserve">  支払利息</t>
  </si>
  <si>
    <t>営業外費用 計</t>
  </si>
  <si>
    <t>経常利益</t>
  </si>
  <si>
    <t xml:space="preserve">  固定資産売却益</t>
  </si>
  <si>
    <t>特別利益 計</t>
  </si>
  <si>
    <t xml:space="preserve">  固定資産売却損</t>
  </si>
  <si>
    <t>特別損失 計</t>
  </si>
  <si>
    <t>税引前当期純利益</t>
  </si>
  <si>
    <t xml:space="preserve">  法人税・住民税及び事業税</t>
  </si>
  <si>
    <t>法人税等 計</t>
  </si>
  <si>
    <t>当期純利益</t>
  </si>
  <si>
    <t xml:space="preserve">  仕入高</t>
  </si>
  <si>
    <t>取引先名</t>
  </si>
  <si>
    <t>残高</t>
  </si>
  <si>
    <t>滞留判定</t>
  </si>
  <si>
    <t>株式会社山神産業</t>
  </si>
  <si>
    <t>木更津年金事務所</t>
  </si>
  <si>
    <t>医療法人社団　紺整会</t>
  </si>
  <si>
    <t>大山めぐみ</t>
  </si>
  <si>
    <t>学校法人山野学苑山野美容専門学校</t>
  </si>
  <si>
    <t>メディアファイブ株式会社</t>
  </si>
  <si>
    <t>鈴木みえこ</t>
  </si>
  <si>
    <t>滞留</t>
  </si>
  <si>
    <t>合同会社デルタ総合設備</t>
  </si>
  <si>
    <t>あしたの会計事務所</t>
  </si>
  <si>
    <t>目黒不動尊瀧泉寺</t>
  </si>
  <si>
    <t>只野文雄</t>
  </si>
  <si>
    <t>齋藤練吾</t>
  </si>
  <si>
    <t>オオモリヒロキ</t>
  </si>
  <si>
    <t>岩澤</t>
  </si>
  <si>
    <t>株式会社フラグネクサス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</si>
</sst>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7" borderId="1" xfId="0" applyNumberFormat="1" applyFont="1" applyFill="1" applyBorder="1" applyAlignment="1">
      <alignment horizontal="right"/>
    </xf>
    <xf numFmtId="3" fontId="2" fillId="6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3" fontId="13" fillId="0" borderId="1" xfId="0" applyNumberFormat="1" applyFont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  <xf numFmtId="0" fontId="3" fillId="12" borderId="1" xfId="0" applyFont="1" applyFill="1" applyBorder="1"/>
    <xf numFmtId="3" fontId="3" fillId="12" borderId="1" xfId="0" applyNumberFormat="1" applyFont="1" applyFill="1" applyBorder="1" applyAlignment="1">
      <alignment horizontal="right"/>
    </xf>
    <xf numFmtId="0" fontId="0" fillId="12" borderId="1" xfId="0" applyFill="1" applyBorder="1"/>
    <xf numFmtId="3" fontId="13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0%8F%E5%8F%A3%E7%8F%BE%E9%87%91&amp;start_date=2026-02-01&amp;end_date=2026-02-28" TargetMode="External"/><Relationship Id="rId2" Type="http://schemas.openxmlformats.org/officeDocument/2006/relationships/hyperlink" Target="https://secure.freee.co.jp/reports/general_ledgers/show?name=%E7%AB%8B%E6%9B%BF%E7%B5%8C%E8%B2%BB&amp;start_date=2025-03-01&amp;end_date=2026-02-28&amp;fiscal_year_id=9736324" TargetMode="External"/><Relationship Id="rId3" Type="http://schemas.openxmlformats.org/officeDocument/2006/relationships/hyperlink" Target="https://secure.freee.co.jp/reports/journals?start_date=2024-03-01&amp;end_date=2026-02-28&amp;name=%E7%B9%B0%E8%B6%8A%E5%88%A9%E7%9B%8A%E5%89%B0%E4%BD%99%E9%87%91" TargetMode="External"/><Relationship Id="rId4" Type="http://schemas.openxmlformats.org/officeDocument/2006/relationships/hyperlink" Target="https://secure.freee.co.jp/reports/general_ledgers/show?name=%E5%A3%B2%E4%B8%8A%E9%AB%98&amp;start_date=2026-02-01&amp;end_date=2026-02-28&amp;fiscal_year_id=9736324&amp;tax_group_codes=0" TargetMode="External"/><Relationship Id="rId5" Type="http://schemas.openxmlformats.org/officeDocument/2006/relationships/hyperlink" Target="https://secure.freee.co.jp/reports/journals?deal_id=3378053476" TargetMode="External"/><Relationship Id="rId6" Type="http://schemas.openxmlformats.org/officeDocument/2006/relationships/hyperlink" Target="https://secure.freee.co.jp/reports/journals?deal_id=3378051506" TargetMode="External"/><Relationship Id="rId7" Type="http://schemas.openxmlformats.org/officeDocument/2006/relationships/hyperlink" Target="https://secure.freee.co.jp/reports/journals?deal_id=3378047077" TargetMode="External"/><Relationship Id="rId8" Type="http://schemas.openxmlformats.org/officeDocument/2006/relationships/hyperlink" Target="https://secure.freee.co.jp/reports/journals?deal_id=3378045061" TargetMode="External"/><Relationship Id="rId9" Type="http://schemas.openxmlformats.org/officeDocument/2006/relationships/hyperlink" Target="https://secure.freee.co.jp/reports/journals?deal_id=3338160541" TargetMode="External"/><Relationship Id="rId10" Type="http://schemas.openxmlformats.org/officeDocument/2006/relationships/hyperlink" Target="https://secure.freee.co.jp/reports/journals?deal_id=3338160541" TargetMode="External"/><Relationship Id="rId11" Type="http://schemas.openxmlformats.org/officeDocument/2006/relationships/hyperlink" Target="https://secure.freee.co.jp/reports/journals?deal_id=3370135731" TargetMode="External"/><Relationship Id="rId12" Type="http://schemas.openxmlformats.org/officeDocument/2006/relationships/hyperlink" Target="https://secure.freee.co.jp/reports/journals?deal_id=3279195123" TargetMode="External"/><Relationship Id="rId13" Type="http://schemas.openxmlformats.org/officeDocument/2006/relationships/hyperlink" Target="https://secure.freee.co.jp/reports/journals?deal_id=3279193426" TargetMode="External"/><Relationship Id="rId14" Type="http://schemas.openxmlformats.org/officeDocument/2006/relationships/hyperlink" Target="https://secure.freee.co.jp/reports/journals?deal_id=3279191504" TargetMode="External"/><Relationship Id="rId15" Type="http://schemas.openxmlformats.org/officeDocument/2006/relationships/hyperlink" Target="https://secure.freee.co.jp/wallet_txns/stream?end_date=2026-02-28&amp;ignore_unsettle=true&amp;limit=100&amp;offset=0&amp;order=asc&amp;registration_auto_action=false&amp;registration_manual_action=false&amp;registration_no_action=false&amp;registration_status=unreconciled&amp;suggestion_type=all" TargetMode="External"/><Relationship Id="rId16" Type="http://schemas.openxmlformats.org/officeDocument/2006/relationships/hyperlink" Target="https://secure.freee.co.jp/reports/general_ledgers/show?name=%E5%8D%83%E8%91%89%EF%BC%88%E3%83%A1%E3%82%A4%E3%83%B3%EF%BC%89&amp;start_date=2026-02-01&amp;end_date=2026-02-28" TargetMode="External"/><Relationship Id="rId17" Type="http://schemas.openxmlformats.org/officeDocument/2006/relationships/hyperlink" Target="https://secure.freee.co.jp/reports/general_ledgers/show?name=%E4%BB%AE%E6%89%95%E9%87%91&amp;start_date=2026-02-01&amp;end_date=2026-02-28" TargetMode="External"/><Relationship Id="rId18" Type="http://schemas.openxmlformats.org/officeDocument/2006/relationships/hyperlink" Target="https://secure.freee.co.jp/reports/general_ledgers/show?name=%E6%9C%AA%E6%89%95%E6%B6%88%E8%B2%BB%E7%A8%8E%E7%AD%89&amp;start_date=2026-02-01&amp;end_date=2026-02-28" TargetMode="External"/><Relationship Id="rId19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20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21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22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23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24" Type="http://schemas.openxmlformats.org/officeDocument/2006/relationships/hyperlink" Target="https://secure.freee.co.jp/reports/general_ledgers/show?name=%E6%B3%95%E5%AE%9A%E7%A6%8F%E5%88%A9%E8%B2%BB&amp;start_date=2026-02-01&amp;end_date=2026-02-28" TargetMode="External"/><Relationship Id="rId25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26" Type="http://schemas.openxmlformats.org/officeDocument/2006/relationships/hyperlink" Target="https://secure.freee.co.jp/reports/general_ledgers/show?name=%E5%A3%B2%E6%8E%9B%E9%87%91&amp;start_date=2026-02-01&amp;end_date=2026-02-28" TargetMode="External"/><Relationship Id="rId27" Type="http://schemas.openxmlformats.org/officeDocument/2006/relationships/hyperlink" Target="https://secure.freee.co.jp/reports/general_ledgers/show?name=%E5%A3%B2%E6%8E%9B%E9%87%91&amp;start_date=2026-02-01&amp;end_date=2026-02-28" TargetMode="External"/><Relationship Id="rId28" Type="http://schemas.openxmlformats.org/officeDocument/2006/relationships/hyperlink" Target="https://secure.freee.co.jp/reports/general_ledgers/show?name=%E5%A3%B2%E6%8E%9B%E9%87%91&amp;start_date=2026-02-01&amp;end_date=2026-02-28" TargetMode="External"/><Relationship Id="rId29" Type="http://schemas.openxmlformats.org/officeDocument/2006/relationships/hyperlink" Target="https://secure.freee.co.jp/reports/general_ledgers/show?name=%E4%BB%95%E5%85%A5%E9%AB%98&amp;start_date=2026-02-01&amp;end_date=2026-02-28" TargetMode="External"/><Relationship Id="rId30" Type="http://schemas.openxmlformats.org/officeDocument/2006/relationships/hyperlink" Target="https://secure.freee.co.jp/reports/general_ledgers/show?name=%E5%A3%B2%E4%B8%8A%E5%8E%9F%E4%BE%A1&amp;start_date=2026-02-01&amp;end_date=2026-02-28" TargetMode="External"/><Relationship Id="rId31" Type="http://schemas.openxmlformats.org/officeDocument/2006/relationships/hyperlink" Target="https://secure.freee.co.jp/reports/general_ledgers/show?name=%E5%A4%96%E6%B3%A8%E8%B2%BB&amp;start_date=2026-02-01&amp;end_date=2026-02-28" TargetMode="External"/><Relationship Id="rId32" Type="http://schemas.openxmlformats.org/officeDocument/2006/relationships/hyperlink" Target="https://secure.freee.co.jp/reports/general_ledgers/show?name=%E6%9C%AA%E6%89%95%E9%87%91&amp;start_date=2026-02-01&amp;end_date=2026-02-28" TargetMode="External"/><Relationship Id="rId33" Type="http://schemas.openxmlformats.org/officeDocument/2006/relationships/hyperlink" Target="https://secure.freee.co.jp/reports/journals?start_date=2020-03-01&amp;end_date=2026-02-28&amp;name=%E7%9F%AD%E6%9C%9F%E8%B2%B8%E4%BB%98%E9%87%91" TargetMode="External"/><Relationship Id="rId34" Type="http://schemas.openxmlformats.org/officeDocument/2006/relationships/hyperlink" Target="https://secure.freee.co.jp/reports/journals?start_date=2020-03-01&amp;end_date=2026-02-28&amp;name=%E7%9F%AD%E6%9C%9F%E8%B2%B8%E4%BB%98%E9%87%91&amp;partner_id=47333239" TargetMode="External"/><Relationship Id="rId35" Type="http://schemas.openxmlformats.org/officeDocument/2006/relationships/hyperlink" Target="https://secure.freee.co.jp/reports/journals?start_date=2021-03-01&amp;end_date=2026-02-28&amp;name=%E5%87%BA%E8%B3%87%E9%87%91" TargetMode="External"/><Relationship Id="rId36" Type="http://schemas.openxmlformats.org/officeDocument/2006/relationships/hyperlink" Target="https://secure.freee.co.jp/reports/journals?start_date=2021-03-01&amp;end_date=2026-02-28&amp;name=%E5%87%BA%E8%B3%87%E9%87%91&amp;partner_id=56251011" TargetMode="External"/><Relationship Id="rId37" Type="http://schemas.openxmlformats.org/officeDocument/2006/relationships/hyperlink" Target="https://secure.freee.co.jp/reports/journals?start_date=2021-03-01&amp;end_date=2026-02-28&amp;name=%E9%A0%90%E8%A8%97%E9%87%91" TargetMode="External"/><Relationship Id="rId38" Type="http://schemas.openxmlformats.org/officeDocument/2006/relationships/hyperlink" Target="https://secure.freee.co.jp/reports/journals?start_date=2021-03-01&amp;end_date=2026-02-28&amp;name=%E9%A0%90%E8%A8%97%E9%87%91&amp;partner_id=47321720" TargetMode="External"/><Relationship Id="rId39" Type="http://schemas.openxmlformats.org/officeDocument/2006/relationships/hyperlink" Target="https://secure.freee.co.jp/reports/journals?start_date=2021-03-01&amp;end_date=2026-02-28&amp;name=%E9%A0%90%E8%A8%97%E9%87%91&amp;partner_id=114743810" TargetMode="External"/><Relationship Id="rId40" Type="http://schemas.openxmlformats.org/officeDocument/2006/relationships/hyperlink" Target="https://secure.freee.co.jp/reports/journals?start_date=2021-03-01&amp;end_date=2026-02-28&amp;name=%E9%A0%90%E8%A8%97%E9%87%91&amp;partner_id=114707205" TargetMode="External"/><Relationship Id="rId41" Type="http://schemas.openxmlformats.org/officeDocument/2006/relationships/hyperlink" Target="https://secure.freee.co.jp/reports/journals?start_date=2021-03-01&amp;end_date=2026-02-28&amp;name=%E9%A0%90%E8%A8%97%E9%87%91&amp;partner_id=60670192" TargetMode="External"/><Relationship Id="rId42" Type="http://schemas.openxmlformats.org/officeDocument/2006/relationships/hyperlink" Target="https://secure.freee.co.jp/reports/general_ledgers/show?name=%E4%BB%AE%E6%89%95%E9%87%91&amp;start_date=2025-03-01&amp;end_date=2026-02-28&amp;fiscal_year_id=9736324" TargetMode="External"/><Relationship Id="rId43" Type="http://schemas.openxmlformats.org/officeDocument/2006/relationships/hyperlink" Target="https://secure.freee.co.jp/reports/general_ledgers/show?name=%E4%BB%AE%E6%89%95%E9%87%91&amp;start_date=2025-03-01&amp;end_date=2026-02-28&amp;fiscal_year_id=9736324" TargetMode="External"/><Relationship Id="rId44" Type="http://schemas.openxmlformats.org/officeDocument/2006/relationships/hyperlink" Target="https://secure.freee.co.jp/reports/general_ledgers/show?name=%E4%BB%AE%E6%89%95%E9%87%91&amp;start_date=2025-03-01&amp;end_date=2026-02-28&amp;fiscal_year_id=9736324" TargetMode="External"/><Relationship Id="rId45" Type="http://schemas.openxmlformats.org/officeDocument/2006/relationships/hyperlink" Target="https://secure.freee.co.jp/reports/journals?deal_id=3445684526" TargetMode="External"/><Relationship Id="rId46" Type="http://schemas.openxmlformats.org/officeDocument/2006/relationships/hyperlink" Target="https://secure.freee.co.jp/reports/general_ledgers/show?name=%E5%8D%83%E8%91%89%EF%BC%88%E3%83%A1%E3%82%A4%E3%83%B3%EF%BC%89&amp;start_date=2026-02-01&amp;end_date=2026-02-28&amp;fiscal_year_id=9736324" TargetMode="External"/><Relationship Id="rId47" Type="http://schemas.openxmlformats.org/officeDocument/2006/relationships/hyperlink" Target="https://secure.freee.co.jp/reports/general_ledgers/show?name=%E8%BB%8A%E4%B8%A1%E9%81%8B%E6%90%AC%E5%85%B7&amp;start_date=2026-02-01&amp;end_date=2026-02-28&amp;fiscal_year_id=9736324" TargetMode="External"/><Relationship Id="rId48" Type="http://schemas.openxmlformats.org/officeDocument/2006/relationships/hyperlink" Target="https://secure.freee.co.jp/reports/general_ledgers/show?name=%E6%9C%AA%E6%89%95%E9%87%91&amp;start_date=2026-02-01&amp;end_date=2026-02-28&amp;fiscal_year_id=9736324" TargetMode="External"/><Relationship Id="rId49" Type="http://schemas.openxmlformats.org/officeDocument/2006/relationships/hyperlink" Target="https://secure.freee.co.jp/reports/journals?start_date=2025-03-01&amp;end_date=2026-02-28&amp;name=%E9%80%9A%E4%BF%A1%E8%B2%BB" TargetMode="External"/><Relationship Id="rId50" Type="http://schemas.openxmlformats.org/officeDocument/2006/relationships/hyperlink" Target="https://secure.freee.co.jp/reports/journals?start_date=2025-03-01&amp;end_date=2026-02-28&amp;name=%E3%83%AA%E3%83%BC%E3%82%B9%E6%96%99" TargetMode="External"/><Relationship Id="rId51" Type="http://schemas.openxmlformats.org/officeDocument/2006/relationships/hyperlink" Target="https://secure.freee.co.jp/reports/general_ledgers/show?name=%E6%94%AF%E6%89%95%E6%89%8B%E6%95%B0%E6%96%99&amp;start_date=2026-02-01&amp;end_date=2026-02-28&amp;fiscal_year_id=9736324" TargetMode="External"/><Relationship Id="rId52" Type="http://schemas.openxmlformats.org/officeDocument/2006/relationships/hyperlink" Target="https://secure.freee.co.jp/reports/general_ledgers/show?name=%E6%94%AF%E6%89%95%E6%89%8B%E6%95%B0%E6%96%99&amp;start_date=2026-02-01&amp;end_date=2026-02-28&amp;fiscal_year_id=9736324&amp;tax_group_codes=34&amp;tax_rate=10&amp;tax_reduced=false" TargetMode="External"/><Relationship Id="rId53" Type="http://schemas.openxmlformats.org/officeDocument/2006/relationships/hyperlink" Target="https://secure.freee.co.jp/reports/general_ledgers/show?name=%E6%94%AF%E6%89%95%E6%89%8B%E6%95%B0%E6%96%99&amp;start_date=2026-02-01&amp;end_date=2026-02-28&amp;fiscal_year_id=9736324&amp;tax_group_codes=37" TargetMode="External"/><Relationship Id="rId54" Type="http://schemas.openxmlformats.org/officeDocument/2006/relationships/hyperlink" Target="https://secure.freee.co.jp/reports/general_ledgers/show?name=%E5%A3%B2%E4%B8%8A%E9%AB%98&amp;start_date=2026-02-01&amp;end_date=2026-02-28&amp;fiscal_year_id=9736324" TargetMode="External"/><Relationship Id="rId55" Type="http://schemas.openxmlformats.org/officeDocument/2006/relationships/hyperlink" Target="https://secure.freee.co.jp/reports/general_ledgers/show?name=%E5%A3%B2%E4%B8%8A%E9%AB%98&amp;start_date=2026-02-01&amp;end_date=2026-02-28&amp;fiscal_year_id=9736324&amp;tax_group_codes=21&amp;tax_rate=10&amp;tax_reduced=false" TargetMode="External"/><Relationship Id="rId56" Type="http://schemas.openxmlformats.org/officeDocument/2006/relationships/hyperlink" Target="https://secure.freee.co.jp/reports/general_ledgers/show?name=%E5%A3%B2%E4%B8%8A%E9%AB%98&amp;start_date=2026-02-01&amp;end_date=2026-02-28&amp;fiscal_year_id=9736324&amp;tax_group_codes=0" TargetMode="External"/><Relationship Id="rId57" Type="http://schemas.openxmlformats.org/officeDocument/2006/relationships/hyperlink" Target="https://secure.freee.co.jp/reports/general_ledgers/show?name=%E6%94%AF%E6%89%95%E5%88%A9%E6%81%AF&amp;start_date=2026-02-01&amp;end_date=2026-02-28&amp;fiscal_year_id=9736324" TargetMode="External"/><Relationship Id="rId58" Type="http://schemas.openxmlformats.org/officeDocument/2006/relationships/hyperlink" Target="https://secure.freee.co.jp/reports/general_ledgers/show?name=%E6%94%AF%E6%89%95%E5%88%A9%E6%81%AF&amp;start_date=2026-02-01&amp;end_date=2026-02-28&amp;fiscal_year_id=9736324&amp;tax_group_codes=0" TargetMode="External"/><Relationship Id="rId59" Type="http://schemas.openxmlformats.org/officeDocument/2006/relationships/hyperlink" Target="https://secure.freee.co.jp/reports/general_ledgers/show?name=%E6%94%AF%E6%89%95%E5%88%A9%E6%81%AF&amp;start_date=2026-02-01&amp;end_date=2026-02-28&amp;fiscal_year_id=9736324&amp;tax_group_codes=37" TargetMode="External"/><Relationship Id="rId60" Type="http://schemas.openxmlformats.org/officeDocument/2006/relationships/hyperlink" Target="https://secure.freee.co.jp/reports/general_ledgers/show?name=%E5%9C%B0%E4%BB%A3%E5%AE%B6%E8%B3%83&amp;start_date=2026-02-01&amp;end_date=2026-02-28&amp;fiscal_year_id=9736324" TargetMode="External"/><Relationship Id="rId61" Type="http://schemas.openxmlformats.org/officeDocument/2006/relationships/hyperlink" Target="https://secure.freee.co.jp/reports/general_ledgers/show?name=%E5%9C%B0%E4%BB%A3%E5%AE%B6%E8%B3%83&amp;start_date=2026-02-01&amp;end_date=2026-02-28&amp;fiscal_year_id=9736324&amp;tax_group_codes=34&amp;tax_rate=10&amp;tax_reduced=false" TargetMode="External"/><Relationship Id="rId62" Type="http://schemas.openxmlformats.org/officeDocument/2006/relationships/hyperlink" Target="https://secure.freee.co.jp/reports/general_ledgers/show?name=%E5%9C%B0%E4%BB%A3%E5%AE%B6%E8%B3%83&amp;start_date=2026-02-01&amp;end_date=2026-02-28&amp;fiscal_year_id=9736324&amp;tax_group_codes=37" TargetMode="External"/><Relationship Id="rId63" Type="http://schemas.openxmlformats.org/officeDocument/2006/relationships/hyperlink" Target="https://secure.freee.co.jp/reports/journals?deal_id=3445627496" TargetMode="External"/><Relationship Id="rId64" Type="http://schemas.openxmlformats.org/officeDocument/2006/relationships/hyperlink" Target="https://secure.freee.co.jp/reports/journals?deal_id=3445624396" TargetMode="External"/><Relationship Id="rId65" Type="http://schemas.openxmlformats.org/officeDocument/2006/relationships/hyperlink" Target="https://secure.freee.co.jp/reports/journals?deal_id=3445616887" TargetMode="External"/><Relationship Id="rId66" Type="http://schemas.openxmlformats.org/officeDocument/2006/relationships/hyperlink" Target="https://secure.freee.co.jp/reports/general_ledgers/show?name=%E9%9B%91%E5%8F%8E%E5%85%A5&amp;start_date=2026-02-01&amp;end_date=2026-02-28" TargetMode="External"/><Relationship Id="rId67" Type="http://schemas.openxmlformats.org/officeDocument/2006/relationships/hyperlink" Target="https://secure.freee.co.jp/reports/general_ledgers/show?name=%E7%A7%9F%E7%A8%8E%E5%85%AC%E8%AA%B2&amp;start_date=2026-02-01&amp;end_date=2026-02-28" TargetMode="External"/><Relationship Id="rId68" Type="http://schemas.openxmlformats.org/officeDocument/2006/relationships/hyperlink" Target="https://secure.freee.co.jp/reports/general_ledgers/show?name=%E4%BA%A4%E9%9A%9B%E8%B2%BB&amp;start_date=2026-02-01&amp;end_date=2026-02-28" TargetMode="External"/><Relationship Id="rId69" Type="http://schemas.openxmlformats.org/officeDocument/2006/relationships/hyperlink" Target="https://secure.freee.co.jp/reports/general_ledgers/show?name=%E8%BB%8A%E4%B8%A1%E8%B2%BB&amp;start_date=2026-02-01&amp;end_date=2026-02-28" TargetMode="External"/><Relationship Id="rId70" Type="http://schemas.openxmlformats.org/officeDocument/2006/relationships/hyperlink" Target="https://secure.freee.co.jp/reports/journals?start_date=2025-03-01&amp;end_date=2026-02-28&amp;name=%E6%94%AF%E6%89%95%E6%89%8B%E6%95%B0%E6%96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A3%B2%E4%B8%8A%E9%AB%98&amp;start_date=2026-02-01&amp;end_date=2026-02-28&amp;fiscal_year_id=9736324&amp;tax_group_codes=0" TargetMode="External"/><Relationship Id="rId2" Type="http://schemas.openxmlformats.org/officeDocument/2006/relationships/hyperlink" Target="https://secure.freee.co.jp/reports/journals?deal_id=3378053476" TargetMode="External"/><Relationship Id="rId3" Type="http://schemas.openxmlformats.org/officeDocument/2006/relationships/hyperlink" Target="https://secure.freee.co.jp/reports/journals?deal_id=3378051506" TargetMode="External"/><Relationship Id="rId4" Type="http://schemas.openxmlformats.org/officeDocument/2006/relationships/hyperlink" Target="https://secure.freee.co.jp/reports/journals?deal_id=3378047077" TargetMode="External"/><Relationship Id="rId5" Type="http://schemas.openxmlformats.org/officeDocument/2006/relationships/hyperlink" Target="https://secure.freee.co.jp/reports/journals?deal_id=3378045061" TargetMode="External"/><Relationship Id="rId6" Type="http://schemas.openxmlformats.org/officeDocument/2006/relationships/hyperlink" Target="https://secure.freee.co.jp/reports/journals?deal_id=3338160541" TargetMode="External"/><Relationship Id="rId7" Type="http://schemas.openxmlformats.org/officeDocument/2006/relationships/hyperlink" Target="https://secure.freee.co.jp/reports/journals?deal_id=3338160541" TargetMode="External"/><Relationship Id="rId8" Type="http://schemas.openxmlformats.org/officeDocument/2006/relationships/hyperlink" Target="https://secure.freee.co.jp/reports/journals?deal_id=3370135731" TargetMode="External"/><Relationship Id="rId9" Type="http://schemas.openxmlformats.org/officeDocument/2006/relationships/hyperlink" Target="https://secure.freee.co.jp/reports/journals?deal_id=3279195123" TargetMode="External"/><Relationship Id="rId10" Type="http://schemas.openxmlformats.org/officeDocument/2006/relationships/hyperlink" Target="https://secure.freee.co.jp/reports/journals?deal_id=3279193426" TargetMode="External"/><Relationship Id="rId11" Type="http://schemas.openxmlformats.org/officeDocument/2006/relationships/hyperlink" Target="https://secure.freee.co.jp/reports/journals?deal_id=3279191504" TargetMode="External"/><Relationship Id="rId12" Type="http://schemas.openxmlformats.org/officeDocument/2006/relationships/hyperlink" Target="https://secure.freee.co.jp/reports/general_ledgers/show?name=%E6%94%AF%E6%89%95%E6%89%8B%E6%95%B0%E6%96%99&amp;start_date=2026-02-01&amp;end_date=2026-02-28&amp;fiscal_year_id=9736324" TargetMode="External"/><Relationship Id="rId13" Type="http://schemas.openxmlformats.org/officeDocument/2006/relationships/hyperlink" Target="https://secure.freee.co.jp/reports/general_ledgers/show?name=%E6%94%AF%E6%89%95%E6%89%8B%E6%95%B0%E6%96%99&amp;start_date=2026-02-01&amp;end_date=2026-02-28&amp;fiscal_year_id=9736324&amp;tax_group_codes=34&amp;tax_rate=10&amp;tax_reduced=false" TargetMode="External"/><Relationship Id="rId14" Type="http://schemas.openxmlformats.org/officeDocument/2006/relationships/hyperlink" Target="https://secure.freee.co.jp/reports/general_ledgers/show?name=%E6%94%AF%E6%89%95%E6%89%8B%E6%95%B0%E6%96%99&amp;start_date=2026-02-01&amp;end_date=2026-02-28&amp;fiscal_year_id=9736324&amp;tax_group_codes=37" TargetMode="External"/><Relationship Id="rId15" Type="http://schemas.openxmlformats.org/officeDocument/2006/relationships/hyperlink" Target="https://secure.freee.co.jp/reports/general_ledgers/show?name=%E5%A3%B2%E4%B8%8A%E9%AB%98&amp;start_date=2026-02-01&amp;end_date=2026-02-28&amp;fiscal_year_id=9736324" TargetMode="External"/><Relationship Id="rId16" Type="http://schemas.openxmlformats.org/officeDocument/2006/relationships/hyperlink" Target="https://secure.freee.co.jp/reports/general_ledgers/show?name=%E5%A3%B2%E4%B8%8A%E9%AB%98&amp;start_date=2026-02-01&amp;end_date=2026-02-28&amp;fiscal_year_id=9736324&amp;tax_group_codes=21&amp;tax_rate=10&amp;tax_reduced=false" TargetMode="External"/><Relationship Id="rId17" Type="http://schemas.openxmlformats.org/officeDocument/2006/relationships/hyperlink" Target="https://secure.freee.co.jp/reports/general_ledgers/show?name=%E5%A3%B2%E4%B8%8A%E9%AB%98&amp;start_date=2026-02-01&amp;end_date=2026-02-28&amp;fiscal_year_id=9736324&amp;tax_group_codes=0" TargetMode="External"/><Relationship Id="rId18" Type="http://schemas.openxmlformats.org/officeDocument/2006/relationships/hyperlink" Target="https://secure.freee.co.jp/reports/general_ledgers/show?name=%E6%94%AF%E6%89%95%E5%88%A9%E6%81%AF&amp;start_date=2026-02-01&amp;end_date=2026-02-28&amp;fiscal_year_id=9736324" TargetMode="External"/><Relationship Id="rId19" Type="http://schemas.openxmlformats.org/officeDocument/2006/relationships/hyperlink" Target="https://secure.freee.co.jp/reports/general_ledgers/show?name=%E6%94%AF%E6%89%95%E5%88%A9%E6%81%AF&amp;start_date=2026-02-01&amp;end_date=2026-02-28&amp;fiscal_year_id=9736324&amp;tax_group_codes=0" TargetMode="External"/><Relationship Id="rId20" Type="http://schemas.openxmlformats.org/officeDocument/2006/relationships/hyperlink" Target="https://secure.freee.co.jp/reports/general_ledgers/show?name=%E6%94%AF%E6%89%95%E5%88%A9%E6%81%AF&amp;start_date=2026-02-01&amp;end_date=2026-02-28&amp;fiscal_year_id=9736324&amp;tax_group_codes=37" TargetMode="External"/><Relationship Id="rId21" Type="http://schemas.openxmlformats.org/officeDocument/2006/relationships/hyperlink" Target="https://secure.freee.co.jp/reports/general_ledgers/show?name=%E5%9C%B0%E4%BB%A3%E5%AE%B6%E8%B3%83&amp;start_date=2026-02-01&amp;end_date=2026-02-28&amp;fiscal_year_id=9736324" TargetMode="External"/><Relationship Id="rId22" Type="http://schemas.openxmlformats.org/officeDocument/2006/relationships/hyperlink" Target="https://secure.freee.co.jp/reports/general_ledgers/show?name=%E5%9C%B0%E4%BB%A3%E5%AE%B6%E8%B3%83&amp;start_date=2026-02-01&amp;end_date=2026-02-28&amp;fiscal_year_id=9736324&amp;tax_group_codes=34&amp;tax_rate=10&amp;tax_reduced=false" TargetMode="External"/><Relationship Id="rId23" Type="http://schemas.openxmlformats.org/officeDocument/2006/relationships/hyperlink" Target="https://secure.freee.co.jp/reports/general_ledgers/show?name=%E5%9C%B0%E4%BB%A3%E5%AE%B6%E8%B3%83&amp;start_date=2026-02-01&amp;end_date=2026-02-28&amp;fiscal_year_id=9736324&amp;tax_group_codes=37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deal_id=3445627496" TargetMode="External"/><Relationship Id="rId2" Type="http://schemas.openxmlformats.org/officeDocument/2006/relationships/hyperlink" Target="https://secure.freee.co.jp/reports/journals?deal_id=3445624396" TargetMode="External"/><Relationship Id="rId3" Type="http://schemas.openxmlformats.org/officeDocument/2006/relationships/hyperlink" Target="https://secure.freee.co.jp/reports/journals?deal_id=3445616887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0%8F%E5%8F%A3%E7%8F%BE%E9%87%91&amp;start_date=2026-02-01&amp;end_date=2026-02-28" TargetMode="External"/><Relationship Id="rId2" Type="http://schemas.openxmlformats.org/officeDocument/2006/relationships/hyperlink" Target="https://secure.freee.co.jp/reports/general_ledgers/show?name=%E7%AB%8B%E6%9B%BF%E7%B5%8C%E8%B2%BB&amp;start_date=2025-03-01&amp;end_date=2026-02-28&amp;fiscal_year_id=9736324" TargetMode="External"/><Relationship Id="rId3" Type="http://schemas.openxmlformats.org/officeDocument/2006/relationships/hyperlink" Target="https://secure.freee.co.jp/reports/journals?start_date=2024-03-01&amp;end_date=2026-02-28&amp;name=%E7%B9%B0%E8%B6%8A%E5%88%A9%E7%9B%8A%E5%89%B0%E4%BD%99%E9%87%91" TargetMode="External"/><Relationship Id="rId4" Type="http://schemas.openxmlformats.org/officeDocument/2006/relationships/hyperlink" Target="https://secure.freee.co.jp/reports/general_ledgers/show?name=%E5%8D%83%E8%91%89%EF%BC%88%E3%83%A1%E3%82%A4%E3%83%B3%EF%BC%89&amp;start_date=2026-02-01&amp;end_date=2026-02-28" TargetMode="External"/><Relationship Id="rId5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6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7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8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9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10" Type="http://schemas.openxmlformats.org/officeDocument/2006/relationships/hyperlink" Target="https://secure.freee.co.jp/reports/journals?start_date=2020-03-01&amp;end_date=2026-02-28&amp;name=%E7%9F%AD%E6%9C%9F%E8%B2%B8%E4%BB%98%E9%87%91" TargetMode="External"/><Relationship Id="rId11" Type="http://schemas.openxmlformats.org/officeDocument/2006/relationships/hyperlink" Target="https://secure.freee.co.jp/reports/journals?start_date=2020-03-01&amp;end_date=2026-02-28&amp;name=%E7%9F%AD%E6%9C%9F%E8%B2%B8%E4%BB%98%E9%87%91&amp;partner_id=47333239" TargetMode="External"/><Relationship Id="rId12" Type="http://schemas.openxmlformats.org/officeDocument/2006/relationships/hyperlink" Target="https://secure.freee.co.jp/reports/journals?start_date=2021-03-01&amp;end_date=2026-02-28&amp;name=%E5%87%BA%E8%B3%87%E9%87%91" TargetMode="External"/><Relationship Id="rId13" Type="http://schemas.openxmlformats.org/officeDocument/2006/relationships/hyperlink" Target="https://secure.freee.co.jp/reports/journals?start_date=2021-03-01&amp;end_date=2026-02-28&amp;name=%E5%87%BA%E8%B3%87%E9%87%91&amp;partner_id=56251011" TargetMode="External"/><Relationship Id="rId14" Type="http://schemas.openxmlformats.org/officeDocument/2006/relationships/hyperlink" Target="https://secure.freee.co.jp/reports/journals?start_date=2021-03-01&amp;end_date=2026-02-28&amp;name=%E9%A0%90%E8%A8%97%E9%87%91" TargetMode="External"/><Relationship Id="rId15" Type="http://schemas.openxmlformats.org/officeDocument/2006/relationships/hyperlink" Target="https://secure.freee.co.jp/reports/journals?start_date=2021-03-01&amp;end_date=2026-02-28&amp;name=%E9%A0%90%E8%A8%97%E9%87%91&amp;partner_id=47321720" TargetMode="External"/><Relationship Id="rId16" Type="http://schemas.openxmlformats.org/officeDocument/2006/relationships/hyperlink" Target="https://secure.freee.co.jp/reports/journals?start_date=2021-03-01&amp;end_date=2026-02-28&amp;name=%E9%A0%90%E8%A8%97%E9%87%91&amp;partner_id=114743810" TargetMode="External"/><Relationship Id="rId17" Type="http://schemas.openxmlformats.org/officeDocument/2006/relationships/hyperlink" Target="https://secure.freee.co.jp/reports/journals?start_date=2021-03-01&amp;end_date=2026-02-28&amp;name=%E9%A0%90%E8%A8%97%E9%87%91&amp;partner_id=114707205" TargetMode="External"/><Relationship Id="rId18" Type="http://schemas.openxmlformats.org/officeDocument/2006/relationships/hyperlink" Target="https://secure.freee.co.jp/reports/journals?start_date=2021-03-01&amp;end_date=2026-02-28&amp;name=%E9%A0%90%E8%A8%97%E9%87%91&amp;partner_id=60670192" TargetMode="External"/><Relationship Id="rId19" Type="http://schemas.openxmlformats.org/officeDocument/2006/relationships/hyperlink" Target="https://secure.freee.co.jp/reports/general_ledgers/show?name=%E4%BB%AE%E6%89%95%E9%87%91&amp;start_date=2025-03-01&amp;end_date=2026-02-28&amp;fiscal_year_id=9736324" TargetMode="External"/><Relationship Id="rId20" Type="http://schemas.openxmlformats.org/officeDocument/2006/relationships/hyperlink" Target="https://secure.freee.co.jp/reports/general_ledgers/show?name=%E4%BB%AE%E6%89%95%E9%87%91&amp;start_date=2025-03-01&amp;end_date=2026-02-28&amp;fiscal_year_id=9736324" TargetMode="External"/><Relationship Id="rId21" Type="http://schemas.openxmlformats.org/officeDocument/2006/relationships/hyperlink" Target="https://secure.freee.co.jp/reports/general_ledgers/show?name=%E4%BB%AE%E6%89%95%E9%87%91&amp;start_date=2025-03-01&amp;end_date=2026-02-28&amp;fiscal_year_id=9736324" TargetMode="External"/><Relationship Id="rId22" Type="http://schemas.openxmlformats.org/officeDocument/2006/relationships/hyperlink" Target="https://secure.freee.co.jp/reports/journals?deal_id=3445684526" TargetMode="External"/><Relationship Id="rId23" Type="http://schemas.openxmlformats.org/officeDocument/2006/relationships/hyperlink" Target="https://secure.freee.co.jp/reports/general_ledgers/show?name=%E5%8D%83%E8%91%89%EF%BC%88%E3%83%A1%E3%82%A4%E3%83%B3%EF%BC%89&amp;start_date=2026-02-01&amp;end_date=2026-02-28&amp;fiscal_year_id=9736324" TargetMode="External"/><Relationship Id="rId24" Type="http://schemas.openxmlformats.org/officeDocument/2006/relationships/hyperlink" Target="https://secure.freee.co.jp/reports/general_ledgers/show?name=%E8%BB%8A%E4%B8%A1%E9%81%8B%E6%90%AC%E5%85%B7&amp;start_date=2026-02-01&amp;end_date=2026-02-28&amp;fiscal_year_id=9736324" TargetMode="External"/><Relationship Id="rId25" Type="http://schemas.openxmlformats.org/officeDocument/2006/relationships/hyperlink" Target="https://secure.freee.co.jp/reports/general_ledgers/show?name=%E6%9C%AA%E6%89%95%E9%87%91&amp;start_date=2026-02-01&amp;end_date=2026-02-28&amp;fiscal_year_id=973632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6%B3%95%E5%AE%9A%E7%A6%8F%E5%88%A9%E8%B2%BB&amp;start_date=2026-02-01&amp;end_date=2026-02-28" TargetMode="External"/><Relationship Id="rId2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3" Type="http://schemas.openxmlformats.org/officeDocument/2006/relationships/hyperlink" Target="https://secure.freee.co.jp/reports/general_ledgers/show?name=%E5%A3%B2%E6%8E%9B%E9%87%91&amp;start_date=2026-02-01&amp;end_date=2026-02-28" TargetMode="External"/><Relationship Id="rId4" Type="http://schemas.openxmlformats.org/officeDocument/2006/relationships/hyperlink" Target="https://secure.freee.co.jp/reports/general_ledgers/show?name=%E5%A3%B2%E6%8E%9B%E9%87%91&amp;start_date=2026-02-01&amp;end_date=2026-02-28" TargetMode="External"/><Relationship Id="rId5" Type="http://schemas.openxmlformats.org/officeDocument/2006/relationships/hyperlink" Target="https://secure.freee.co.jp/reports/general_ledgers/show?name=%E5%A3%B2%E6%8E%9B%E9%87%91&amp;start_date=2026-02-01&amp;end_date=2026-02-28" TargetMode="External"/><Relationship Id="rId6" Type="http://schemas.openxmlformats.org/officeDocument/2006/relationships/hyperlink" Target="https://secure.freee.co.jp/reports/general_ledgers/show?name=%E4%BB%95%E5%85%A5%E9%AB%98&amp;start_date=2026-02-01&amp;end_date=2026-02-28" TargetMode="External"/><Relationship Id="rId7" Type="http://schemas.openxmlformats.org/officeDocument/2006/relationships/hyperlink" Target="https://secure.freee.co.jp/reports/general_ledgers/show?name=%E5%A3%B2%E4%B8%8A%E5%8E%9F%E4%BE%A1&amp;start_date=2026-02-01&amp;end_date=2026-02-28" TargetMode="External"/><Relationship Id="rId8" Type="http://schemas.openxmlformats.org/officeDocument/2006/relationships/hyperlink" Target="https://secure.freee.co.jp/reports/general_ledgers/show?name=%E5%A4%96%E6%B3%A8%E8%B2%BB&amp;start_date=2026-02-01&amp;end_date=2026-02-28" TargetMode="External"/><Relationship Id="rId9" Type="http://schemas.openxmlformats.org/officeDocument/2006/relationships/hyperlink" Target="https://secure.freee.co.jp/reports/general_ledgers/show?name=%E6%9C%AA%E6%89%95%E9%87%91&amp;start_date=2026-02-01&amp;end_date=2026-02-28" TargetMode="External"/><Relationship Id="rId10" Type="http://schemas.openxmlformats.org/officeDocument/2006/relationships/hyperlink" Target="https://secure.freee.co.jp/reports/journals?start_date=2025-03-01&amp;end_date=2026-02-28&amp;name=%E9%80%9A%E4%BF%A1%E8%B2%BB" TargetMode="External"/><Relationship Id="rId11" Type="http://schemas.openxmlformats.org/officeDocument/2006/relationships/hyperlink" Target="https://secure.freee.co.jp/reports/journals?start_date=2025-03-01&amp;end_date=2026-02-28&amp;name=%E3%83%AA%E3%83%BC%E3%82%B9%E6%96%99" TargetMode="External"/><Relationship Id="rId12" Type="http://schemas.openxmlformats.org/officeDocument/2006/relationships/hyperlink" Target="https://secure.freee.co.jp/reports/general_ledgers/show?name=%E7%A7%9F%E7%A8%8E%E5%85%AC%E8%AA%B2&amp;start_date=2026-02-01&amp;end_date=2026-02-28" TargetMode="External"/><Relationship Id="rId13" Type="http://schemas.openxmlformats.org/officeDocument/2006/relationships/hyperlink" Target="https://secure.freee.co.jp/reports/general_ledgers/show?name=%E4%BA%A4%E9%9A%9B%E8%B2%BB&amp;start_date=2026-02-01&amp;end_date=2026-02-28" TargetMode="External"/><Relationship Id="rId14" Type="http://schemas.openxmlformats.org/officeDocument/2006/relationships/hyperlink" Target="https://secure.freee.co.jp/reports/general_ledgers/show?name=%E8%BB%8A%E4%B8%A1%E8%B2%BB&amp;start_date=2026-02-01&amp;end_date=2026-02-28" TargetMode="External"/><Relationship Id="rId15" Type="http://schemas.openxmlformats.org/officeDocument/2006/relationships/hyperlink" Target="https://secure.freee.co.jp/reports/journals?start_date=2025-03-01&amp;end_date=2026-02-28&amp;name=%E6%94%AF%E6%89%95%E6%89%8B%E6%95%B0%E6%96%99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wallet_txns/stream?end_date=2026-02-28&amp;ignore_unsettle=true&amp;limit=100&amp;offset=0&amp;order=asc&amp;registration_auto_action=false&amp;registration_manual_action=false&amp;registration_no_action=false&amp;registration_status=unreconciled&amp;suggestion_type=all" TargetMode="External"/><Relationship Id="rId2" Type="http://schemas.openxmlformats.org/officeDocument/2006/relationships/hyperlink" Target="https://secure.freee.co.jp/reports/general_ledgers/show?name=%E4%BB%AE%E6%89%95%E9%87%91&amp;start_date=2026-02-01&amp;end_date=2026-02-28" TargetMode="External"/><Relationship Id="rId3" Type="http://schemas.openxmlformats.org/officeDocument/2006/relationships/hyperlink" Target="https://secure.freee.co.jp/reports/general_ledgers/show?name=%E6%9C%AA%E6%89%95%E6%B6%88%E8%B2%BB%E7%A8%8E%E7%AD%89&amp;start_date=2026-02-01&amp;end_date=2026-02-28" TargetMode="External"/><Relationship Id="rId4" Type="http://schemas.openxmlformats.org/officeDocument/2006/relationships/hyperlink" Target="https://secure.freee.co.jp/reports/general_ledgers/show?name=%E9%9B%91%E5%8F%8E%E5%85%A5&amp;start_date=2026-02-01&amp;end_date=2026-02-28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start_date=2024-03-01&amp;end_date=2026-02-28&amp;name=%E7%8F%BE%E9%87%91" TargetMode="External"/><Relationship Id="rId2" Type="http://schemas.openxmlformats.org/officeDocument/2006/relationships/hyperlink" Target="https://secure.freee.co.jp/reports/general_ledgers/show?name=%E5%B0%8F%E5%8F%A3%E7%8F%BE%E9%87%91&amp;start_date=2025-03-01&amp;end_date=2026-02-28&amp;fiscal_year_id=9736324" TargetMode="External"/><Relationship Id="rId3" Type="http://schemas.openxmlformats.org/officeDocument/2006/relationships/hyperlink" Target="https://secure.freee.co.jp/reports/general_ledgers/show?name=%E5%8D%83%E8%91%89%EF%BC%88%E3%83%A1%E3%82%A4%E3%83%B3%EF%BC%89&amp;start_date=2025-03-01&amp;end_date=2026-02-28&amp;fiscal_year_id=9736324" TargetMode="External"/><Relationship Id="rId4" Type="http://schemas.openxmlformats.org/officeDocument/2006/relationships/hyperlink" Target="https://secure.freee.co.jp/reports/general_ledgers/show?name=%E5%8D%83%E8%91%89%EF%BC%88%E3%82%B5%E3%83%96%EF%BC%89&amp;start_date=2025-03-01&amp;end_date=2026-02-28&amp;fiscal_year_id=9736324" TargetMode="External"/><Relationship Id="rId5" Type="http://schemas.openxmlformats.org/officeDocument/2006/relationships/hyperlink" Target="https://secure.freee.co.jp/reports/general_ledgers/show?name=%E5%8D%83%E8%91%89%E4%BF%A1%E9%87%91%EF%BC%88%E6%B3%95%E4%BA%BA%EF%BC%89%EF%BC%88API%EF%BC%89&amp;start_date=2025-03-01&amp;end_date=2026-02-28&amp;fiscal_year_id=9736324" TargetMode="External"/><Relationship Id="rId6" Type="http://schemas.openxmlformats.org/officeDocument/2006/relationships/hyperlink" Target="https://secure.freee.co.jp/reports/general_ledgers/show?name=%E5%A3%B2%E6%8E%9B%E9%87%91&amp;start_date=2025-03-01&amp;end_date=2026-02-28&amp;fiscal_year_id=9736324" TargetMode="External"/><Relationship Id="rId7" Type="http://schemas.openxmlformats.org/officeDocument/2006/relationships/hyperlink" Target="https://secure.freee.co.jp/reports/journals?start_date=2024-03-01&amp;end_date=2026-02-28&amp;name=%E5%89%8D%E6%B8%A1%E9%87%91" TargetMode="External"/><Relationship Id="rId8" Type="http://schemas.openxmlformats.org/officeDocument/2006/relationships/hyperlink" Target="https://secure.freee.co.jp/reports/general_ledgers/show?name=%E5%89%8D%E6%89%95%E8%B2%BB%E7%94%A8&amp;start_date=2025-03-01&amp;end_date=2026-02-28&amp;fiscal_year_id=9736324" TargetMode="External"/><Relationship Id="rId9" Type="http://schemas.openxmlformats.org/officeDocument/2006/relationships/hyperlink" Target="https://secure.freee.co.jp/reports/journals?start_date=2020-03-01&amp;end_date=2026-02-28&amp;name=%E7%9F%AD%E6%9C%9F%E8%B2%B8%E4%BB%98%E9%87%91" TargetMode="External"/><Relationship Id="rId10" Type="http://schemas.openxmlformats.org/officeDocument/2006/relationships/hyperlink" Target="https://secure.freee.co.jp/reports/general_ledgers/show?name=%E6%9C%AA%E5%8F%8E%E5%85%A5%E9%87%91&amp;start_date=2025-03-01&amp;end_date=2026-02-28&amp;fiscal_year_id=9736324" TargetMode="External"/><Relationship Id="rId11" Type="http://schemas.openxmlformats.org/officeDocument/2006/relationships/hyperlink" Target="https://secure.freee.co.jp/reports/general_ledgers/show?name=%E4%BB%AE%E6%89%95%E9%87%91&amp;start_date=2025-03-01&amp;end_date=2026-02-28&amp;fiscal_year_id=9736324" TargetMode="External"/><Relationship Id="rId12" Type="http://schemas.openxmlformats.org/officeDocument/2006/relationships/hyperlink" Target="https://secure.freee.co.jp/reports/general_ledgers/show?name=%E8%BB%8A%E4%B8%A1%E9%81%8B%E6%90%AC%E5%85%B7&amp;start_date=2025-03-01&amp;end_date=2026-02-28&amp;fiscal_year_id=9736324" TargetMode="External"/><Relationship Id="rId13" Type="http://schemas.openxmlformats.org/officeDocument/2006/relationships/hyperlink" Target="https://secure.freee.co.jp/reports/general_ledgers/show?name=%E3%82%BD%E3%83%95%E3%83%88%E3%82%A6%E3%82%A7%E3%82%A2&amp;start_date=2025-03-01&amp;end_date=2026-02-28&amp;fiscal_year_id=9736324" TargetMode="External"/><Relationship Id="rId14" Type="http://schemas.openxmlformats.org/officeDocument/2006/relationships/hyperlink" Target="https://secure.freee.co.jp/reports/journals?start_date=2021-03-01&amp;end_date=2026-02-28&amp;name=%E5%87%BA%E8%B3%87%E9%87%91" TargetMode="External"/><Relationship Id="rId15" Type="http://schemas.openxmlformats.org/officeDocument/2006/relationships/hyperlink" Target="https://secure.freee.co.jp/reports/general_ledgers/show?name=%E9%95%B7%E6%9C%9F%E5%89%8D%E6%89%95%E8%B2%BB%E7%94%A8&amp;start_date=2025-03-01&amp;end_date=2026-02-28&amp;fiscal_year_id=9736324" TargetMode="External"/><Relationship Id="rId16" Type="http://schemas.openxmlformats.org/officeDocument/2006/relationships/hyperlink" Target="https://secure.freee.co.jp/reports/journals?start_date=2021-03-01&amp;end_date=2026-02-28&amp;name=%E9%A0%90%E8%A8%97%E9%87%91" TargetMode="External"/><Relationship Id="rId17" Type="http://schemas.openxmlformats.org/officeDocument/2006/relationships/hyperlink" Target="https://secure.freee.co.jp/reports/general_ledgers/show?name=%E5%BD%B9%E5%93%A1%E5%80%9F%E5%85%A5%E9%87%91&amp;start_date=2025-03-01&amp;end_date=2026-02-28&amp;fiscal_year_id=9736324" TargetMode="External"/><Relationship Id="rId18" Type="http://schemas.openxmlformats.org/officeDocument/2006/relationships/hyperlink" Target="https://secure.freee.co.jp/reports/general_ledgers/show?name=%E6%9C%AA%E6%89%95%E9%87%91&amp;start_date=2025-03-01&amp;end_date=2026-02-28&amp;fiscal_year_id=9736324" TargetMode="External"/><Relationship Id="rId19" Type="http://schemas.openxmlformats.org/officeDocument/2006/relationships/hyperlink" Target="https://secure.freee.co.jp/reports/general_ledgers/show?name=%E7%AB%8B%E6%9B%BF%E7%B5%8C%E8%B2%BB&amp;start_date=2025-03-01&amp;end_date=2026-02-28&amp;fiscal_year_id=9736324" TargetMode="External"/><Relationship Id="rId20" Type="http://schemas.openxmlformats.org/officeDocument/2006/relationships/hyperlink" Target="https://secure.freee.co.jp/reports/general_ledgers/show?name=JCB%E3%82%AB%E3%83%BC%E3%83%89%EF%BC%88API%EF%BC%89&amp;start_date=2025-03-01&amp;end_date=2026-02-28&amp;fiscal_year_id=9736324" TargetMode="External"/><Relationship Id="rId21" Type="http://schemas.openxmlformats.org/officeDocument/2006/relationships/hyperlink" Target="https://secure.freee.co.jp/reports/general_ledgers/show?name=AirCARD%E3%80%80JCB%E3%82%AB%E3%83%BC%E3%83%89&amp;start_date=2025-03-01&amp;end_date=2026-02-28&amp;fiscal_year_id=9736324" TargetMode="External"/><Relationship Id="rId22" Type="http://schemas.openxmlformats.org/officeDocument/2006/relationships/hyperlink" Target="https://secure.freee.co.jp/reports/journals?start_date=2024-03-01&amp;end_date=2026-02-28&amp;name=%E6%9C%AA%E6%89%95%E6%B3%95%E4%BA%BA%E7%A8%8E%E7%AD%89" TargetMode="External"/><Relationship Id="rId23" Type="http://schemas.openxmlformats.org/officeDocument/2006/relationships/hyperlink" Target="https://secure.freee.co.jp/reports/general_ledgers/show?name=%E6%9C%AA%E6%89%95%E6%B6%88%E8%B2%BB%E7%A8%8E%E7%AD%89&amp;start_date=2025-03-01&amp;end_date=2026-02-28&amp;fiscal_year_id=9736324" TargetMode="External"/><Relationship Id="rId24" Type="http://schemas.openxmlformats.org/officeDocument/2006/relationships/hyperlink" Target="https://secure.freee.co.jp/reports/general_ledgers/show?name=%E9%A0%90%E3%82%8A%E9%87%91&amp;start_date=2025-03-01&amp;end_date=2026-02-28&amp;fiscal_year_id=9736324" TargetMode="External"/><Relationship Id="rId25" Type="http://schemas.openxmlformats.org/officeDocument/2006/relationships/hyperlink" Target="https://secure.freee.co.jp/reports/general_ledgers/show?name=%E9%95%B7%E6%9C%9F%E5%80%9F%E5%85%A5%E9%87%91&amp;start_date=2025-03-01&amp;end_date=2026-02-28&amp;fiscal_year_id=9736324" TargetMode="External"/><Relationship Id="rId26" Type="http://schemas.openxmlformats.org/officeDocument/2006/relationships/hyperlink" Target="https://secure.freee.co.jp/reports/general_ledgers/show?name=%E9%95%B7%E6%9C%9F%E6%9C%AA%E6%89%95%E9%87%91&amp;start_date=2025-03-01&amp;end_date=2026-02-28&amp;fiscal_year_id=9736324" TargetMode="External"/><Relationship Id="rId27" Type="http://schemas.openxmlformats.org/officeDocument/2006/relationships/hyperlink" Target="https://secure.freee.co.jp/reports/journals?start_date=2020-03-01&amp;end_date=2026-02-28&amp;name=%E8%B3%87%E6%9C%AC%E9%87%91" TargetMode="External"/><Relationship Id="rId28" Type="http://schemas.openxmlformats.org/officeDocument/2006/relationships/hyperlink" Target="https://secure.freee.co.jp/reports/journals?start_date=2024-03-01&amp;end_date=2026-02-28&amp;name=%E7%B9%B0%E8%B6%8A%E5%88%A9%E7%9B%8A%E5%89%B0%E4%BD%99%E9%87%9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5-03-01&amp;end_date=2026-02-28&amp;fiscal_year_id=9736324" TargetMode="External"/><Relationship Id="rId2" Type="http://schemas.openxmlformats.org/officeDocument/2006/relationships/hyperlink" Target="https://secure.freee.co.jp/reports/general_ledgers/show?name=%E7%B5%A6%E6%96%99%E6%89%8B%E5%BD%93&amp;start_date=2025-03-01&amp;end_date=2026-02-28&amp;fiscal_year_id=9736324" TargetMode="External"/><Relationship Id="rId3" Type="http://schemas.openxmlformats.org/officeDocument/2006/relationships/hyperlink" Target="https://secure.freee.co.jp/reports/general_ledgers/show?name=%E6%B3%95%E5%AE%9A%E7%A6%8F%E5%88%A9%E8%B2%BB&amp;start_date=2025-03-01&amp;end_date=2026-02-28&amp;fiscal_year_id=9736324" TargetMode="External"/><Relationship Id="rId4" Type="http://schemas.openxmlformats.org/officeDocument/2006/relationships/hyperlink" Target="https://secure.freee.co.jp/reports/general_ledgers/show?name=%E5%A4%96%E6%B3%A8%E8%B2%BB&amp;start_date=2025-03-01&amp;end_date=2026-02-28&amp;fiscal_year_id=9736324" TargetMode="External"/><Relationship Id="rId5" Type="http://schemas.openxmlformats.org/officeDocument/2006/relationships/hyperlink" Target="https://secure.freee.co.jp/reports/general_ledgers/show?name=%E5%BA%83%E5%91%8A%E5%AE%A3%E4%BC%9D%E8%B2%BB&amp;start_date=2025-03-01&amp;end_date=2026-02-28&amp;fiscal_year_id=9736324" TargetMode="External"/><Relationship Id="rId6" Type="http://schemas.openxmlformats.org/officeDocument/2006/relationships/hyperlink" Target="https://secure.freee.co.jp/reports/general_ledgers/show?name=%E4%BA%A4%E9%9A%9B%E8%B2%BB&amp;start_date=2025-03-01&amp;end_date=2026-02-28&amp;fiscal_year_id=9736324" TargetMode="External"/><Relationship Id="rId7" Type="http://schemas.openxmlformats.org/officeDocument/2006/relationships/hyperlink" Target="https://secure.freee.co.jp/reports/general_ledgers/show?name=%E4%BC%9A%E8%AD%B0%E8%B2%BB&amp;start_date=2025-03-01&amp;end_date=2026-02-28&amp;fiscal_year_id=9736324" TargetMode="External"/><Relationship Id="rId8" Type="http://schemas.openxmlformats.org/officeDocument/2006/relationships/hyperlink" Target="https://secure.freee.co.jp/reports/general_ledgers/show?name=%E6%97%85%E8%B2%BB%E4%BA%A4%E9%80%9A%E8%B2%BB&amp;start_date=2025-03-01&amp;end_date=2026-02-28&amp;fiscal_year_id=9736324" TargetMode="External"/><Relationship Id="rId9" Type="http://schemas.openxmlformats.org/officeDocument/2006/relationships/hyperlink" Target="https://secure.freee.co.jp/reports/general_ledgers/show?name=%E9%80%9A%E4%BF%A1%E8%B2%BB&amp;start_date=2025-03-01&amp;end_date=2026-02-28&amp;fiscal_year_id=9736324" TargetMode="External"/><Relationship Id="rId10" Type="http://schemas.openxmlformats.org/officeDocument/2006/relationships/hyperlink" Target="https://secure.freee.co.jp/reports/general_ledgers/show?name=%E6%B6%88%E8%80%97%E5%93%81%E8%B2%BB&amp;start_date=2025-03-01&amp;end_date=2026-02-28&amp;fiscal_year_id=9736324" TargetMode="External"/><Relationship Id="rId11" Type="http://schemas.openxmlformats.org/officeDocument/2006/relationships/hyperlink" Target="https://secure.freee.co.jp/reports/general_ledgers/show?name=%E6%B0%B4%E9%81%93%E5%85%89%E7%86%B1%E8%B2%BB&amp;start_date=2025-03-01&amp;end_date=2026-02-28&amp;fiscal_year_id=9736324" TargetMode="External"/><Relationship Id="rId12" Type="http://schemas.openxmlformats.org/officeDocument/2006/relationships/hyperlink" Target="https://secure.freee.co.jp/reports/general_ledgers/show?name=%E8%AB%B8%E4%BC%9A%E8%B2%BB&amp;start_date=2025-03-01&amp;end_date=2026-02-28&amp;fiscal_year_id=9736324" TargetMode="External"/><Relationship Id="rId13" Type="http://schemas.openxmlformats.org/officeDocument/2006/relationships/hyperlink" Target="https://secure.freee.co.jp/reports/general_ledgers/show?name=%E6%94%AF%E6%89%95%E6%89%8B%E6%95%B0%E6%96%99&amp;start_date=2025-03-01&amp;end_date=2026-02-28&amp;fiscal_year_id=9736324" TargetMode="External"/><Relationship Id="rId14" Type="http://schemas.openxmlformats.org/officeDocument/2006/relationships/hyperlink" Target="https://secure.freee.co.jp/reports/general_ledgers/show?name=%E8%BB%8A%E4%B8%A1%E8%B2%BB&amp;start_date=2025-03-01&amp;end_date=2026-02-28&amp;fiscal_year_id=9736324" TargetMode="External"/><Relationship Id="rId15" Type="http://schemas.openxmlformats.org/officeDocument/2006/relationships/hyperlink" Target="https://secure.freee.co.jp/reports/general_ledgers/show?name=%E5%9C%B0%E4%BB%A3%E5%AE%B6%E8%B3%83&amp;start_date=2025-03-01&amp;end_date=2026-02-28&amp;fiscal_year_id=9736324" TargetMode="External"/><Relationship Id="rId16" Type="http://schemas.openxmlformats.org/officeDocument/2006/relationships/hyperlink" Target="https://secure.freee.co.jp/reports/general_ledgers/show?name=%E3%83%AA%E3%83%BC%E3%82%B9%E6%96%99&amp;start_date=2025-03-01&amp;end_date=2026-02-28&amp;fiscal_year_id=9736324" TargetMode="External"/><Relationship Id="rId17" Type="http://schemas.openxmlformats.org/officeDocument/2006/relationships/hyperlink" Target="https://secure.freee.co.jp/reports/general_ledgers/show?name=%E4%BF%9D%E9%99%BA%E6%96%99&amp;start_date=2025-03-01&amp;end_date=2026-02-28&amp;fiscal_year_id=9736324" TargetMode="External"/><Relationship Id="rId18" Type="http://schemas.openxmlformats.org/officeDocument/2006/relationships/hyperlink" Target="https://secure.freee.co.jp/reports/general_ledgers/show?name=%E7%A7%9F%E7%A8%8E%E5%85%AC%E8%AA%B2&amp;start_date=2025-03-01&amp;end_date=2026-02-28&amp;fiscal_year_id=9736324" TargetMode="External"/><Relationship Id="rId19" Type="http://schemas.openxmlformats.org/officeDocument/2006/relationships/hyperlink" Target="https://secure.freee.co.jp/reports/general_ledgers/show?name=%E7%A0%94%E4%BF%AE%E8%B2%BB&amp;start_date=2025-03-01&amp;end_date=2026-02-28&amp;fiscal_year_id=9736324" TargetMode="External"/><Relationship Id="rId20" Type="http://schemas.openxmlformats.org/officeDocument/2006/relationships/hyperlink" Target="https://secure.freee.co.jp/reports/general_ledgers/show?name=%E6%B8%9B%E4%BE%A1%E5%84%9F%E5%8D%B4%E8%B2%BB&amp;start_date=2025-03-01&amp;end_date=2026-02-28&amp;fiscal_year_id=9736324" TargetMode="External"/><Relationship Id="rId21" Type="http://schemas.openxmlformats.org/officeDocument/2006/relationships/hyperlink" Target="https://secure.freee.co.jp/reports/general_ledgers/show?name=%E9%9B%91%E8%B2%BB&amp;start_date=2025-03-01&amp;end_date=2026-02-28&amp;fiscal_year_id=9736324" TargetMode="External"/><Relationship Id="rId22" Type="http://schemas.openxmlformats.org/officeDocument/2006/relationships/hyperlink" Target="https://secure.freee.co.jp/reports/general_ledgers/show?name=%E5%8F%97%E5%8F%96%E5%88%A9%E6%81%AF&amp;start_date=2025-03-01&amp;end_date=2026-02-28&amp;fiscal_year_id=9736324" TargetMode="External"/><Relationship Id="rId23" Type="http://schemas.openxmlformats.org/officeDocument/2006/relationships/hyperlink" Target="https://secure.freee.co.jp/reports/general_ledgers/show?name=%E9%9B%91%E5%8F%8E%E5%85%A5&amp;start_date=2025-03-01&amp;end_date=2026-02-28&amp;fiscal_year_id=9736324" TargetMode="External"/><Relationship Id="rId24" Type="http://schemas.openxmlformats.org/officeDocument/2006/relationships/hyperlink" Target="https://secure.freee.co.jp/reports/general_ledgers/show?name=%E6%94%AF%E6%89%95%E5%88%A9%E6%81%AF&amp;start_date=2025-03-01&amp;end_date=2026-02-28&amp;fiscal_year_id=9736324" TargetMode="External"/><Relationship Id="rId25" Type="http://schemas.openxmlformats.org/officeDocument/2006/relationships/hyperlink" Target="https://secure.freee.co.jp/reports/general_ledgers/show?name=%E5%9B%BA%E5%AE%9A%E8%B3%87%E7%94%A3%E5%A3%B2%E5%8D%B4%E7%9B%8A&amp;start_date=2025-03-01&amp;end_date=2026-02-28&amp;fiscal_year_id=9736324" TargetMode="External"/><Relationship Id="rId26" Type="http://schemas.openxmlformats.org/officeDocument/2006/relationships/hyperlink" Target="https://secure.freee.co.jp/reports/general_ledgers/show?name=%E5%9B%BA%E5%AE%9A%E8%B3%87%E7%94%A3%E5%A3%B2%E5%8D%B4%E6%90%8D&amp;start_date=2025-03-01&amp;end_date=2026-02-28&amp;fiscal_year_id=9736324" TargetMode="External"/><Relationship Id="rId27" Type="http://schemas.openxmlformats.org/officeDocument/2006/relationships/hyperlink" Target="https://secure.freee.co.jp/reports/general_ledgers/show?name=%E6%B3%95%E4%BA%BA%E7%A8%8E%E3%83%BB%E4%BD%8F%E6%B0%91%E7%A8%8E%E5%8F%8A%E3%81%B3%E4%BA%8B%E6%A5%AD%E7%A8%8E&amp;start_date=2025-03-01&amp;end_date=2026-02-28&amp;fiscal_year_id=9736324" TargetMode="External"/><Relationship Id="rId28" Type="http://schemas.openxmlformats.org/officeDocument/2006/relationships/hyperlink" Target="https://secure.freee.co.jp/reports/general_ledgers/show?name=%E4%BB%95%E5%85%A5%E9%AB%98&amp;start_date=2025-03-01&amp;end_date=2026-02-28&amp;fiscal_year_id=97363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4</v>
      </c>
      <c r="C9" s="8">
        <v>34</v>
      </c>
      <c r="D9" s="9">
        <v>7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>
        <v>1</v>
      </c>
      <c r="C14" s="11">
        <v>4</v>
      </c>
      <c r="D14" s="11" t="s">
        <v>18</v>
      </c>
      <c r="E14" s="11">
        <v>5</v>
      </c>
    </row>
    <row r="15" spans="1:5" x14ac:dyDescent="0.25">
      <c r="A15" s="10" t="s">
        <v>19</v>
      </c>
      <c r="B15" s="11" t="s">
        <v>18</v>
      </c>
      <c r="C15" s="11">
        <v>1</v>
      </c>
      <c r="D15" s="11" t="s">
        <v>18</v>
      </c>
      <c r="E15" s="11">
        <v>1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>
        <v>3</v>
      </c>
      <c r="C17" s="11">
        <v>13</v>
      </c>
      <c r="D17" s="11" t="s">
        <v>18</v>
      </c>
      <c r="E17" s="11">
        <v>16</v>
      </c>
    </row>
    <row r="18" spans="1:5" x14ac:dyDescent="0.25">
      <c r="A18" s="10" t="s">
        <v>22</v>
      </c>
      <c r="B18" s="11" t="s">
        <v>18</v>
      </c>
      <c r="C18" s="11">
        <v>12</v>
      </c>
      <c r="D18" s="11">
        <v>5</v>
      </c>
      <c r="E18" s="11">
        <v>17</v>
      </c>
    </row>
    <row r="19" spans="1:5" x14ac:dyDescent="0.25">
      <c r="A19" s="10" t="s">
        <v>23</v>
      </c>
      <c r="B19" s="11" t="s">
        <v>18</v>
      </c>
      <c r="C19" s="11">
        <v>4</v>
      </c>
      <c r="D19" s="11">
        <v>2</v>
      </c>
      <c r="E19" s="11">
        <v>6</v>
      </c>
    </row>
    <row r="20" spans="1:5" x14ac:dyDescent="0.25">
      <c r="A20" s="12" t="s">
        <v>16</v>
      </c>
      <c r="B20" s="13">
        <v>4</v>
      </c>
      <c r="C20" s="13">
        <v>34</v>
      </c>
      <c r="D20" s="13">
        <v>7</v>
      </c>
      <c r="E20" s="13">
        <v>45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4" t="s">
        <v>31</v>
      </c>
      <c r="B26" s="14" t="s">
        <v>32</v>
      </c>
      <c r="C26" s="15" t="s">
        <v>30</v>
      </c>
      <c r="D26" s="15">
        <v>1</v>
      </c>
    </row>
    <row r="27" spans="1:4" x14ac:dyDescent="0.25">
      <c r="A27" s="10" t="s">
        <v>33</v>
      </c>
      <c r="B27" s="10" t="s">
        <v>34</v>
      </c>
      <c r="C27" s="11" t="s">
        <v>35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35</v>
      </c>
      <c r="D28" s="11">
        <v>0</v>
      </c>
    </row>
    <row r="29" spans="1:4" x14ac:dyDescent="0.25">
      <c r="A29" s="14" t="s">
        <v>38</v>
      </c>
      <c r="B29" s="14" t="s">
        <v>39</v>
      </c>
      <c r="C29" s="15" t="s">
        <v>30</v>
      </c>
      <c r="D29" s="15">
        <v>1</v>
      </c>
    </row>
    <row r="30" spans="1:4" x14ac:dyDescent="0.25">
      <c r="A30" s="10" t="s">
        <v>40</v>
      </c>
      <c r="B30" s="10" t="s">
        <v>41</v>
      </c>
      <c r="C30" s="11" t="s">
        <v>35</v>
      </c>
      <c r="D30" s="11">
        <v>0</v>
      </c>
    </row>
    <row r="31" spans="1:4" x14ac:dyDescent="0.25">
      <c r="A31" s="14" t="s">
        <v>42</v>
      </c>
      <c r="B31" s="14" t="s">
        <v>43</v>
      </c>
      <c r="C31" s="15" t="s">
        <v>30</v>
      </c>
      <c r="D31" s="15">
        <v>1</v>
      </c>
    </row>
    <row r="32" spans="1:4" x14ac:dyDescent="0.25">
      <c r="A32" s="10" t="s">
        <v>44</v>
      </c>
      <c r="B32" s="10" t="s">
        <v>45</v>
      </c>
      <c r="C32" s="11" t="s">
        <v>35</v>
      </c>
      <c r="D32" s="11">
        <v>0</v>
      </c>
    </row>
    <row r="33" spans="1:4" x14ac:dyDescent="0.25">
      <c r="A33" s="10" t="s">
        <v>46</v>
      </c>
      <c r="B33" s="10" t="s">
        <v>47</v>
      </c>
      <c r="C33" s="11" t="s">
        <v>35</v>
      </c>
      <c r="D33" s="11">
        <v>0</v>
      </c>
    </row>
    <row r="34" spans="1:4" x14ac:dyDescent="0.25">
      <c r="A34" s="14" t="s">
        <v>48</v>
      </c>
      <c r="B34" s="14" t="s">
        <v>49</v>
      </c>
      <c r="C34" s="15" t="s">
        <v>30</v>
      </c>
      <c r="D34" s="15">
        <v>1</v>
      </c>
    </row>
    <row r="35" spans="1:4" x14ac:dyDescent="0.25">
      <c r="A35" s="10" t="s">
        <v>50</v>
      </c>
      <c r="B35" s="10" t="s">
        <v>51</v>
      </c>
      <c r="C35" s="11" t="s">
        <v>35</v>
      </c>
      <c r="D35" s="11">
        <v>0</v>
      </c>
    </row>
    <row r="36" spans="1:4" x14ac:dyDescent="0.25">
      <c r="A36" s="14" t="s">
        <v>52</v>
      </c>
      <c r="B36" s="14" t="s">
        <v>53</v>
      </c>
      <c r="C36" s="15" t="s">
        <v>30</v>
      </c>
      <c r="D36" s="15">
        <v>1</v>
      </c>
    </row>
    <row r="37" spans="1:4" x14ac:dyDescent="0.25">
      <c r="A37" s="14" t="s">
        <v>54</v>
      </c>
      <c r="B37" s="14" t="s">
        <v>55</v>
      </c>
      <c r="C37" s="15" t="s">
        <v>30</v>
      </c>
      <c r="D37" s="15">
        <v>1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35</v>
      </c>
      <c r="D39" s="11">
        <v>0</v>
      </c>
    </row>
    <row r="40" spans="1:4" x14ac:dyDescent="0.25">
      <c r="A40" s="14" t="s">
        <v>60</v>
      </c>
      <c r="B40" s="14" t="s">
        <v>61</v>
      </c>
      <c r="C40" s="15" t="s">
        <v>30</v>
      </c>
      <c r="D40" s="15">
        <v>1</v>
      </c>
    </row>
    <row r="41" spans="1:4" x14ac:dyDescent="0.25">
      <c r="A41" s="14" t="s">
        <v>62</v>
      </c>
      <c r="B41" s="14" t="s">
        <v>63</v>
      </c>
      <c r="C41" s="15" t="s">
        <v>30</v>
      </c>
      <c r="D41" s="15">
        <v>4</v>
      </c>
    </row>
    <row r="42" spans="1:4" x14ac:dyDescent="0.25">
      <c r="A42" s="10" t="s">
        <v>64</v>
      </c>
      <c r="B42" s="10" t="s">
        <v>65</v>
      </c>
      <c r="C42" s="11" t="s">
        <v>35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35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35</v>
      </c>
      <c r="D44" s="11">
        <v>0</v>
      </c>
    </row>
    <row r="45" spans="1:4" x14ac:dyDescent="0.25">
      <c r="A45" s="10" t="s">
        <v>70</v>
      </c>
      <c r="B45" s="10" t="s">
        <v>71</v>
      </c>
      <c r="C45" s="11" t="s">
        <v>35</v>
      </c>
      <c r="D45" s="11">
        <v>0</v>
      </c>
    </row>
    <row r="46" spans="1:4" x14ac:dyDescent="0.25">
      <c r="A46" s="10" t="s">
        <v>72</v>
      </c>
      <c r="B46" s="10" t="s">
        <v>73</v>
      </c>
      <c r="C46" s="11" t="s">
        <v>35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35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35</v>
      </c>
      <c r="D48" s="11">
        <v>0</v>
      </c>
    </row>
    <row r="49" spans="1:4" x14ac:dyDescent="0.25">
      <c r="A49" s="10" t="s">
        <v>78</v>
      </c>
      <c r="B49" s="10" t="s">
        <v>79</v>
      </c>
      <c r="C49" s="11" t="s">
        <v>35</v>
      </c>
      <c r="D49" s="11">
        <v>0</v>
      </c>
    </row>
    <row r="50" spans="1:4" x14ac:dyDescent="0.25">
      <c r="A50" s="10" t="s">
        <v>80</v>
      </c>
      <c r="B50" s="10" t="s">
        <v>81</v>
      </c>
      <c r="C50" s="11" t="s">
        <v>35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35</v>
      </c>
      <c r="D51" s="11">
        <v>0</v>
      </c>
    </row>
    <row r="52" spans="1:4" x14ac:dyDescent="0.25">
      <c r="A52" s="10" t="s">
        <v>84</v>
      </c>
      <c r="B52" s="10" t="s">
        <v>85</v>
      </c>
      <c r="C52" s="11" t="s">
        <v>35</v>
      </c>
      <c r="D52" s="11">
        <v>0</v>
      </c>
    </row>
    <row r="53" spans="1:4" x14ac:dyDescent="0.25">
      <c r="A53" s="14" t="s">
        <v>86</v>
      </c>
      <c r="B53" s="14" t="s">
        <v>87</v>
      </c>
      <c r="C53" s="15" t="s">
        <v>30</v>
      </c>
      <c r="D53" s="15">
        <v>1</v>
      </c>
    </row>
    <row r="54" spans="1:4" x14ac:dyDescent="0.25">
      <c r="A54" s="10" t="s">
        <v>88</v>
      </c>
      <c r="B54" s="10" t="s">
        <v>89</v>
      </c>
      <c r="C54" s="11" t="s">
        <v>35</v>
      </c>
      <c r="D54" s="11">
        <v>0</v>
      </c>
    </row>
    <row r="55" spans="1:4" x14ac:dyDescent="0.25">
      <c r="A55" s="10" t="s">
        <v>90</v>
      </c>
      <c r="B55" s="10" t="s">
        <v>91</v>
      </c>
      <c r="C55" s="11" t="s">
        <v>35</v>
      </c>
      <c r="D55" s="11">
        <v>0</v>
      </c>
    </row>
    <row r="56" spans="1:4" x14ac:dyDescent="0.25">
      <c r="A56" s="14" t="s">
        <v>92</v>
      </c>
      <c r="B56" s="14" t="s">
        <v>93</v>
      </c>
      <c r="C56" s="15" t="s">
        <v>30</v>
      </c>
      <c r="D56" s="15">
        <v>1</v>
      </c>
    </row>
    <row r="57" spans="1:4" x14ac:dyDescent="0.25">
      <c r="A57" s="10" t="s">
        <v>94</v>
      </c>
      <c r="B57" s="10" t="s">
        <v>95</v>
      </c>
      <c r="C57" s="11" t="s">
        <v>35</v>
      </c>
      <c r="D57" s="11">
        <v>0</v>
      </c>
    </row>
    <row r="58" spans="1:4" x14ac:dyDescent="0.25">
      <c r="A58" s="14" t="s">
        <v>96</v>
      </c>
      <c r="B58" s="14" t="s">
        <v>97</v>
      </c>
      <c r="C58" s="15" t="s">
        <v>30</v>
      </c>
      <c r="D58" s="15">
        <v>1</v>
      </c>
    </row>
    <row r="59" spans="1:4" x14ac:dyDescent="0.25">
      <c r="A59" s="14" t="s">
        <v>98</v>
      </c>
      <c r="B59" s="14" t="s">
        <v>99</v>
      </c>
      <c r="C59" s="15" t="s">
        <v>30</v>
      </c>
      <c r="D59" s="15">
        <v>3</v>
      </c>
    </row>
    <row r="60" spans="1:4" x14ac:dyDescent="0.25">
      <c r="A60" s="14" t="s">
        <v>100</v>
      </c>
      <c r="B60" s="14" t="s">
        <v>101</v>
      </c>
      <c r="C60" s="15" t="s">
        <v>30</v>
      </c>
      <c r="D60" s="15">
        <v>1</v>
      </c>
    </row>
    <row r="61" spans="1:4" x14ac:dyDescent="0.25">
      <c r="A61" s="14" t="s">
        <v>102</v>
      </c>
      <c r="B61" s="14" t="s">
        <v>103</v>
      </c>
      <c r="C61" s="15" t="s">
        <v>30</v>
      </c>
      <c r="D61" s="15">
        <v>3</v>
      </c>
    </row>
    <row r="62" spans="1:4" x14ac:dyDescent="0.25">
      <c r="A62" s="14" t="s">
        <v>104</v>
      </c>
      <c r="B62" s="14" t="s">
        <v>105</v>
      </c>
      <c r="C62" s="15" t="s">
        <v>30</v>
      </c>
      <c r="D62" s="15">
        <v>1</v>
      </c>
    </row>
    <row r="63" spans="1:4" x14ac:dyDescent="0.25">
      <c r="A63" s="10" t="s">
        <v>106</v>
      </c>
      <c r="B63" s="10" t="s">
        <v>107</v>
      </c>
      <c r="C63" s="11" t="s">
        <v>35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3</v>
      </c>
    </row>
    <row r="65" spans="1:4" x14ac:dyDescent="0.25">
      <c r="A65" s="14" t="s">
        <v>110</v>
      </c>
      <c r="B65" s="14" t="s">
        <v>111</v>
      </c>
      <c r="C65" s="15" t="s">
        <v>30</v>
      </c>
      <c r="D65" s="15">
        <v>2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3</v>
      </c>
    </row>
    <row r="67" spans="1:4" x14ac:dyDescent="0.25">
      <c r="A67" s="14" t="s">
        <v>114</v>
      </c>
      <c r="B67" s="14" t="s">
        <v>115</v>
      </c>
      <c r="C67" s="15" t="s">
        <v>30</v>
      </c>
      <c r="D67" s="15">
        <v>1</v>
      </c>
    </row>
    <row r="68" spans="1:4" x14ac:dyDescent="0.25">
      <c r="A68" s="14" t="s">
        <v>116</v>
      </c>
      <c r="B68" s="14" t="s">
        <v>117</v>
      </c>
      <c r="C68" s="15" t="s">
        <v>30</v>
      </c>
      <c r="D68" s="15">
        <v>3</v>
      </c>
    </row>
    <row r="69" spans="1:4" x14ac:dyDescent="0.25">
      <c r="A69" s="10" t="s">
        <v>118</v>
      </c>
      <c r="B69" s="10" t="s">
        <v>119</v>
      </c>
      <c r="C69" s="11" t="s">
        <v>35</v>
      </c>
      <c r="D69" s="11">
        <v>0</v>
      </c>
    </row>
    <row r="70" spans="1:4" x14ac:dyDescent="0.25">
      <c r="A70" s="10" t="s">
        <v>120</v>
      </c>
      <c r="B70" s="10" t="s">
        <v>121</v>
      </c>
      <c r="C70" s="11" t="s">
        <v>35</v>
      </c>
      <c r="D70" s="11">
        <v>0</v>
      </c>
    </row>
    <row r="71" spans="1:4" x14ac:dyDescent="0.25">
      <c r="A71" s="10" t="s">
        <v>122</v>
      </c>
      <c r="B71" s="10" t="s">
        <v>123</v>
      </c>
      <c r="C71" s="11" t="s">
        <v>35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35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2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1</v>
      </c>
    </row>
    <row r="75" spans="1:4" x14ac:dyDescent="0.25">
      <c r="A75" s="10" t="s">
        <v>130</v>
      </c>
      <c r="B75" s="10" t="s">
        <v>131</v>
      </c>
      <c r="C75" s="11" t="s">
        <v>35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35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35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35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35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35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35</v>
      </c>
      <c r="D81" s="11">
        <v>0</v>
      </c>
    </row>
    <row r="82" spans="1:4" x14ac:dyDescent="0.25">
      <c r="A82" s="10" t="s">
        <v>144</v>
      </c>
      <c r="B82" s="10" t="s">
        <v>145</v>
      </c>
      <c r="C82" s="11" t="s">
        <v>35</v>
      </c>
      <c r="D82" s="11">
        <v>0</v>
      </c>
    </row>
    <row r="83" spans="1:4" x14ac:dyDescent="0.25">
      <c r="A83" s="14" t="s">
        <v>146</v>
      </c>
      <c r="B83" s="14" t="s">
        <v>147</v>
      </c>
      <c r="C83" s="15" t="s">
        <v>30</v>
      </c>
      <c r="D83" s="15">
        <v>4</v>
      </c>
    </row>
    <row r="84" spans="1:4" x14ac:dyDescent="0.25">
      <c r="A84" s="14" t="s">
        <v>148</v>
      </c>
      <c r="B84" s="14" t="s">
        <v>149</v>
      </c>
      <c r="C84" s="15" t="s">
        <v>30</v>
      </c>
      <c r="D84" s="15">
        <v>1</v>
      </c>
    </row>
    <row r="85" spans="1:4" x14ac:dyDescent="0.25">
      <c r="A85" s="10" t="s">
        <v>150</v>
      </c>
      <c r="B85" s="10" t="s">
        <v>151</v>
      </c>
      <c r="C85" s="11" t="s">
        <v>35</v>
      </c>
      <c r="D85" s="11">
        <v>0</v>
      </c>
    </row>
    <row r="86" spans="1:4" x14ac:dyDescent="0.25">
      <c r="A86" s="10" t="s">
        <v>152</v>
      </c>
      <c r="B86" s="10" t="s">
        <v>153</v>
      </c>
      <c r="C86" s="11" t="s">
        <v>35</v>
      </c>
      <c r="D86" s="11">
        <v>0</v>
      </c>
    </row>
    <row r="87" spans="1:4" x14ac:dyDescent="0.25">
      <c r="A87" s="10" t="s">
        <v>154</v>
      </c>
      <c r="B87" s="10" t="s">
        <v>155</v>
      </c>
      <c r="C87" s="11" t="s">
        <v>35</v>
      </c>
      <c r="D87" s="11">
        <v>0</v>
      </c>
    </row>
    <row r="88" spans="1:4" x14ac:dyDescent="0.25">
      <c r="A88" s="14" t="s">
        <v>156</v>
      </c>
      <c r="B88" s="14" t="s">
        <v>157</v>
      </c>
      <c r="C88" s="15" t="s">
        <v>30</v>
      </c>
      <c r="D88" s="15">
        <v>1</v>
      </c>
    </row>
    <row r="89" spans="1:4" x14ac:dyDescent="0.25">
      <c r="A89" s="10" t="s">
        <v>158</v>
      </c>
      <c r="B89" s="10" t="s">
        <v>159</v>
      </c>
      <c r="C89" s="11" t="s">
        <v>35</v>
      </c>
      <c r="D89" s="11">
        <v>0</v>
      </c>
    </row>
    <row r="90" spans="1:4" x14ac:dyDescent="0.25">
      <c r="A90" s="10" t="s">
        <v>160</v>
      </c>
      <c r="B90" s="10" t="s">
        <v>161</v>
      </c>
      <c r="C90" s="11" t="s">
        <v>35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35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35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35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35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38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6" t="s">
        <v>13</v>
      </c>
      <c r="B3" s="16" t="s">
        <v>110</v>
      </c>
      <c r="C3" s="16" t="s">
        <v>181</v>
      </c>
      <c r="D3" s="17" t="s">
        <v>182</v>
      </c>
      <c r="E3" s="16" t="s">
        <v>183</v>
      </c>
      <c r="F3" s="17" t="s">
        <v>184</v>
      </c>
      <c r="G3" s="18" t="s">
        <v>180</v>
      </c>
    </row>
    <row r="4" spans="1:7" x14ac:dyDescent="0.25">
      <c r="A4" s="16" t="s">
        <v>13</v>
      </c>
      <c r="B4" s="16" t="s">
        <v>110</v>
      </c>
      <c r="C4" s="16" t="s">
        <v>181</v>
      </c>
      <c r="D4" s="17" t="s">
        <v>185</v>
      </c>
      <c r="E4" s="16" t="s">
        <v>186</v>
      </c>
      <c r="F4" s="17" t="s">
        <v>184</v>
      </c>
      <c r="G4" s="18" t="s">
        <v>180</v>
      </c>
    </row>
    <row r="5" spans="1:7" x14ac:dyDescent="0.25">
      <c r="A5" s="16" t="s">
        <v>13</v>
      </c>
      <c r="B5" s="16" t="s">
        <v>148</v>
      </c>
      <c r="C5" s="16" t="s">
        <v>187</v>
      </c>
      <c r="D5" s="17" t="s">
        <v>188</v>
      </c>
      <c r="E5" s="16" t="s">
        <v>189</v>
      </c>
      <c r="F5" s="17" t="s">
        <v>190</v>
      </c>
      <c r="G5" s="18" t="s">
        <v>180</v>
      </c>
    </row>
    <row r="6" spans="1:7" x14ac:dyDescent="0.25">
      <c r="A6" s="19" t="s">
        <v>6</v>
      </c>
      <c r="B6" s="19" t="s">
        <v>6</v>
      </c>
      <c r="C6" s="19" t="s">
        <v>6</v>
      </c>
      <c r="D6" s="20" t="s">
        <v>191</v>
      </c>
      <c r="E6" s="19" t="s">
        <v>192</v>
      </c>
      <c r="F6" s="20" t="s">
        <v>6</v>
      </c>
      <c r="G6" s="21" t="s">
        <v>193</v>
      </c>
    </row>
    <row r="7" spans="1:7" x14ac:dyDescent="0.25">
      <c r="A7" s="19" t="s">
        <v>6</v>
      </c>
      <c r="B7" s="19" t="s">
        <v>6</v>
      </c>
      <c r="C7" s="19" t="s">
        <v>6</v>
      </c>
      <c r="D7" s="20" t="s">
        <v>194</v>
      </c>
      <c r="E7" s="19" t="s">
        <v>195</v>
      </c>
      <c r="F7" s="20" t="s">
        <v>6</v>
      </c>
      <c r="G7" s="21" t="s">
        <v>193</v>
      </c>
    </row>
    <row r="8" spans="1:7" x14ac:dyDescent="0.25">
      <c r="A8" s="19" t="s">
        <v>6</v>
      </c>
      <c r="B8" s="19" t="s">
        <v>6</v>
      </c>
      <c r="C8" s="19" t="s">
        <v>6</v>
      </c>
      <c r="D8" s="20" t="s">
        <v>196</v>
      </c>
      <c r="E8" s="19" t="s">
        <v>197</v>
      </c>
      <c r="F8" s="20" t="s">
        <v>6</v>
      </c>
      <c r="G8" s="21" t="s">
        <v>193</v>
      </c>
    </row>
    <row r="9" spans="1:7" x14ac:dyDescent="0.25">
      <c r="A9" s="19" t="s">
        <v>6</v>
      </c>
      <c r="B9" s="19" t="s">
        <v>6</v>
      </c>
      <c r="C9" s="19" t="s">
        <v>6</v>
      </c>
      <c r="D9" s="20" t="s">
        <v>198</v>
      </c>
      <c r="E9" s="19" t="s">
        <v>199</v>
      </c>
      <c r="F9" s="20" t="s">
        <v>6</v>
      </c>
      <c r="G9" s="21" t="s">
        <v>193</v>
      </c>
    </row>
    <row r="10" spans="1:7" x14ac:dyDescent="0.25">
      <c r="A10" s="19" t="s">
        <v>6</v>
      </c>
      <c r="B10" s="19" t="s">
        <v>6</v>
      </c>
      <c r="C10" s="19" t="s">
        <v>6</v>
      </c>
      <c r="D10" s="20" t="s">
        <v>200</v>
      </c>
      <c r="E10" s="19" t="s">
        <v>201</v>
      </c>
      <c r="F10" s="20" t="s">
        <v>202</v>
      </c>
      <c r="G10" s="21" t="s">
        <v>193</v>
      </c>
    </row>
    <row r="11" spans="1:7" x14ac:dyDescent="0.25">
      <c r="A11" s="19" t="s">
        <v>6</v>
      </c>
      <c r="B11" s="19" t="s">
        <v>6</v>
      </c>
      <c r="C11" s="19" t="s">
        <v>6</v>
      </c>
      <c r="D11" s="20" t="s">
        <v>203</v>
      </c>
      <c r="E11" s="19" t="s">
        <v>204</v>
      </c>
      <c r="F11" s="20" t="s">
        <v>202</v>
      </c>
      <c r="G11" s="21" t="s">
        <v>193</v>
      </c>
    </row>
    <row r="12" spans="1:7" x14ac:dyDescent="0.25">
      <c r="A12" s="19" t="s">
        <v>6</v>
      </c>
      <c r="B12" s="19" t="s">
        <v>6</v>
      </c>
      <c r="C12" s="19" t="s">
        <v>6</v>
      </c>
      <c r="D12" s="20" t="s">
        <v>205</v>
      </c>
      <c r="E12" s="19" t="s">
        <v>197</v>
      </c>
      <c r="F12" s="20" t="s">
        <v>6</v>
      </c>
      <c r="G12" s="21" t="s">
        <v>193</v>
      </c>
    </row>
    <row r="13" spans="1:7" x14ac:dyDescent="0.25">
      <c r="A13" s="19" t="s">
        <v>6</v>
      </c>
      <c r="B13" s="19" t="s">
        <v>6</v>
      </c>
      <c r="C13" s="19" t="s">
        <v>6</v>
      </c>
      <c r="D13" s="20" t="s">
        <v>206</v>
      </c>
      <c r="E13" s="19" t="s">
        <v>195</v>
      </c>
      <c r="F13" s="20" t="s">
        <v>6</v>
      </c>
      <c r="G13" s="21" t="s">
        <v>193</v>
      </c>
    </row>
    <row r="14" spans="1:7" x14ac:dyDescent="0.25">
      <c r="A14" s="19" t="s">
        <v>6</v>
      </c>
      <c r="B14" s="19" t="s">
        <v>6</v>
      </c>
      <c r="C14" s="19" t="s">
        <v>6</v>
      </c>
      <c r="D14" s="20" t="s">
        <v>207</v>
      </c>
      <c r="E14" s="19" t="s">
        <v>208</v>
      </c>
      <c r="F14" s="20" t="s">
        <v>6</v>
      </c>
      <c r="G14" s="21" t="s">
        <v>193</v>
      </c>
    </row>
    <row r="15" spans="1:7" x14ac:dyDescent="0.25">
      <c r="A15" s="19" t="s">
        <v>6</v>
      </c>
      <c r="B15" s="19" t="s">
        <v>6</v>
      </c>
      <c r="C15" s="19" t="s">
        <v>6</v>
      </c>
      <c r="D15" s="20" t="s">
        <v>209</v>
      </c>
      <c r="E15" s="19" t="s">
        <v>210</v>
      </c>
      <c r="F15" s="20" t="s">
        <v>6</v>
      </c>
      <c r="G15" s="21" t="s">
        <v>193</v>
      </c>
    </row>
    <row r="16" spans="1:7" x14ac:dyDescent="0.25">
      <c r="A16" s="14" t="s">
        <v>14</v>
      </c>
      <c r="B16" s="14" t="s">
        <v>28</v>
      </c>
      <c r="C16" s="14" t="s">
        <v>211</v>
      </c>
      <c r="D16" s="22" t="s">
        <v>212</v>
      </c>
      <c r="E16" s="14" t="s">
        <v>213</v>
      </c>
      <c r="F16" s="22" t="s">
        <v>214</v>
      </c>
      <c r="G16" s="23" t="s">
        <v>180</v>
      </c>
    </row>
    <row r="17" spans="1:7" x14ac:dyDescent="0.25">
      <c r="A17" s="14" t="s">
        <v>14</v>
      </c>
      <c r="B17" s="14" t="s">
        <v>31</v>
      </c>
      <c r="C17" s="14" t="s">
        <v>211</v>
      </c>
      <c r="D17" s="22" t="s">
        <v>215</v>
      </c>
      <c r="E17" s="14" t="s">
        <v>216</v>
      </c>
      <c r="F17" s="22" t="s">
        <v>217</v>
      </c>
      <c r="G17" s="14" t="s">
        <v>6</v>
      </c>
    </row>
    <row r="18" spans="1:7" x14ac:dyDescent="0.25">
      <c r="A18" s="14" t="s">
        <v>14</v>
      </c>
      <c r="B18" s="14" t="s">
        <v>42</v>
      </c>
      <c r="C18" s="14" t="s">
        <v>176</v>
      </c>
      <c r="D18" s="22" t="s">
        <v>218</v>
      </c>
      <c r="E18" s="14" t="s">
        <v>219</v>
      </c>
      <c r="F18" s="22" t="s">
        <v>220</v>
      </c>
      <c r="G18" s="23" t="s">
        <v>180</v>
      </c>
    </row>
    <row r="19" spans="1:7" x14ac:dyDescent="0.25">
      <c r="A19" s="14" t="s">
        <v>14</v>
      </c>
      <c r="B19" s="14" t="s">
        <v>48</v>
      </c>
      <c r="C19" s="14" t="s">
        <v>221</v>
      </c>
      <c r="D19" s="22" t="s">
        <v>222</v>
      </c>
      <c r="E19" s="14" t="s">
        <v>223</v>
      </c>
      <c r="F19" s="22" t="s">
        <v>224</v>
      </c>
      <c r="G19" s="23" t="s">
        <v>180</v>
      </c>
    </row>
    <row r="20" spans="1:7" x14ac:dyDescent="0.25">
      <c r="A20" s="14" t="s">
        <v>14</v>
      </c>
      <c r="B20" s="14" t="s">
        <v>52</v>
      </c>
      <c r="C20" s="14" t="s">
        <v>221</v>
      </c>
      <c r="D20" s="22" t="s">
        <v>225</v>
      </c>
      <c r="E20" s="14" t="s">
        <v>226</v>
      </c>
      <c r="F20" s="22" t="s">
        <v>227</v>
      </c>
      <c r="G20" s="23" t="s">
        <v>180</v>
      </c>
    </row>
    <row r="21" spans="1:7" x14ac:dyDescent="0.25">
      <c r="A21" s="14" t="s">
        <v>14</v>
      </c>
      <c r="B21" s="14" t="s">
        <v>60</v>
      </c>
      <c r="C21" s="14" t="s">
        <v>228</v>
      </c>
      <c r="D21" s="22" t="s">
        <v>229</v>
      </c>
      <c r="E21" s="14" t="s">
        <v>230</v>
      </c>
      <c r="F21" s="22" t="s">
        <v>231</v>
      </c>
      <c r="G21" s="23" t="s">
        <v>180</v>
      </c>
    </row>
    <row r="22" spans="1:7" x14ac:dyDescent="0.25">
      <c r="A22" s="14" t="s">
        <v>14</v>
      </c>
      <c r="B22" s="14" t="s">
        <v>62</v>
      </c>
      <c r="C22" s="14" t="s">
        <v>228</v>
      </c>
      <c r="D22" s="22" t="s">
        <v>232</v>
      </c>
      <c r="E22" s="14" t="s">
        <v>233</v>
      </c>
      <c r="F22" s="22" t="s">
        <v>234</v>
      </c>
      <c r="G22" s="23" t="s">
        <v>180</v>
      </c>
    </row>
    <row r="23" spans="1:7" x14ac:dyDescent="0.25">
      <c r="A23" s="14" t="s">
        <v>14</v>
      </c>
      <c r="B23" s="14" t="s">
        <v>62</v>
      </c>
      <c r="C23" s="14" t="s">
        <v>228</v>
      </c>
      <c r="D23" s="22" t="s">
        <v>235</v>
      </c>
      <c r="E23" s="14" t="s">
        <v>236</v>
      </c>
      <c r="F23" s="22" t="s">
        <v>234</v>
      </c>
      <c r="G23" s="23" t="s">
        <v>180</v>
      </c>
    </row>
    <row r="24" spans="1:7" x14ac:dyDescent="0.25">
      <c r="A24" s="14" t="s">
        <v>14</v>
      </c>
      <c r="B24" s="14" t="s">
        <v>62</v>
      </c>
      <c r="C24" s="14" t="s">
        <v>228</v>
      </c>
      <c r="D24" s="22" t="s">
        <v>237</v>
      </c>
      <c r="E24" s="14" t="s">
        <v>238</v>
      </c>
      <c r="F24" s="22" t="s">
        <v>234</v>
      </c>
      <c r="G24" s="23" t="s">
        <v>180</v>
      </c>
    </row>
    <row r="25" spans="1:7" x14ac:dyDescent="0.25">
      <c r="A25" s="14" t="s">
        <v>14</v>
      </c>
      <c r="B25" s="14" t="s">
        <v>62</v>
      </c>
      <c r="C25" s="14" t="s">
        <v>228</v>
      </c>
      <c r="D25" s="22" t="s">
        <v>239</v>
      </c>
      <c r="E25" s="14" t="s">
        <v>240</v>
      </c>
      <c r="F25" s="22" t="s">
        <v>234</v>
      </c>
      <c r="G25" s="23" t="s">
        <v>180</v>
      </c>
    </row>
    <row r="26" spans="1:7" x14ac:dyDescent="0.25">
      <c r="A26" s="14" t="s">
        <v>14</v>
      </c>
      <c r="B26" s="14" t="s">
        <v>86</v>
      </c>
      <c r="C26" s="14" t="s">
        <v>241</v>
      </c>
      <c r="D26" s="22" t="s">
        <v>242</v>
      </c>
      <c r="E26" s="14" t="s">
        <v>243</v>
      </c>
      <c r="F26" s="22" t="s">
        <v>244</v>
      </c>
      <c r="G26" s="23" t="s">
        <v>180</v>
      </c>
    </row>
    <row r="27" spans="1:7" x14ac:dyDescent="0.25">
      <c r="A27" s="14" t="s">
        <v>14</v>
      </c>
      <c r="B27" s="14" t="s">
        <v>92</v>
      </c>
      <c r="C27" s="14" t="s">
        <v>245</v>
      </c>
      <c r="D27" s="22" t="s">
        <v>246</v>
      </c>
      <c r="E27" s="14" t="s">
        <v>247</v>
      </c>
      <c r="F27" s="22" t="s">
        <v>248</v>
      </c>
      <c r="G27" s="23" t="s">
        <v>180</v>
      </c>
    </row>
    <row r="28" spans="1:7" x14ac:dyDescent="0.25">
      <c r="A28" s="14" t="s">
        <v>14</v>
      </c>
      <c r="B28" s="14" t="s">
        <v>96</v>
      </c>
      <c r="C28" s="14" t="s">
        <v>249</v>
      </c>
      <c r="D28" s="22" t="s">
        <v>250</v>
      </c>
      <c r="E28" s="14" t="s">
        <v>251</v>
      </c>
      <c r="F28" s="22" t="s">
        <v>252</v>
      </c>
      <c r="G28" s="14" t="s">
        <v>6</v>
      </c>
    </row>
    <row r="29" spans="1:7" x14ac:dyDescent="0.25">
      <c r="A29" s="14" t="s">
        <v>14</v>
      </c>
      <c r="B29" s="14" t="s">
        <v>98</v>
      </c>
      <c r="C29" s="14" t="s">
        <v>249</v>
      </c>
      <c r="D29" s="22" t="s">
        <v>253</v>
      </c>
      <c r="E29" s="14" t="s">
        <v>254</v>
      </c>
      <c r="F29" s="22" t="s">
        <v>255</v>
      </c>
      <c r="G29" s="23" t="s">
        <v>180</v>
      </c>
    </row>
    <row r="30" spans="1:7" x14ac:dyDescent="0.25">
      <c r="A30" s="14" t="s">
        <v>14</v>
      </c>
      <c r="B30" s="14" t="s">
        <v>98</v>
      </c>
      <c r="C30" s="14" t="s">
        <v>249</v>
      </c>
      <c r="D30" s="22" t="s">
        <v>256</v>
      </c>
      <c r="E30" s="14" t="s">
        <v>257</v>
      </c>
      <c r="F30" s="22" t="s">
        <v>255</v>
      </c>
      <c r="G30" s="23" t="s">
        <v>180</v>
      </c>
    </row>
    <row r="31" spans="1:7" x14ac:dyDescent="0.25">
      <c r="A31" s="14" t="s">
        <v>14</v>
      </c>
      <c r="B31" s="14" t="s">
        <v>98</v>
      </c>
      <c r="C31" s="14" t="s">
        <v>249</v>
      </c>
      <c r="D31" s="22" t="s">
        <v>258</v>
      </c>
      <c r="E31" s="14" t="s">
        <v>259</v>
      </c>
      <c r="F31" s="22" t="s">
        <v>255</v>
      </c>
      <c r="G31" s="23" t="s">
        <v>180</v>
      </c>
    </row>
    <row r="32" spans="1:7" x14ac:dyDescent="0.25">
      <c r="A32" s="14" t="s">
        <v>14</v>
      </c>
      <c r="B32" s="14" t="s">
        <v>102</v>
      </c>
      <c r="C32" s="14" t="s">
        <v>260</v>
      </c>
      <c r="D32" s="22" t="s">
        <v>261</v>
      </c>
      <c r="E32" s="14" t="s">
        <v>262</v>
      </c>
      <c r="F32" s="22" t="s">
        <v>263</v>
      </c>
      <c r="G32" s="23" t="s">
        <v>180</v>
      </c>
    </row>
    <row r="33" spans="1:7" x14ac:dyDescent="0.25">
      <c r="A33" s="14" t="s">
        <v>14</v>
      </c>
      <c r="B33" s="14" t="s">
        <v>102</v>
      </c>
      <c r="C33" s="14" t="s">
        <v>260</v>
      </c>
      <c r="D33" s="22" t="s">
        <v>264</v>
      </c>
      <c r="E33" s="14" t="s">
        <v>262</v>
      </c>
      <c r="F33" s="22" t="s">
        <v>263</v>
      </c>
      <c r="G33" s="23" t="s">
        <v>180</v>
      </c>
    </row>
    <row r="34" spans="1:7" x14ac:dyDescent="0.25">
      <c r="A34" s="14" t="s">
        <v>14</v>
      </c>
      <c r="B34" s="14" t="s">
        <v>102</v>
      </c>
      <c r="C34" s="14" t="s">
        <v>260</v>
      </c>
      <c r="D34" s="22" t="s">
        <v>265</v>
      </c>
      <c r="E34" s="14" t="s">
        <v>266</v>
      </c>
      <c r="F34" s="22" t="s">
        <v>263</v>
      </c>
      <c r="G34" s="23" t="s">
        <v>180</v>
      </c>
    </row>
    <row r="35" spans="1:7" x14ac:dyDescent="0.25">
      <c r="A35" s="14" t="s">
        <v>14</v>
      </c>
      <c r="B35" s="14" t="s">
        <v>104</v>
      </c>
      <c r="C35" s="14" t="s">
        <v>260</v>
      </c>
      <c r="D35" s="22" t="s">
        <v>267</v>
      </c>
      <c r="E35" s="14" t="s">
        <v>268</v>
      </c>
      <c r="F35" s="22" t="s">
        <v>269</v>
      </c>
      <c r="G35" s="23" t="s">
        <v>180</v>
      </c>
    </row>
    <row r="36" spans="1:7" x14ac:dyDescent="0.25">
      <c r="A36" s="14" t="s">
        <v>14</v>
      </c>
      <c r="B36" s="14" t="s">
        <v>112</v>
      </c>
      <c r="C36" s="14" t="s">
        <v>181</v>
      </c>
      <c r="D36" s="22" t="s">
        <v>270</v>
      </c>
      <c r="E36" s="14" t="s">
        <v>271</v>
      </c>
      <c r="F36" s="22" t="s">
        <v>272</v>
      </c>
      <c r="G36" s="23" t="s">
        <v>180</v>
      </c>
    </row>
    <row r="37" spans="1:7" x14ac:dyDescent="0.25">
      <c r="A37" s="19" t="s">
        <v>6</v>
      </c>
      <c r="B37" s="19" t="s">
        <v>6</v>
      </c>
      <c r="C37" s="19" t="s">
        <v>6</v>
      </c>
      <c r="D37" s="20" t="s">
        <v>273</v>
      </c>
      <c r="E37" s="19" t="s">
        <v>274</v>
      </c>
      <c r="F37" s="20" t="s">
        <v>6</v>
      </c>
      <c r="G37" s="21" t="s">
        <v>193</v>
      </c>
    </row>
    <row r="38" spans="1:7" x14ac:dyDescent="0.25">
      <c r="A38" s="14" t="s">
        <v>14</v>
      </c>
      <c r="B38" s="14" t="s">
        <v>112</v>
      </c>
      <c r="C38" s="14" t="s">
        <v>181</v>
      </c>
      <c r="D38" s="22" t="s">
        <v>275</v>
      </c>
      <c r="E38" s="14" t="s">
        <v>276</v>
      </c>
      <c r="F38" s="22" t="s">
        <v>272</v>
      </c>
      <c r="G38" s="23" t="s">
        <v>180</v>
      </c>
    </row>
    <row r="39" spans="1:7" x14ac:dyDescent="0.25">
      <c r="A39" s="19" t="s">
        <v>6</v>
      </c>
      <c r="B39" s="19" t="s">
        <v>6</v>
      </c>
      <c r="C39" s="19" t="s">
        <v>6</v>
      </c>
      <c r="D39" s="20" t="s">
        <v>277</v>
      </c>
      <c r="E39" s="19" t="s">
        <v>192</v>
      </c>
      <c r="F39" s="20" t="s">
        <v>6</v>
      </c>
      <c r="G39" s="21" t="s">
        <v>193</v>
      </c>
    </row>
    <row r="40" spans="1:7" x14ac:dyDescent="0.25">
      <c r="A40" s="14" t="s">
        <v>14</v>
      </c>
      <c r="B40" s="14" t="s">
        <v>112</v>
      </c>
      <c r="C40" s="14" t="s">
        <v>181</v>
      </c>
      <c r="D40" s="22" t="s">
        <v>278</v>
      </c>
      <c r="E40" s="14" t="s">
        <v>279</v>
      </c>
      <c r="F40" s="22" t="s">
        <v>272</v>
      </c>
      <c r="G40" s="23" t="s">
        <v>180</v>
      </c>
    </row>
    <row r="41" spans="1:7" x14ac:dyDescent="0.25">
      <c r="A41" s="19" t="s">
        <v>6</v>
      </c>
      <c r="B41" s="19" t="s">
        <v>6</v>
      </c>
      <c r="C41" s="19" t="s">
        <v>6</v>
      </c>
      <c r="D41" s="20" t="s">
        <v>280</v>
      </c>
      <c r="E41" s="19" t="s">
        <v>281</v>
      </c>
      <c r="F41" s="20" t="s">
        <v>6</v>
      </c>
      <c r="G41" s="21" t="s">
        <v>193</v>
      </c>
    </row>
    <row r="42" spans="1:7" x14ac:dyDescent="0.25">
      <c r="A42" s="19" t="s">
        <v>6</v>
      </c>
      <c r="B42" s="19" t="s">
        <v>6</v>
      </c>
      <c r="C42" s="19" t="s">
        <v>6</v>
      </c>
      <c r="D42" s="20" t="s">
        <v>282</v>
      </c>
      <c r="E42" s="19" t="s">
        <v>283</v>
      </c>
      <c r="F42" s="20" t="s">
        <v>6</v>
      </c>
      <c r="G42" s="21" t="s">
        <v>193</v>
      </c>
    </row>
    <row r="43" spans="1:7" x14ac:dyDescent="0.25">
      <c r="A43" s="19" t="s">
        <v>6</v>
      </c>
      <c r="B43" s="19" t="s">
        <v>6</v>
      </c>
      <c r="C43" s="19" t="s">
        <v>6</v>
      </c>
      <c r="D43" s="20" t="s">
        <v>284</v>
      </c>
      <c r="E43" s="19" t="s">
        <v>285</v>
      </c>
      <c r="F43" s="20" t="s">
        <v>6</v>
      </c>
      <c r="G43" s="21" t="s">
        <v>193</v>
      </c>
    </row>
    <row r="44" spans="1:7" x14ac:dyDescent="0.25">
      <c r="A44" s="19" t="s">
        <v>6</v>
      </c>
      <c r="B44" s="19" t="s">
        <v>6</v>
      </c>
      <c r="C44" s="19" t="s">
        <v>6</v>
      </c>
      <c r="D44" s="20" t="s">
        <v>286</v>
      </c>
      <c r="E44" s="19" t="s">
        <v>287</v>
      </c>
      <c r="F44" s="20" t="s">
        <v>6</v>
      </c>
      <c r="G44" s="21" t="s">
        <v>193</v>
      </c>
    </row>
    <row r="45" spans="1:7" x14ac:dyDescent="0.25">
      <c r="A45" s="14" t="s">
        <v>14</v>
      </c>
      <c r="B45" s="14" t="s">
        <v>114</v>
      </c>
      <c r="C45" s="14" t="s">
        <v>181</v>
      </c>
      <c r="D45" s="22" t="s">
        <v>288</v>
      </c>
      <c r="E45" s="14" t="s">
        <v>223</v>
      </c>
      <c r="F45" s="22" t="s">
        <v>289</v>
      </c>
      <c r="G45" s="23" t="s">
        <v>180</v>
      </c>
    </row>
    <row r="46" spans="1:7" x14ac:dyDescent="0.25">
      <c r="A46" s="19" t="s">
        <v>6</v>
      </c>
      <c r="B46" s="19" t="s">
        <v>6</v>
      </c>
      <c r="C46" s="19" t="s">
        <v>6</v>
      </c>
      <c r="D46" s="20" t="s">
        <v>290</v>
      </c>
      <c r="E46" s="19" t="s">
        <v>291</v>
      </c>
      <c r="F46" s="20" t="s">
        <v>6</v>
      </c>
      <c r="G46" s="21" t="s">
        <v>193</v>
      </c>
    </row>
    <row r="47" spans="1:7" x14ac:dyDescent="0.25">
      <c r="A47" s="19" t="s">
        <v>6</v>
      </c>
      <c r="B47" s="19" t="s">
        <v>6</v>
      </c>
      <c r="C47" s="19" t="s">
        <v>6</v>
      </c>
      <c r="D47" s="20" t="s">
        <v>292</v>
      </c>
      <c r="E47" s="19" t="s">
        <v>293</v>
      </c>
      <c r="F47" s="20" t="s">
        <v>6</v>
      </c>
      <c r="G47" s="21" t="s">
        <v>193</v>
      </c>
    </row>
    <row r="48" spans="1:7" x14ac:dyDescent="0.25">
      <c r="A48" s="19" t="s">
        <v>6</v>
      </c>
      <c r="B48" s="19" t="s">
        <v>6</v>
      </c>
      <c r="C48" s="19" t="s">
        <v>6</v>
      </c>
      <c r="D48" s="20" t="s">
        <v>294</v>
      </c>
      <c r="E48" s="19" t="s">
        <v>295</v>
      </c>
      <c r="F48" s="20" t="s">
        <v>296</v>
      </c>
      <c r="G48" s="21" t="s">
        <v>193</v>
      </c>
    </row>
    <row r="49" spans="1:7" x14ac:dyDescent="0.25">
      <c r="A49" s="14" t="s">
        <v>14</v>
      </c>
      <c r="B49" s="14" t="s">
        <v>116</v>
      </c>
      <c r="C49" s="14" t="s">
        <v>181</v>
      </c>
      <c r="D49" s="22" t="s">
        <v>297</v>
      </c>
      <c r="E49" s="14" t="s">
        <v>298</v>
      </c>
      <c r="F49" s="22" t="s">
        <v>299</v>
      </c>
      <c r="G49" s="23" t="s">
        <v>180</v>
      </c>
    </row>
    <row r="50" spans="1:7" x14ac:dyDescent="0.25">
      <c r="A50" s="14" t="s">
        <v>14</v>
      </c>
      <c r="B50" s="14" t="s">
        <v>116</v>
      </c>
      <c r="C50" s="14" t="s">
        <v>181</v>
      </c>
      <c r="D50" s="22" t="s">
        <v>300</v>
      </c>
      <c r="E50" s="14" t="s">
        <v>301</v>
      </c>
      <c r="F50" s="22" t="s">
        <v>299</v>
      </c>
      <c r="G50" s="23" t="s">
        <v>180</v>
      </c>
    </row>
    <row r="51" spans="1:7" x14ac:dyDescent="0.25">
      <c r="A51" s="14" t="s">
        <v>14</v>
      </c>
      <c r="B51" s="14" t="s">
        <v>116</v>
      </c>
      <c r="C51" s="14" t="s">
        <v>181</v>
      </c>
      <c r="D51" s="22" t="s">
        <v>302</v>
      </c>
      <c r="E51" s="14" t="s">
        <v>303</v>
      </c>
      <c r="F51" s="22" t="s">
        <v>299</v>
      </c>
      <c r="G51" s="23" t="s">
        <v>180</v>
      </c>
    </row>
    <row r="52" spans="1:7" x14ac:dyDescent="0.25">
      <c r="A52" s="14" t="s">
        <v>14</v>
      </c>
      <c r="B52" s="14" t="s">
        <v>126</v>
      </c>
      <c r="C52" s="14" t="s">
        <v>304</v>
      </c>
      <c r="D52" s="22" t="s">
        <v>305</v>
      </c>
      <c r="E52" s="14" t="s">
        <v>306</v>
      </c>
      <c r="F52" s="22" t="s">
        <v>307</v>
      </c>
      <c r="G52" s="23" t="s">
        <v>180</v>
      </c>
    </row>
    <row r="53" spans="1:7" x14ac:dyDescent="0.25">
      <c r="A53" s="14" t="s">
        <v>14</v>
      </c>
      <c r="B53" s="14" t="s">
        <v>126</v>
      </c>
      <c r="C53" s="14" t="s">
        <v>304</v>
      </c>
      <c r="D53" s="22" t="s">
        <v>308</v>
      </c>
      <c r="E53" s="14" t="s">
        <v>306</v>
      </c>
      <c r="F53" s="22" t="s">
        <v>309</v>
      </c>
      <c r="G53" s="23" t="s">
        <v>180</v>
      </c>
    </row>
    <row r="54" spans="1:7" x14ac:dyDescent="0.25">
      <c r="A54" s="14" t="s">
        <v>14</v>
      </c>
      <c r="B54" s="14" t="s">
        <v>146</v>
      </c>
      <c r="C54" s="14" t="s">
        <v>187</v>
      </c>
      <c r="D54" s="22" t="s">
        <v>310</v>
      </c>
      <c r="E54" s="14" t="s">
        <v>311</v>
      </c>
      <c r="F54" s="22" t="s">
        <v>312</v>
      </c>
      <c r="G54" s="23" t="s">
        <v>180</v>
      </c>
    </row>
    <row r="55" spans="1:7" x14ac:dyDescent="0.25">
      <c r="A55" s="19" t="s">
        <v>6</v>
      </c>
      <c r="B55" s="19" t="s">
        <v>6</v>
      </c>
      <c r="C55" s="19" t="s">
        <v>6</v>
      </c>
      <c r="D55" s="20" t="s">
        <v>313</v>
      </c>
      <c r="E55" s="19" t="s">
        <v>314</v>
      </c>
      <c r="F55" s="20" t="s">
        <v>6</v>
      </c>
      <c r="G55" s="21" t="s">
        <v>193</v>
      </c>
    </row>
    <row r="56" spans="1:7" x14ac:dyDescent="0.25">
      <c r="A56" s="19" t="s">
        <v>6</v>
      </c>
      <c r="B56" s="19" t="s">
        <v>6</v>
      </c>
      <c r="C56" s="19" t="s">
        <v>6</v>
      </c>
      <c r="D56" s="20" t="s">
        <v>315</v>
      </c>
      <c r="E56" s="19" t="s">
        <v>316</v>
      </c>
      <c r="F56" s="20" t="s">
        <v>6</v>
      </c>
      <c r="G56" s="21" t="s">
        <v>193</v>
      </c>
    </row>
    <row r="57" spans="1:7" x14ac:dyDescent="0.25">
      <c r="A57" s="14" t="s">
        <v>14</v>
      </c>
      <c r="B57" s="14" t="s">
        <v>146</v>
      </c>
      <c r="C57" s="14" t="s">
        <v>187</v>
      </c>
      <c r="D57" s="22" t="s">
        <v>317</v>
      </c>
      <c r="E57" s="14" t="s">
        <v>318</v>
      </c>
      <c r="F57" s="22" t="s">
        <v>312</v>
      </c>
      <c r="G57" s="23" t="s">
        <v>180</v>
      </c>
    </row>
    <row r="58" spans="1:7" x14ac:dyDescent="0.25">
      <c r="A58" s="19" t="s">
        <v>6</v>
      </c>
      <c r="B58" s="19" t="s">
        <v>6</v>
      </c>
      <c r="C58" s="19" t="s">
        <v>6</v>
      </c>
      <c r="D58" s="20" t="s">
        <v>319</v>
      </c>
      <c r="E58" s="19" t="s">
        <v>320</v>
      </c>
      <c r="F58" s="20" t="s">
        <v>6</v>
      </c>
      <c r="G58" s="21" t="s">
        <v>193</v>
      </c>
    </row>
    <row r="59" spans="1:7" x14ac:dyDescent="0.25">
      <c r="A59" s="19" t="s">
        <v>6</v>
      </c>
      <c r="B59" s="19" t="s">
        <v>6</v>
      </c>
      <c r="C59" s="19" t="s">
        <v>6</v>
      </c>
      <c r="D59" s="20" t="s">
        <v>321</v>
      </c>
      <c r="E59" s="19" t="s">
        <v>322</v>
      </c>
      <c r="F59" s="20" t="s">
        <v>6</v>
      </c>
      <c r="G59" s="19" t="s">
        <v>6</v>
      </c>
    </row>
    <row r="60" spans="1:7" x14ac:dyDescent="0.25">
      <c r="A60" s="19" t="s">
        <v>6</v>
      </c>
      <c r="B60" s="19" t="s">
        <v>6</v>
      </c>
      <c r="C60" s="19" t="s">
        <v>6</v>
      </c>
      <c r="D60" s="20" t="s">
        <v>323</v>
      </c>
      <c r="E60" s="19" t="s">
        <v>324</v>
      </c>
      <c r="F60" s="20" t="s">
        <v>6</v>
      </c>
      <c r="G60" s="21" t="s">
        <v>193</v>
      </c>
    </row>
    <row r="61" spans="1:7" x14ac:dyDescent="0.25">
      <c r="A61" s="14" t="s">
        <v>14</v>
      </c>
      <c r="B61" s="14" t="s">
        <v>146</v>
      </c>
      <c r="C61" s="14" t="s">
        <v>187</v>
      </c>
      <c r="D61" s="22" t="s">
        <v>325</v>
      </c>
      <c r="E61" s="14" t="s">
        <v>311</v>
      </c>
      <c r="F61" s="22" t="s">
        <v>312</v>
      </c>
      <c r="G61" s="23" t="s">
        <v>180</v>
      </c>
    </row>
    <row r="62" spans="1:7" x14ac:dyDescent="0.25">
      <c r="A62" s="19" t="s">
        <v>6</v>
      </c>
      <c r="B62" s="19" t="s">
        <v>6</v>
      </c>
      <c r="C62" s="19" t="s">
        <v>6</v>
      </c>
      <c r="D62" s="20" t="s">
        <v>326</v>
      </c>
      <c r="E62" s="19" t="s">
        <v>327</v>
      </c>
      <c r="F62" s="20" t="s">
        <v>6</v>
      </c>
      <c r="G62" s="21" t="s">
        <v>193</v>
      </c>
    </row>
    <row r="63" spans="1:7" x14ac:dyDescent="0.25">
      <c r="A63" s="19" t="s">
        <v>6</v>
      </c>
      <c r="B63" s="19" t="s">
        <v>6</v>
      </c>
      <c r="C63" s="19" t="s">
        <v>6</v>
      </c>
      <c r="D63" s="20" t="s">
        <v>328</v>
      </c>
      <c r="E63" s="19" t="s">
        <v>329</v>
      </c>
      <c r="F63" s="20" t="s">
        <v>6</v>
      </c>
      <c r="G63" s="21" t="s">
        <v>193</v>
      </c>
    </row>
    <row r="64" spans="1:7" x14ac:dyDescent="0.25">
      <c r="A64" s="14" t="s">
        <v>14</v>
      </c>
      <c r="B64" s="14" t="s">
        <v>146</v>
      </c>
      <c r="C64" s="14" t="s">
        <v>187</v>
      </c>
      <c r="D64" s="22" t="s">
        <v>330</v>
      </c>
      <c r="E64" s="14" t="s">
        <v>311</v>
      </c>
      <c r="F64" s="22" t="s">
        <v>312</v>
      </c>
      <c r="G64" s="23" t="s">
        <v>180</v>
      </c>
    </row>
    <row r="65" spans="1:7" x14ac:dyDescent="0.25">
      <c r="A65" s="19" t="s">
        <v>6</v>
      </c>
      <c r="B65" s="19" t="s">
        <v>6</v>
      </c>
      <c r="C65" s="19" t="s">
        <v>6</v>
      </c>
      <c r="D65" s="20" t="s">
        <v>331</v>
      </c>
      <c r="E65" s="19" t="s">
        <v>332</v>
      </c>
      <c r="F65" s="20" t="s">
        <v>6</v>
      </c>
      <c r="G65" s="21" t="s">
        <v>193</v>
      </c>
    </row>
    <row r="66" spans="1:7" x14ac:dyDescent="0.25">
      <c r="A66" s="19" t="s">
        <v>6</v>
      </c>
      <c r="B66" s="19" t="s">
        <v>6</v>
      </c>
      <c r="C66" s="19" t="s">
        <v>6</v>
      </c>
      <c r="D66" s="20" t="s">
        <v>333</v>
      </c>
      <c r="E66" s="19" t="s">
        <v>334</v>
      </c>
      <c r="F66" s="20" t="s">
        <v>6</v>
      </c>
      <c r="G66" s="21" t="s">
        <v>193</v>
      </c>
    </row>
    <row r="67" spans="1:7" x14ac:dyDescent="0.25">
      <c r="A67" s="14" t="s">
        <v>14</v>
      </c>
      <c r="B67" s="14" t="s">
        <v>156</v>
      </c>
      <c r="C67" s="14" t="s">
        <v>335</v>
      </c>
      <c r="D67" s="22" t="s">
        <v>336</v>
      </c>
      <c r="E67" s="14" t="s">
        <v>337</v>
      </c>
      <c r="F67" s="22" t="s">
        <v>338</v>
      </c>
      <c r="G67" s="14" t="s">
        <v>6</v>
      </c>
    </row>
    <row r="68" spans="1:7" x14ac:dyDescent="0.25">
      <c r="A68" s="19" t="s">
        <v>6</v>
      </c>
      <c r="B68" s="19" t="s">
        <v>6</v>
      </c>
      <c r="C68" s="19" t="s">
        <v>6</v>
      </c>
      <c r="D68" s="20" t="s">
        <v>339</v>
      </c>
      <c r="E68" s="19" t="s">
        <v>340</v>
      </c>
      <c r="F68" s="20" t="s">
        <v>341</v>
      </c>
      <c r="G68" s="21" t="s">
        <v>193</v>
      </c>
    </row>
    <row r="69" spans="1:7" x14ac:dyDescent="0.25">
      <c r="A69" s="19" t="s">
        <v>6</v>
      </c>
      <c r="B69" s="19" t="s">
        <v>6</v>
      </c>
      <c r="C69" s="19" t="s">
        <v>6</v>
      </c>
      <c r="D69" s="20" t="s">
        <v>342</v>
      </c>
      <c r="E69" s="19" t="s">
        <v>340</v>
      </c>
      <c r="F69" s="20" t="s">
        <v>343</v>
      </c>
      <c r="G69" s="21" t="s">
        <v>193</v>
      </c>
    </row>
    <row r="70" spans="1:7" x14ac:dyDescent="0.25">
      <c r="A70" s="19" t="s">
        <v>6</v>
      </c>
      <c r="B70" s="19" t="s">
        <v>6</v>
      </c>
      <c r="C70" s="19" t="s">
        <v>6</v>
      </c>
      <c r="D70" s="20" t="s">
        <v>342</v>
      </c>
      <c r="E70" s="19" t="s">
        <v>344</v>
      </c>
      <c r="F70" s="20" t="s">
        <v>345</v>
      </c>
      <c r="G70" s="21" t="s">
        <v>193</v>
      </c>
    </row>
    <row r="71" spans="1:7" x14ac:dyDescent="0.25">
      <c r="A71" s="24" t="s">
        <v>15</v>
      </c>
      <c r="B71" s="24" t="s">
        <v>54</v>
      </c>
      <c r="C71" s="24" t="s">
        <v>221</v>
      </c>
      <c r="D71" s="25" t="s">
        <v>346</v>
      </c>
      <c r="E71" s="24" t="s">
        <v>347</v>
      </c>
      <c r="F71" s="25" t="s">
        <v>348</v>
      </c>
      <c r="G71" s="26" t="s">
        <v>180</v>
      </c>
    </row>
    <row r="72" spans="1:7" x14ac:dyDescent="0.25">
      <c r="A72" s="24" t="s">
        <v>15</v>
      </c>
      <c r="B72" s="24" t="s">
        <v>56</v>
      </c>
      <c r="C72" s="24" t="s">
        <v>221</v>
      </c>
      <c r="D72" s="25" t="s">
        <v>349</v>
      </c>
      <c r="E72" s="24" t="s">
        <v>350</v>
      </c>
      <c r="F72" s="25" t="s">
        <v>351</v>
      </c>
      <c r="G72" s="24" t="s">
        <v>6</v>
      </c>
    </row>
    <row r="73" spans="1:7" x14ac:dyDescent="0.25">
      <c r="A73" s="24" t="s">
        <v>15</v>
      </c>
      <c r="B73" s="24" t="s">
        <v>100</v>
      </c>
      <c r="C73" s="24" t="s">
        <v>249</v>
      </c>
      <c r="D73" s="25" t="s">
        <v>352</v>
      </c>
      <c r="E73" s="24" t="s">
        <v>353</v>
      </c>
      <c r="F73" s="25" t="s">
        <v>354</v>
      </c>
      <c r="G73" s="24" t="s">
        <v>6</v>
      </c>
    </row>
    <row r="74" spans="1:7" x14ac:dyDescent="0.25">
      <c r="A74" s="24" t="s">
        <v>15</v>
      </c>
      <c r="B74" s="24" t="s">
        <v>108</v>
      </c>
      <c r="C74" s="24" t="s">
        <v>260</v>
      </c>
      <c r="D74" s="25" t="s">
        <v>355</v>
      </c>
      <c r="E74" s="24" t="s">
        <v>356</v>
      </c>
      <c r="F74" s="25" t="s">
        <v>357</v>
      </c>
      <c r="G74" s="26" t="s">
        <v>180</v>
      </c>
    </row>
    <row r="75" spans="1:7" x14ac:dyDescent="0.25">
      <c r="A75" s="24" t="s">
        <v>15</v>
      </c>
      <c r="B75" s="24" t="s">
        <v>108</v>
      </c>
      <c r="C75" s="24" t="s">
        <v>260</v>
      </c>
      <c r="D75" s="25" t="s">
        <v>358</v>
      </c>
      <c r="E75" s="24" t="s">
        <v>359</v>
      </c>
      <c r="F75" s="25" t="s">
        <v>357</v>
      </c>
      <c r="G75" s="26" t="s">
        <v>180</v>
      </c>
    </row>
    <row r="76" spans="1:7" x14ac:dyDescent="0.25">
      <c r="A76" s="24" t="s">
        <v>15</v>
      </c>
      <c r="B76" s="24" t="s">
        <v>108</v>
      </c>
      <c r="C76" s="24" t="s">
        <v>260</v>
      </c>
      <c r="D76" s="25" t="s">
        <v>360</v>
      </c>
      <c r="E76" s="24" t="s">
        <v>361</v>
      </c>
      <c r="F76" s="25" t="s">
        <v>357</v>
      </c>
      <c r="G76" s="26" t="s">
        <v>180</v>
      </c>
    </row>
    <row r="77" spans="1:7" x14ac:dyDescent="0.25">
      <c r="A77" s="24" t="s">
        <v>15</v>
      </c>
      <c r="B77" s="24" t="s">
        <v>128</v>
      </c>
      <c r="C77" s="24" t="s">
        <v>304</v>
      </c>
      <c r="D77" s="25" t="s">
        <v>362</v>
      </c>
      <c r="E77" s="24" t="s">
        <v>363</v>
      </c>
      <c r="F77" s="25" t="s">
        <v>364</v>
      </c>
      <c r="G77" s="26" t="s">
        <v>180</v>
      </c>
    </row>
  </sheetData>
  <autoFilter ref="A1:G77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9" r:id="rId26"/>
    <hyperlink ref="G30" r:id="rId27"/>
    <hyperlink ref="G31" r:id="rId28"/>
    <hyperlink ref="G32" r:id="rId29"/>
    <hyperlink ref="G33" r:id="rId30"/>
    <hyperlink ref="G34" r:id="rId31"/>
    <hyperlink ref="G35" r:id="rId32"/>
    <hyperlink ref="G36" r:id="rId33"/>
    <hyperlink ref="G37" r:id="rId34"/>
    <hyperlink ref="G38" r:id="rId35"/>
    <hyperlink ref="G39" r:id="rId36"/>
    <hyperlink ref="G40" r:id="rId37"/>
    <hyperlink ref="G41" r:id="rId38"/>
    <hyperlink ref="G42" r:id="rId39"/>
    <hyperlink ref="G43" r:id="rId40"/>
    <hyperlink ref="G44" r:id="rId41"/>
    <hyperlink ref="G45" r:id="rId42"/>
    <hyperlink ref="G46" r:id="rId43"/>
    <hyperlink ref="G47" r:id="rId44"/>
    <hyperlink ref="G48" r:id="rId45"/>
    <hyperlink ref="G49" r:id="rId46"/>
    <hyperlink ref="G50" r:id="rId47"/>
    <hyperlink ref="G51" r:id="rId48"/>
    <hyperlink ref="G52" r:id="rId49"/>
    <hyperlink ref="G53" r:id="rId50"/>
    <hyperlink ref="G54" r:id="rId51"/>
    <hyperlink ref="G55" r:id="rId52"/>
    <hyperlink ref="G56" r:id="rId53"/>
    <hyperlink ref="G57" r:id="rId54"/>
    <hyperlink ref="G58" r:id="rId55"/>
    <hyperlink ref="G60" r:id="rId56"/>
    <hyperlink ref="G61" r:id="rId57"/>
    <hyperlink ref="G62" r:id="rId58"/>
    <hyperlink ref="G63" r:id="rId59"/>
    <hyperlink ref="G64" r:id="rId60"/>
    <hyperlink ref="G65" r:id="rId61"/>
    <hyperlink ref="G66" r:id="rId62"/>
    <hyperlink ref="G68" r:id="rId63"/>
    <hyperlink ref="G69" r:id="rId64"/>
    <hyperlink ref="G70" r:id="rId65"/>
    <hyperlink ref="G71" r:id="rId66"/>
    <hyperlink ref="G74" r:id="rId67"/>
    <hyperlink ref="G75" r:id="rId68"/>
    <hyperlink ref="G76" r:id="rId69"/>
    <hyperlink ref="G77" r:id="rId7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365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148</v>
      </c>
      <c r="C5" s="17" t="s">
        <v>188</v>
      </c>
      <c r="D5" s="16" t="s">
        <v>189</v>
      </c>
      <c r="E5" s="17" t="s">
        <v>190</v>
      </c>
      <c r="F5" s="18" t="s">
        <v>180</v>
      </c>
    </row>
    <row r="6" spans="1:6" x14ac:dyDescent="0.25">
      <c r="A6" s="19" t="s">
        <v>6</v>
      </c>
      <c r="B6" s="19" t="s">
        <v>6</v>
      </c>
      <c r="C6" s="20" t="s">
        <v>191</v>
      </c>
      <c r="D6" s="19" t="s">
        <v>192</v>
      </c>
      <c r="E6" s="20" t="s">
        <v>6</v>
      </c>
      <c r="F6" s="21" t="s">
        <v>193</v>
      </c>
    </row>
    <row r="7" spans="1:6" x14ac:dyDescent="0.25">
      <c r="A7" s="19" t="s">
        <v>6</v>
      </c>
      <c r="B7" s="19" t="s">
        <v>6</v>
      </c>
      <c r="C7" s="20" t="s">
        <v>194</v>
      </c>
      <c r="D7" s="19" t="s">
        <v>195</v>
      </c>
      <c r="E7" s="20" t="s">
        <v>6</v>
      </c>
      <c r="F7" s="21" t="s">
        <v>193</v>
      </c>
    </row>
    <row r="8" spans="1:6" x14ac:dyDescent="0.25">
      <c r="A8" s="19" t="s">
        <v>6</v>
      </c>
      <c r="B8" s="19" t="s">
        <v>6</v>
      </c>
      <c r="C8" s="20" t="s">
        <v>196</v>
      </c>
      <c r="D8" s="19" t="s">
        <v>197</v>
      </c>
      <c r="E8" s="20" t="s">
        <v>6</v>
      </c>
      <c r="F8" s="21" t="s">
        <v>193</v>
      </c>
    </row>
    <row r="9" spans="1:6" x14ac:dyDescent="0.25">
      <c r="A9" s="19" t="s">
        <v>6</v>
      </c>
      <c r="B9" s="19" t="s">
        <v>6</v>
      </c>
      <c r="C9" s="20" t="s">
        <v>198</v>
      </c>
      <c r="D9" s="19" t="s">
        <v>199</v>
      </c>
      <c r="E9" s="20" t="s">
        <v>6</v>
      </c>
      <c r="F9" s="21" t="s">
        <v>193</v>
      </c>
    </row>
    <row r="10" spans="1:6" x14ac:dyDescent="0.25">
      <c r="A10" s="19" t="s">
        <v>6</v>
      </c>
      <c r="B10" s="19" t="s">
        <v>6</v>
      </c>
      <c r="C10" s="20" t="s">
        <v>200</v>
      </c>
      <c r="D10" s="19" t="s">
        <v>201</v>
      </c>
      <c r="E10" s="20" t="s">
        <v>202</v>
      </c>
      <c r="F10" s="21" t="s">
        <v>193</v>
      </c>
    </row>
    <row r="11" spans="1:6" x14ac:dyDescent="0.25">
      <c r="A11" s="19" t="s">
        <v>6</v>
      </c>
      <c r="B11" s="19" t="s">
        <v>6</v>
      </c>
      <c r="C11" s="20" t="s">
        <v>203</v>
      </c>
      <c r="D11" s="19" t="s">
        <v>204</v>
      </c>
      <c r="E11" s="20" t="s">
        <v>202</v>
      </c>
      <c r="F11" s="21" t="s">
        <v>193</v>
      </c>
    </row>
    <row r="12" spans="1:6" x14ac:dyDescent="0.25">
      <c r="A12" s="19" t="s">
        <v>6</v>
      </c>
      <c r="B12" s="19" t="s">
        <v>6</v>
      </c>
      <c r="C12" s="20" t="s">
        <v>205</v>
      </c>
      <c r="D12" s="19" t="s">
        <v>197</v>
      </c>
      <c r="E12" s="20" t="s">
        <v>6</v>
      </c>
      <c r="F12" s="21" t="s">
        <v>193</v>
      </c>
    </row>
    <row r="13" spans="1:6" x14ac:dyDescent="0.25">
      <c r="A13" s="19" t="s">
        <v>6</v>
      </c>
      <c r="B13" s="19" t="s">
        <v>6</v>
      </c>
      <c r="C13" s="20" t="s">
        <v>206</v>
      </c>
      <c r="D13" s="19" t="s">
        <v>195</v>
      </c>
      <c r="E13" s="20" t="s">
        <v>6</v>
      </c>
      <c r="F13" s="21" t="s">
        <v>193</v>
      </c>
    </row>
    <row r="14" spans="1:6" x14ac:dyDescent="0.25">
      <c r="A14" s="19" t="s">
        <v>6</v>
      </c>
      <c r="B14" s="19" t="s">
        <v>6</v>
      </c>
      <c r="C14" s="20" t="s">
        <v>207</v>
      </c>
      <c r="D14" s="19" t="s">
        <v>208</v>
      </c>
      <c r="E14" s="20" t="s">
        <v>6</v>
      </c>
      <c r="F14" s="21" t="s">
        <v>193</v>
      </c>
    </row>
    <row r="15" spans="1:6" x14ac:dyDescent="0.25">
      <c r="A15" s="19" t="s">
        <v>6</v>
      </c>
      <c r="B15" s="19" t="s">
        <v>6</v>
      </c>
      <c r="C15" s="20" t="s">
        <v>209</v>
      </c>
      <c r="D15" s="19" t="s">
        <v>210</v>
      </c>
      <c r="E15" s="20" t="s">
        <v>6</v>
      </c>
      <c r="F15" s="21" t="s">
        <v>193</v>
      </c>
    </row>
    <row r="16" spans="1:6" x14ac:dyDescent="0.25">
      <c r="A16" s="14" t="s">
        <v>14</v>
      </c>
      <c r="B16" s="14" t="s">
        <v>146</v>
      </c>
      <c r="C16" s="22" t="s">
        <v>310</v>
      </c>
      <c r="D16" s="14" t="s">
        <v>311</v>
      </c>
      <c r="E16" s="22" t="s">
        <v>312</v>
      </c>
      <c r="F16" s="23" t="s">
        <v>180</v>
      </c>
    </row>
    <row r="17" spans="1:6" x14ac:dyDescent="0.25">
      <c r="A17" s="19" t="s">
        <v>6</v>
      </c>
      <c r="B17" s="19" t="s">
        <v>6</v>
      </c>
      <c r="C17" s="20" t="s">
        <v>313</v>
      </c>
      <c r="D17" s="19" t="s">
        <v>314</v>
      </c>
      <c r="E17" s="20" t="s">
        <v>6</v>
      </c>
      <c r="F17" s="21" t="s">
        <v>193</v>
      </c>
    </row>
    <row r="18" spans="1:6" x14ac:dyDescent="0.25">
      <c r="A18" s="19" t="s">
        <v>6</v>
      </c>
      <c r="B18" s="19" t="s">
        <v>6</v>
      </c>
      <c r="C18" s="20" t="s">
        <v>315</v>
      </c>
      <c r="D18" s="19" t="s">
        <v>316</v>
      </c>
      <c r="E18" s="20" t="s">
        <v>6</v>
      </c>
      <c r="F18" s="21" t="s">
        <v>193</v>
      </c>
    </row>
    <row r="19" spans="1:6" x14ac:dyDescent="0.25">
      <c r="A19" s="14" t="s">
        <v>14</v>
      </c>
      <c r="B19" s="14" t="s">
        <v>146</v>
      </c>
      <c r="C19" s="22" t="s">
        <v>317</v>
      </c>
      <c r="D19" s="14" t="s">
        <v>318</v>
      </c>
      <c r="E19" s="22" t="s">
        <v>312</v>
      </c>
      <c r="F19" s="23" t="s">
        <v>180</v>
      </c>
    </row>
    <row r="20" spans="1:6" x14ac:dyDescent="0.25">
      <c r="A20" s="19" t="s">
        <v>6</v>
      </c>
      <c r="B20" s="19" t="s">
        <v>6</v>
      </c>
      <c r="C20" s="20" t="s">
        <v>319</v>
      </c>
      <c r="D20" s="19" t="s">
        <v>320</v>
      </c>
      <c r="E20" s="20" t="s">
        <v>6</v>
      </c>
      <c r="F20" s="21" t="s">
        <v>193</v>
      </c>
    </row>
    <row r="21" spans="1:6" x14ac:dyDescent="0.25">
      <c r="A21" s="19" t="s">
        <v>6</v>
      </c>
      <c r="B21" s="19" t="s">
        <v>6</v>
      </c>
      <c r="C21" s="20" t="s">
        <v>321</v>
      </c>
      <c r="D21" s="19" t="s">
        <v>322</v>
      </c>
      <c r="E21" s="20" t="s">
        <v>6</v>
      </c>
      <c r="F21" s="19" t="s">
        <v>6</v>
      </c>
    </row>
    <row r="22" spans="1:6" x14ac:dyDescent="0.25">
      <c r="A22" s="19" t="s">
        <v>6</v>
      </c>
      <c r="B22" s="19" t="s">
        <v>6</v>
      </c>
      <c r="C22" s="20" t="s">
        <v>323</v>
      </c>
      <c r="D22" s="19" t="s">
        <v>324</v>
      </c>
      <c r="E22" s="20" t="s">
        <v>6</v>
      </c>
      <c r="F22" s="21" t="s">
        <v>193</v>
      </c>
    </row>
    <row r="23" spans="1:6" x14ac:dyDescent="0.25">
      <c r="A23" s="14" t="s">
        <v>14</v>
      </c>
      <c r="B23" s="14" t="s">
        <v>146</v>
      </c>
      <c r="C23" s="22" t="s">
        <v>325</v>
      </c>
      <c r="D23" s="14" t="s">
        <v>311</v>
      </c>
      <c r="E23" s="22" t="s">
        <v>312</v>
      </c>
      <c r="F23" s="23" t="s">
        <v>180</v>
      </c>
    </row>
    <row r="24" spans="1:6" x14ac:dyDescent="0.25">
      <c r="A24" s="19" t="s">
        <v>6</v>
      </c>
      <c r="B24" s="19" t="s">
        <v>6</v>
      </c>
      <c r="C24" s="20" t="s">
        <v>326</v>
      </c>
      <c r="D24" s="19" t="s">
        <v>327</v>
      </c>
      <c r="E24" s="20" t="s">
        <v>6</v>
      </c>
      <c r="F24" s="21" t="s">
        <v>193</v>
      </c>
    </row>
    <row r="25" spans="1:6" x14ac:dyDescent="0.25">
      <c r="A25" s="19" t="s">
        <v>6</v>
      </c>
      <c r="B25" s="19" t="s">
        <v>6</v>
      </c>
      <c r="C25" s="20" t="s">
        <v>328</v>
      </c>
      <c r="D25" s="19" t="s">
        <v>329</v>
      </c>
      <c r="E25" s="20" t="s">
        <v>6</v>
      </c>
      <c r="F25" s="21" t="s">
        <v>193</v>
      </c>
    </row>
    <row r="26" spans="1:6" x14ac:dyDescent="0.25">
      <c r="A26" s="14" t="s">
        <v>14</v>
      </c>
      <c r="B26" s="14" t="s">
        <v>146</v>
      </c>
      <c r="C26" s="22" t="s">
        <v>330</v>
      </c>
      <c r="D26" s="14" t="s">
        <v>311</v>
      </c>
      <c r="E26" s="22" t="s">
        <v>312</v>
      </c>
      <c r="F26" s="23" t="s">
        <v>180</v>
      </c>
    </row>
    <row r="27" spans="1:6" x14ac:dyDescent="0.25">
      <c r="A27" s="19" t="s">
        <v>6</v>
      </c>
      <c r="B27" s="19" t="s">
        <v>6</v>
      </c>
      <c r="C27" s="20" t="s">
        <v>331</v>
      </c>
      <c r="D27" s="19" t="s">
        <v>332</v>
      </c>
      <c r="E27" s="20" t="s">
        <v>6</v>
      </c>
      <c r="F27" s="21" t="s">
        <v>193</v>
      </c>
    </row>
    <row r="28" spans="1:6" x14ac:dyDescent="0.25">
      <c r="A28" s="19" t="s">
        <v>6</v>
      </c>
      <c r="B28" s="19" t="s">
        <v>6</v>
      </c>
      <c r="C28" s="20" t="s">
        <v>333</v>
      </c>
      <c r="D28" s="19" t="s">
        <v>334</v>
      </c>
      <c r="E28" s="20" t="s">
        <v>6</v>
      </c>
      <c r="F28" s="21" t="s">
        <v>193</v>
      </c>
    </row>
  </sheetData>
  <autoFilter ref="A4:F28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2" r:id="rId17"/>
    <hyperlink ref="F23" r:id="rId18"/>
    <hyperlink ref="F24" r:id="rId19"/>
    <hyperlink ref="F25" r:id="rId20"/>
    <hyperlink ref="F26" r:id="rId21"/>
    <hyperlink ref="F27" r:id="rId22"/>
    <hyperlink ref="F28" r:id="rId2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19</v>
      </c>
      <c r="B1" s="27"/>
      <c r="C1" s="27"/>
      <c r="D1" s="27"/>
      <c r="E1" s="27"/>
      <c r="F1" s="27"/>
    </row>
    <row r="2" spans="1:1" x14ac:dyDescent="0.25">
      <c r="A2" s="28" t="s">
        <v>366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156</v>
      </c>
      <c r="C5" s="22" t="s">
        <v>336</v>
      </c>
      <c r="D5" s="14" t="s">
        <v>337</v>
      </c>
      <c r="E5" s="22" t="s">
        <v>338</v>
      </c>
      <c r="F5" s="14" t="s">
        <v>6</v>
      </c>
    </row>
    <row r="6" spans="1:6" x14ac:dyDescent="0.25">
      <c r="A6" s="19" t="s">
        <v>6</v>
      </c>
      <c r="B6" s="19" t="s">
        <v>6</v>
      </c>
      <c r="C6" s="20" t="s">
        <v>339</v>
      </c>
      <c r="D6" s="19" t="s">
        <v>340</v>
      </c>
      <c r="E6" s="20" t="s">
        <v>341</v>
      </c>
      <c r="F6" s="21" t="s">
        <v>193</v>
      </c>
    </row>
    <row r="7" spans="1:6" x14ac:dyDescent="0.25">
      <c r="A7" s="19" t="s">
        <v>6</v>
      </c>
      <c r="B7" s="19" t="s">
        <v>6</v>
      </c>
      <c r="C7" s="20" t="s">
        <v>342</v>
      </c>
      <c r="D7" s="19" t="s">
        <v>340</v>
      </c>
      <c r="E7" s="20" t="s">
        <v>343</v>
      </c>
      <c r="F7" s="21" t="s">
        <v>193</v>
      </c>
    </row>
    <row r="8" spans="1:6" x14ac:dyDescent="0.25">
      <c r="A8" s="19" t="s">
        <v>6</v>
      </c>
      <c r="B8" s="19" t="s">
        <v>6</v>
      </c>
      <c r="C8" s="20" t="s">
        <v>342</v>
      </c>
      <c r="D8" s="19" t="s">
        <v>344</v>
      </c>
      <c r="E8" s="20" t="s">
        <v>345</v>
      </c>
      <c r="F8" s="21" t="s">
        <v>193</v>
      </c>
    </row>
  </sheetData>
  <autoFilter ref="A4:F8"/>
  <mergeCells count="1">
    <mergeCell ref="A1:F1"/>
  </mergeCells>
  <hyperlinks>
    <hyperlink ref="F6" r:id="rId1"/>
    <hyperlink ref="F7" r:id="rId2"/>
    <hyperlink ref="F8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367</v>
      </c>
    </row>
    <row r="4" spans="1:1" x14ac:dyDescent="0.25">
      <c r="A4" s="29" t="s">
        <v>368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369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38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6" t="s">
        <v>13</v>
      </c>
      <c r="B6" s="16" t="s">
        <v>110</v>
      </c>
      <c r="C6" s="17" t="s">
        <v>182</v>
      </c>
      <c r="D6" s="16" t="s">
        <v>183</v>
      </c>
      <c r="E6" s="17" t="s">
        <v>184</v>
      </c>
      <c r="F6" s="18" t="s">
        <v>180</v>
      </c>
    </row>
    <row r="7" spans="1:6" x14ac:dyDescent="0.25">
      <c r="A7" s="16" t="s">
        <v>13</v>
      </c>
      <c r="B7" s="16" t="s">
        <v>110</v>
      </c>
      <c r="C7" s="17" t="s">
        <v>185</v>
      </c>
      <c r="D7" s="16" t="s">
        <v>186</v>
      </c>
      <c r="E7" s="17" t="s">
        <v>184</v>
      </c>
      <c r="F7" s="18" t="s">
        <v>180</v>
      </c>
    </row>
    <row r="8" spans="1:6" x14ac:dyDescent="0.25">
      <c r="A8" s="14" t="s">
        <v>14</v>
      </c>
      <c r="B8" s="14" t="s">
        <v>42</v>
      </c>
      <c r="C8" s="22" t="s">
        <v>218</v>
      </c>
      <c r="D8" s="14" t="s">
        <v>219</v>
      </c>
      <c r="E8" s="22" t="s">
        <v>220</v>
      </c>
      <c r="F8" s="23" t="s">
        <v>180</v>
      </c>
    </row>
    <row r="9" spans="1:6" x14ac:dyDescent="0.25">
      <c r="A9" s="14" t="s">
        <v>14</v>
      </c>
      <c r="B9" s="14" t="s">
        <v>60</v>
      </c>
      <c r="C9" s="22" t="s">
        <v>229</v>
      </c>
      <c r="D9" s="14" t="s">
        <v>230</v>
      </c>
      <c r="E9" s="22" t="s">
        <v>231</v>
      </c>
      <c r="F9" s="23" t="s">
        <v>180</v>
      </c>
    </row>
    <row r="10" spans="1:6" x14ac:dyDescent="0.25">
      <c r="A10" s="14" t="s">
        <v>14</v>
      </c>
      <c r="B10" s="14" t="s">
        <v>62</v>
      </c>
      <c r="C10" s="22" t="s">
        <v>232</v>
      </c>
      <c r="D10" s="14" t="s">
        <v>233</v>
      </c>
      <c r="E10" s="22" t="s">
        <v>234</v>
      </c>
      <c r="F10" s="23" t="s">
        <v>180</v>
      </c>
    </row>
    <row r="11" spans="1:6" x14ac:dyDescent="0.25">
      <c r="A11" s="14" t="s">
        <v>14</v>
      </c>
      <c r="B11" s="14" t="s">
        <v>62</v>
      </c>
      <c r="C11" s="22" t="s">
        <v>235</v>
      </c>
      <c r="D11" s="14" t="s">
        <v>236</v>
      </c>
      <c r="E11" s="22" t="s">
        <v>234</v>
      </c>
      <c r="F11" s="23" t="s">
        <v>180</v>
      </c>
    </row>
    <row r="12" spans="1:6" x14ac:dyDescent="0.25">
      <c r="A12" s="14" t="s">
        <v>14</v>
      </c>
      <c r="B12" s="14" t="s">
        <v>62</v>
      </c>
      <c r="C12" s="22" t="s">
        <v>237</v>
      </c>
      <c r="D12" s="14" t="s">
        <v>238</v>
      </c>
      <c r="E12" s="22" t="s">
        <v>234</v>
      </c>
      <c r="F12" s="23" t="s">
        <v>180</v>
      </c>
    </row>
    <row r="13" spans="1:6" x14ac:dyDescent="0.25">
      <c r="A13" s="14" t="s">
        <v>14</v>
      </c>
      <c r="B13" s="14" t="s">
        <v>62</v>
      </c>
      <c r="C13" s="22" t="s">
        <v>239</v>
      </c>
      <c r="D13" s="14" t="s">
        <v>240</v>
      </c>
      <c r="E13" s="22" t="s">
        <v>234</v>
      </c>
      <c r="F13" s="23" t="s">
        <v>180</v>
      </c>
    </row>
    <row r="14" spans="1:6" x14ac:dyDescent="0.25">
      <c r="A14" s="14" t="s">
        <v>14</v>
      </c>
      <c r="B14" s="14" t="s">
        <v>112</v>
      </c>
      <c r="C14" s="22" t="s">
        <v>270</v>
      </c>
      <c r="D14" s="14" t="s">
        <v>271</v>
      </c>
      <c r="E14" s="22" t="s">
        <v>272</v>
      </c>
      <c r="F14" s="23" t="s">
        <v>180</v>
      </c>
    </row>
    <row r="15" spans="1:6" x14ac:dyDescent="0.25">
      <c r="A15" s="19" t="s">
        <v>6</v>
      </c>
      <c r="B15" s="19" t="s">
        <v>6</v>
      </c>
      <c r="C15" s="20" t="s">
        <v>273</v>
      </c>
      <c r="D15" s="19" t="s">
        <v>274</v>
      </c>
      <c r="E15" s="20" t="s">
        <v>6</v>
      </c>
      <c r="F15" s="21" t="s">
        <v>193</v>
      </c>
    </row>
    <row r="16" spans="1:6" x14ac:dyDescent="0.25">
      <c r="A16" s="14" t="s">
        <v>14</v>
      </c>
      <c r="B16" s="14" t="s">
        <v>112</v>
      </c>
      <c r="C16" s="22" t="s">
        <v>275</v>
      </c>
      <c r="D16" s="14" t="s">
        <v>276</v>
      </c>
      <c r="E16" s="22" t="s">
        <v>272</v>
      </c>
      <c r="F16" s="23" t="s">
        <v>180</v>
      </c>
    </row>
    <row r="17" spans="1:6" x14ac:dyDescent="0.25">
      <c r="A17" s="19" t="s">
        <v>6</v>
      </c>
      <c r="B17" s="19" t="s">
        <v>6</v>
      </c>
      <c r="C17" s="20" t="s">
        <v>277</v>
      </c>
      <c r="D17" s="19" t="s">
        <v>192</v>
      </c>
      <c r="E17" s="20" t="s">
        <v>6</v>
      </c>
      <c r="F17" s="21" t="s">
        <v>193</v>
      </c>
    </row>
    <row r="18" spans="1:6" x14ac:dyDescent="0.25">
      <c r="A18" s="14" t="s">
        <v>14</v>
      </c>
      <c r="B18" s="14" t="s">
        <v>112</v>
      </c>
      <c r="C18" s="22" t="s">
        <v>278</v>
      </c>
      <c r="D18" s="14" t="s">
        <v>279</v>
      </c>
      <c r="E18" s="22" t="s">
        <v>272</v>
      </c>
      <c r="F18" s="23" t="s">
        <v>180</v>
      </c>
    </row>
    <row r="19" spans="1:6" x14ac:dyDescent="0.25">
      <c r="A19" s="19" t="s">
        <v>6</v>
      </c>
      <c r="B19" s="19" t="s">
        <v>6</v>
      </c>
      <c r="C19" s="20" t="s">
        <v>280</v>
      </c>
      <c r="D19" s="19" t="s">
        <v>281</v>
      </c>
      <c r="E19" s="20" t="s">
        <v>6</v>
      </c>
      <c r="F19" s="21" t="s">
        <v>193</v>
      </c>
    </row>
    <row r="20" spans="1:6" x14ac:dyDescent="0.25">
      <c r="A20" s="19" t="s">
        <v>6</v>
      </c>
      <c r="B20" s="19" t="s">
        <v>6</v>
      </c>
      <c r="C20" s="20" t="s">
        <v>282</v>
      </c>
      <c r="D20" s="19" t="s">
        <v>283</v>
      </c>
      <c r="E20" s="20" t="s">
        <v>6</v>
      </c>
      <c r="F20" s="21" t="s">
        <v>193</v>
      </c>
    </row>
    <row r="21" spans="1:6" x14ac:dyDescent="0.25">
      <c r="A21" s="19" t="s">
        <v>6</v>
      </c>
      <c r="B21" s="19" t="s">
        <v>6</v>
      </c>
      <c r="C21" s="20" t="s">
        <v>284</v>
      </c>
      <c r="D21" s="19" t="s">
        <v>285</v>
      </c>
      <c r="E21" s="20" t="s">
        <v>6</v>
      </c>
      <c r="F21" s="21" t="s">
        <v>193</v>
      </c>
    </row>
    <row r="22" spans="1:6" x14ac:dyDescent="0.25">
      <c r="A22" s="19" t="s">
        <v>6</v>
      </c>
      <c r="B22" s="19" t="s">
        <v>6</v>
      </c>
      <c r="C22" s="20" t="s">
        <v>286</v>
      </c>
      <c r="D22" s="19" t="s">
        <v>287</v>
      </c>
      <c r="E22" s="20" t="s">
        <v>6</v>
      </c>
      <c r="F22" s="21" t="s">
        <v>193</v>
      </c>
    </row>
    <row r="23" spans="1:6" x14ac:dyDescent="0.25">
      <c r="A23" s="14" t="s">
        <v>14</v>
      </c>
      <c r="B23" s="14" t="s">
        <v>114</v>
      </c>
      <c r="C23" s="22" t="s">
        <v>288</v>
      </c>
      <c r="D23" s="14" t="s">
        <v>223</v>
      </c>
      <c r="E23" s="22" t="s">
        <v>289</v>
      </c>
      <c r="F23" s="23" t="s">
        <v>180</v>
      </c>
    </row>
    <row r="24" spans="1:6" x14ac:dyDescent="0.25">
      <c r="A24" s="19" t="s">
        <v>6</v>
      </c>
      <c r="B24" s="19" t="s">
        <v>6</v>
      </c>
      <c r="C24" s="20" t="s">
        <v>290</v>
      </c>
      <c r="D24" s="19" t="s">
        <v>291</v>
      </c>
      <c r="E24" s="20" t="s">
        <v>6</v>
      </c>
      <c r="F24" s="21" t="s">
        <v>193</v>
      </c>
    </row>
    <row r="25" spans="1:6" x14ac:dyDescent="0.25">
      <c r="A25" s="19" t="s">
        <v>6</v>
      </c>
      <c r="B25" s="19" t="s">
        <v>6</v>
      </c>
      <c r="C25" s="20" t="s">
        <v>292</v>
      </c>
      <c r="D25" s="19" t="s">
        <v>293</v>
      </c>
      <c r="E25" s="20" t="s">
        <v>6</v>
      </c>
      <c r="F25" s="21" t="s">
        <v>193</v>
      </c>
    </row>
    <row r="26" spans="1:6" x14ac:dyDescent="0.25">
      <c r="A26" s="19" t="s">
        <v>6</v>
      </c>
      <c r="B26" s="19" t="s">
        <v>6</v>
      </c>
      <c r="C26" s="20" t="s">
        <v>294</v>
      </c>
      <c r="D26" s="19" t="s">
        <v>295</v>
      </c>
      <c r="E26" s="20" t="s">
        <v>296</v>
      </c>
      <c r="F26" s="21" t="s">
        <v>193</v>
      </c>
    </row>
    <row r="27" spans="1:6" x14ac:dyDescent="0.25">
      <c r="A27" s="14" t="s">
        <v>14</v>
      </c>
      <c r="B27" s="14" t="s">
        <v>116</v>
      </c>
      <c r="C27" s="22" t="s">
        <v>297</v>
      </c>
      <c r="D27" s="14" t="s">
        <v>298</v>
      </c>
      <c r="E27" s="22" t="s">
        <v>299</v>
      </c>
      <c r="F27" s="23" t="s">
        <v>180</v>
      </c>
    </row>
    <row r="28" spans="1:6" x14ac:dyDescent="0.25">
      <c r="A28" s="14" t="s">
        <v>14</v>
      </c>
      <c r="B28" s="14" t="s">
        <v>116</v>
      </c>
      <c r="C28" s="22" t="s">
        <v>300</v>
      </c>
      <c r="D28" s="14" t="s">
        <v>301</v>
      </c>
      <c r="E28" s="22" t="s">
        <v>299</v>
      </c>
      <c r="F28" s="23" t="s">
        <v>180</v>
      </c>
    </row>
    <row r="29" spans="1:6" x14ac:dyDescent="0.25">
      <c r="A29" s="14" t="s">
        <v>14</v>
      </c>
      <c r="B29" s="14" t="s">
        <v>116</v>
      </c>
      <c r="C29" s="22" t="s">
        <v>302</v>
      </c>
      <c r="D29" s="14" t="s">
        <v>303</v>
      </c>
      <c r="E29" s="22" t="s">
        <v>299</v>
      </c>
      <c r="F29" s="23" t="s">
        <v>180</v>
      </c>
    </row>
  </sheetData>
  <autoFilter ref="A4:F29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1" r:id="rId17"/>
    <hyperlink ref="F22" r:id="rId18"/>
    <hyperlink ref="F23" r:id="rId19"/>
    <hyperlink ref="F24" r:id="rId20"/>
    <hyperlink ref="F25" r:id="rId21"/>
    <hyperlink ref="F26" r:id="rId22"/>
    <hyperlink ref="F27" r:id="rId23"/>
    <hyperlink ref="F28" r:id="rId24"/>
    <hyperlink ref="F29" r:id="rId2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370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86</v>
      </c>
      <c r="C5" s="22" t="s">
        <v>242</v>
      </c>
      <c r="D5" s="14" t="s">
        <v>243</v>
      </c>
      <c r="E5" s="22" t="s">
        <v>244</v>
      </c>
      <c r="F5" s="23" t="s">
        <v>180</v>
      </c>
    </row>
    <row r="6" spans="1:6" x14ac:dyDescent="0.25">
      <c r="A6" s="14" t="s">
        <v>14</v>
      </c>
      <c r="B6" s="14" t="s">
        <v>92</v>
      </c>
      <c r="C6" s="22" t="s">
        <v>246</v>
      </c>
      <c r="D6" s="14" t="s">
        <v>247</v>
      </c>
      <c r="E6" s="22" t="s">
        <v>248</v>
      </c>
      <c r="F6" s="23" t="s">
        <v>180</v>
      </c>
    </row>
    <row r="7" spans="1:6" x14ac:dyDescent="0.25">
      <c r="A7" s="14" t="s">
        <v>14</v>
      </c>
      <c r="B7" s="14" t="s">
        <v>96</v>
      </c>
      <c r="C7" s="22" t="s">
        <v>250</v>
      </c>
      <c r="D7" s="14" t="s">
        <v>251</v>
      </c>
      <c r="E7" s="22" t="s">
        <v>252</v>
      </c>
      <c r="F7" s="14" t="s">
        <v>6</v>
      </c>
    </row>
    <row r="8" spans="1:6" x14ac:dyDescent="0.25">
      <c r="A8" s="14" t="s">
        <v>14</v>
      </c>
      <c r="B8" s="14" t="s">
        <v>98</v>
      </c>
      <c r="C8" s="22" t="s">
        <v>253</v>
      </c>
      <c r="D8" s="14" t="s">
        <v>254</v>
      </c>
      <c r="E8" s="22" t="s">
        <v>255</v>
      </c>
      <c r="F8" s="23" t="s">
        <v>180</v>
      </c>
    </row>
    <row r="9" spans="1:6" x14ac:dyDescent="0.25">
      <c r="A9" s="14" t="s">
        <v>14</v>
      </c>
      <c r="B9" s="14" t="s">
        <v>98</v>
      </c>
      <c r="C9" s="22" t="s">
        <v>256</v>
      </c>
      <c r="D9" s="14" t="s">
        <v>257</v>
      </c>
      <c r="E9" s="22" t="s">
        <v>255</v>
      </c>
      <c r="F9" s="23" t="s">
        <v>180</v>
      </c>
    </row>
    <row r="10" spans="1:6" x14ac:dyDescent="0.25">
      <c r="A10" s="14" t="s">
        <v>14</v>
      </c>
      <c r="B10" s="14" t="s">
        <v>98</v>
      </c>
      <c r="C10" s="22" t="s">
        <v>258</v>
      </c>
      <c r="D10" s="14" t="s">
        <v>259</v>
      </c>
      <c r="E10" s="22" t="s">
        <v>255</v>
      </c>
      <c r="F10" s="23" t="s">
        <v>180</v>
      </c>
    </row>
    <row r="11" spans="1:6" x14ac:dyDescent="0.25">
      <c r="A11" s="14" t="s">
        <v>14</v>
      </c>
      <c r="B11" s="14" t="s">
        <v>102</v>
      </c>
      <c r="C11" s="22" t="s">
        <v>261</v>
      </c>
      <c r="D11" s="14" t="s">
        <v>262</v>
      </c>
      <c r="E11" s="22" t="s">
        <v>263</v>
      </c>
      <c r="F11" s="23" t="s">
        <v>180</v>
      </c>
    </row>
    <row r="12" spans="1:6" x14ac:dyDescent="0.25">
      <c r="A12" s="14" t="s">
        <v>14</v>
      </c>
      <c r="B12" s="14" t="s">
        <v>102</v>
      </c>
      <c r="C12" s="22" t="s">
        <v>264</v>
      </c>
      <c r="D12" s="14" t="s">
        <v>262</v>
      </c>
      <c r="E12" s="22" t="s">
        <v>263</v>
      </c>
      <c r="F12" s="23" t="s">
        <v>180</v>
      </c>
    </row>
    <row r="13" spans="1:6" x14ac:dyDescent="0.25">
      <c r="A13" s="14" t="s">
        <v>14</v>
      </c>
      <c r="B13" s="14" t="s">
        <v>102</v>
      </c>
      <c r="C13" s="22" t="s">
        <v>265</v>
      </c>
      <c r="D13" s="14" t="s">
        <v>266</v>
      </c>
      <c r="E13" s="22" t="s">
        <v>263</v>
      </c>
      <c r="F13" s="23" t="s">
        <v>180</v>
      </c>
    </row>
    <row r="14" spans="1:6" x14ac:dyDescent="0.25">
      <c r="A14" s="14" t="s">
        <v>14</v>
      </c>
      <c r="B14" s="14" t="s">
        <v>104</v>
      </c>
      <c r="C14" s="22" t="s">
        <v>267</v>
      </c>
      <c r="D14" s="14" t="s">
        <v>268</v>
      </c>
      <c r="E14" s="22" t="s">
        <v>269</v>
      </c>
      <c r="F14" s="23" t="s">
        <v>180</v>
      </c>
    </row>
    <row r="15" spans="1:6" x14ac:dyDescent="0.25">
      <c r="A15" s="14" t="s">
        <v>14</v>
      </c>
      <c r="B15" s="14" t="s">
        <v>126</v>
      </c>
      <c r="C15" s="22" t="s">
        <v>305</v>
      </c>
      <c r="D15" s="14" t="s">
        <v>306</v>
      </c>
      <c r="E15" s="22" t="s">
        <v>307</v>
      </c>
      <c r="F15" s="23" t="s">
        <v>180</v>
      </c>
    </row>
    <row r="16" spans="1:6" x14ac:dyDescent="0.25">
      <c r="A16" s="14" t="s">
        <v>14</v>
      </c>
      <c r="B16" s="14" t="s">
        <v>126</v>
      </c>
      <c r="C16" s="22" t="s">
        <v>308</v>
      </c>
      <c r="D16" s="14" t="s">
        <v>306</v>
      </c>
      <c r="E16" s="22" t="s">
        <v>309</v>
      </c>
      <c r="F16" s="23" t="s">
        <v>180</v>
      </c>
    </row>
    <row r="17" spans="1:6" x14ac:dyDescent="0.25">
      <c r="A17" s="24" t="s">
        <v>15</v>
      </c>
      <c r="B17" s="24" t="s">
        <v>100</v>
      </c>
      <c r="C17" s="25" t="s">
        <v>352</v>
      </c>
      <c r="D17" s="24" t="s">
        <v>353</v>
      </c>
      <c r="E17" s="25" t="s">
        <v>354</v>
      </c>
      <c r="F17" s="24" t="s">
        <v>6</v>
      </c>
    </row>
    <row r="18" spans="1:6" x14ac:dyDescent="0.25">
      <c r="A18" s="24" t="s">
        <v>15</v>
      </c>
      <c r="B18" s="24" t="s">
        <v>108</v>
      </c>
      <c r="C18" s="25" t="s">
        <v>355</v>
      </c>
      <c r="D18" s="24" t="s">
        <v>356</v>
      </c>
      <c r="E18" s="25" t="s">
        <v>357</v>
      </c>
      <c r="F18" s="26" t="s">
        <v>180</v>
      </c>
    </row>
    <row r="19" spans="1:6" x14ac:dyDescent="0.25">
      <c r="A19" s="24" t="s">
        <v>15</v>
      </c>
      <c r="B19" s="24" t="s">
        <v>108</v>
      </c>
      <c r="C19" s="25" t="s">
        <v>358</v>
      </c>
      <c r="D19" s="24" t="s">
        <v>359</v>
      </c>
      <c r="E19" s="25" t="s">
        <v>357</v>
      </c>
      <c r="F19" s="26" t="s">
        <v>180</v>
      </c>
    </row>
    <row r="20" spans="1:6" x14ac:dyDescent="0.25">
      <c r="A20" s="24" t="s">
        <v>15</v>
      </c>
      <c r="B20" s="24" t="s">
        <v>108</v>
      </c>
      <c r="C20" s="25" t="s">
        <v>360</v>
      </c>
      <c r="D20" s="24" t="s">
        <v>361</v>
      </c>
      <c r="E20" s="25" t="s">
        <v>357</v>
      </c>
      <c r="F20" s="26" t="s">
        <v>180</v>
      </c>
    </row>
    <row r="21" spans="1:6" x14ac:dyDescent="0.25">
      <c r="A21" s="24" t="s">
        <v>15</v>
      </c>
      <c r="B21" s="24" t="s">
        <v>128</v>
      </c>
      <c r="C21" s="25" t="s">
        <v>362</v>
      </c>
      <c r="D21" s="24" t="s">
        <v>363</v>
      </c>
      <c r="E21" s="25" t="s">
        <v>364</v>
      </c>
      <c r="F21" s="26" t="s">
        <v>180</v>
      </c>
    </row>
  </sheetData>
  <autoFilter ref="A4:F21"/>
  <mergeCells count="1">
    <mergeCell ref="A1:F1"/>
  </mergeCells>
  <hyperlinks>
    <hyperlink ref="F5" r:id="rId1"/>
    <hyperlink ref="F6" r:id="rId2"/>
    <hyperlink ref="F8" r:id="rId3"/>
    <hyperlink ref="F9" r:id="rId4"/>
    <hyperlink ref="F10" r:id="rId5"/>
    <hyperlink ref="F11" r:id="rId6"/>
    <hyperlink ref="F12" r:id="rId7"/>
    <hyperlink ref="F13" r:id="rId8"/>
    <hyperlink ref="F14" r:id="rId9"/>
    <hyperlink ref="F15" r:id="rId10"/>
    <hyperlink ref="F16" r:id="rId11"/>
    <hyperlink ref="F18" r:id="rId12"/>
    <hyperlink ref="F19" r:id="rId13"/>
    <hyperlink ref="F20" r:id="rId14"/>
    <hyperlink ref="F21" r:id="rId1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371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28</v>
      </c>
      <c r="C5" s="22" t="s">
        <v>212</v>
      </c>
      <c r="D5" s="14" t="s">
        <v>213</v>
      </c>
      <c r="E5" s="22" t="s">
        <v>214</v>
      </c>
      <c r="F5" s="23" t="s">
        <v>180</v>
      </c>
    </row>
    <row r="6" spans="1:6" x14ac:dyDescent="0.25">
      <c r="A6" s="14" t="s">
        <v>14</v>
      </c>
      <c r="B6" s="14" t="s">
        <v>31</v>
      </c>
      <c r="C6" s="22" t="s">
        <v>215</v>
      </c>
      <c r="D6" s="14" t="s">
        <v>216</v>
      </c>
      <c r="E6" s="22" t="s">
        <v>217</v>
      </c>
      <c r="F6" s="14" t="s">
        <v>6</v>
      </c>
    </row>
    <row r="7" spans="1:6" x14ac:dyDescent="0.25">
      <c r="A7" s="14" t="s">
        <v>14</v>
      </c>
      <c r="B7" s="14" t="s">
        <v>48</v>
      </c>
      <c r="C7" s="22" t="s">
        <v>222</v>
      </c>
      <c r="D7" s="14" t="s">
        <v>223</v>
      </c>
      <c r="E7" s="22" t="s">
        <v>224</v>
      </c>
      <c r="F7" s="23" t="s">
        <v>180</v>
      </c>
    </row>
    <row r="8" spans="1:6" x14ac:dyDescent="0.25">
      <c r="A8" s="14" t="s">
        <v>14</v>
      </c>
      <c r="B8" s="14" t="s">
        <v>52</v>
      </c>
      <c r="C8" s="22" t="s">
        <v>225</v>
      </c>
      <c r="D8" s="14" t="s">
        <v>226</v>
      </c>
      <c r="E8" s="22" t="s">
        <v>227</v>
      </c>
      <c r="F8" s="23" t="s">
        <v>180</v>
      </c>
    </row>
    <row r="9" spans="1:6" x14ac:dyDescent="0.25">
      <c r="A9" s="24" t="s">
        <v>15</v>
      </c>
      <c r="B9" s="24" t="s">
        <v>54</v>
      </c>
      <c r="C9" s="25" t="s">
        <v>346</v>
      </c>
      <c r="D9" s="24" t="s">
        <v>347</v>
      </c>
      <c r="E9" s="25" t="s">
        <v>348</v>
      </c>
      <c r="F9" s="26" t="s">
        <v>180</v>
      </c>
    </row>
    <row r="10" spans="1:6" x14ac:dyDescent="0.25">
      <c r="A10" s="24" t="s">
        <v>15</v>
      </c>
      <c r="B10" s="24" t="s">
        <v>56</v>
      </c>
      <c r="C10" s="25" t="s">
        <v>349</v>
      </c>
      <c r="D10" s="24" t="s">
        <v>350</v>
      </c>
      <c r="E10" s="25" t="s">
        <v>351</v>
      </c>
      <c r="F10" s="24" t="s">
        <v>6</v>
      </c>
    </row>
  </sheetData>
  <autoFilter ref="A4:F10"/>
  <mergeCells count="1">
    <mergeCell ref="A1:F1"/>
  </mergeCells>
  <hyperlinks>
    <hyperlink ref="F5" r:id="rId1"/>
    <hyperlink ref="F7" r:id="rId2"/>
    <hyperlink ref="F8" r:id="rId3"/>
    <hyperlink ref="F9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372</v>
      </c>
      <c r="B1" s="5" t="s">
        <v>373</v>
      </c>
      <c r="C1" s="5" t="s">
        <v>374</v>
      </c>
      <c r="D1" s="5" t="s">
        <v>375</v>
      </c>
      <c r="E1" s="5" t="s">
        <v>376</v>
      </c>
      <c r="F1" s="5" t="s">
        <v>377</v>
      </c>
      <c r="G1" s="5" t="s">
        <v>378</v>
      </c>
    </row>
    <row r="2" spans="1:7" x14ac:dyDescent="0.25">
      <c r="A2" s="10" t="s">
        <v>379</v>
      </c>
      <c r="B2" s="30">
        <v>0</v>
      </c>
      <c r="C2" s="30">
        <v>0</v>
      </c>
      <c r="D2" s="30">
        <v>0</v>
      </c>
      <c r="E2" s="31" t="s">
        <v>6</v>
      </c>
      <c r="F2" s="10" t="s">
        <v>6</v>
      </c>
      <c r="G2" s="32" t="s">
        <v>380</v>
      </c>
    </row>
    <row r="3" spans="1:7" x14ac:dyDescent="0.25">
      <c r="A3" s="10" t="s">
        <v>381</v>
      </c>
      <c r="B3" s="33">
        <v>-94784</v>
      </c>
      <c r="C3" s="30">
        <v>-65436</v>
      </c>
      <c r="D3" s="30">
        <v>-29348</v>
      </c>
      <c r="E3" s="31" t="s">
        <v>382</v>
      </c>
      <c r="F3" s="10" t="s">
        <v>30</v>
      </c>
      <c r="G3" s="32" t="s">
        <v>380</v>
      </c>
    </row>
    <row r="4" spans="1:7" x14ac:dyDescent="0.25">
      <c r="A4" s="10" t="s">
        <v>383</v>
      </c>
      <c r="B4" s="30">
        <v>579442</v>
      </c>
      <c r="C4" s="30">
        <v>275160</v>
      </c>
      <c r="D4" s="34">
        <v>304282</v>
      </c>
      <c r="E4" s="31" t="s">
        <v>384</v>
      </c>
      <c r="F4" s="10" t="s">
        <v>385</v>
      </c>
      <c r="G4" s="32" t="s">
        <v>380</v>
      </c>
    </row>
    <row r="5" spans="1:7" x14ac:dyDescent="0.25">
      <c r="A5" s="10" t="s">
        <v>386</v>
      </c>
      <c r="B5" s="30">
        <v>521157</v>
      </c>
      <c r="C5" s="30">
        <v>822895</v>
      </c>
      <c r="D5" s="30">
        <v>-301738</v>
      </c>
      <c r="E5" s="31" t="s">
        <v>387</v>
      </c>
      <c r="F5" s="10" t="s">
        <v>6</v>
      </c>
      <c r="G5" s="32" t="s">
        <v>380</v>
      </c>
    </row>
    <row r="6" spans="1:7" x14ac:dyDescent="0.25">
      <c r="A6" s="10" t="s">
        <v>388</v>
      </c>
      <c r="B6" s="30">
        <v>1335</v>
      </c>
      <c r="C6" s="30">
        <v>933</v>
      </c>
      <c r="D6" s="30">
        <v>402</v>
      </c>
      <c r="E6" s="31" t="s">
        <v>389</v>
      </c>
      <c r="F6" s="10" t="s">
        <v>6</v>
      </c>
      <c r="G6" s="32" t="s">
        <v>380</v>
      </c>
    </row>
    <row r="7" spans="1:7" x14ac:dyDescent="0.25">
      <c r="A7" s="10" t="s">
        <v>390</v>
      </c>
      <c r="B7" s="30">
        <v>2877649</v>
      </c>
      <c r="C7" s="30">
        <v>2499034</v>
      </c>
      <c r="D7" s="30">
        <v>378615</v>
      </c>
      <c r="E7" s="31" t="s">
        <v>391</v>
      </c>
      <c r="F7" s="10" t="s">
        <v>6</v>
      </c>
      <c r="G7" s="32" t="s">
        <v>380</v>
      </c>
    </row>
    <row r="8" spans="1:7" x14ac:dyDescent="0.25">
      <c r="A8" s="10" t="s">
        <v>392</v>
      </c>
      <c r="B8" s="30">
        <v>0</v>
      </c>
      <c r="C8" s="30">
        <v>0</v>
      </c>
      <c r="D8" s="30">
        <v>0</v>
      </c>
      <c r="E8" s="31" t="s">
        <v>6</v>
      </c>
      <c r="F8" s="10" t="s">
        <v>6</v>
      </c>
      <c r="G8" s="32" t="s">
        <v>380</v>
      </c>
    </row>
    <row r="9" spans="1:7" x14ac:dyDescent="0.25">
      <c r="A9" s="10" t="s">
        <v>393</v>
      </c>
      <c r="B9" s="30">
        <v>0</v>
      </c>
      <c r="C9" s="30">
        <v>5000</v>
      </c>
      <c r="D9" s="34">
        <v>-5000</v>
      </c>
      <c r="E9" s="31" t="s">
        <v>394</v>
      </c>
      <c r="F9" s="10" t="s">
        <v>385</v>
      </c>
      <c r="G9" s="32" t="s">
        <v>380</v>
      </c>
    </row>
    <row r="10" spans="1:7" x14ac:dyDescent="0.25">
      <c r="A10" s="10" t="s">
        <v>395</v>
      </c>
      <c r="B10" s="30">
        <v>1000000</v>
      </c>
      <c r="C10" s="30">
        <v>1000000</v>
      </c>
      <c r="D10" s="30">
        <v>0</v>
      </c>
      <c r="E10" s="31" t="s">
        <v>396</v>
      </c>
      <c r="F10" s="10" t="s">
        <v>6</v>
      </c>
      <c r="G10" s="32" t="s">
        <v>380</v>
      </c>
    </row>
    <row r="11" spans="1:7" x14ac:dyDescent="0.25">
      <c r="A11" s="10" t="s">
        <v>397</v>
      </c>
      <c r="B11" s="30">
        <v>21200</v>
      </c>
      <c r="C11" s="30">
        <v>0</v>
      </c>
      <c r="D11" s="30">
        <v>21200</v>
      </c>
      <c r="E11" s="31" t="s">
        <v>6</v>
      </c>
      <c r="F11" s="10" t="s">
        <v>6</v>
      </c>
      <c r="G11" s="32" t="s">
        <v>380</v>
      </c>
    </row>
    <row r="12" spans="1:7" x14ac:dyDescent="0.25">
      <c r="A12" s="10" t="s">
        <v>398</v>
      </c>
      <c r="B12" s="30">
        <v>3050000</v>
      </c>
      <c r="C12" s="30">
        <v>2750000</v>
      </c>
      <c r="D12" s="30">
        <v>300000</v>
      </c>
      <c r="E12" s="31" t="s">
        <v>399</v>
      </c>
      <c r="F12" s="10" t="s">
        <v>6</v>
      </c>
      <c r="G12" s="32" t="s">
        <v>380</v>
      </c>
    </row>
    <row r="13" spans="1:7" x14ac:dyDescent="0.25">
      <c r="A13" s="10" t="s">
        <v>400</v>
      </c>
      <c r="B13" s="30">
        <v>1</v>
      </c>
      <c r="C13" s="30">
        <v>124810</v>
      </c>
      <c r="D13" s="34">
        <v>-124809</v>
      </c>
      <c r="E13" s="31" t="s">
        <v>394</v>
      </c>
      <c r="F13" s="10" t="s">
        <v>385</v>
      </c>
      <c r="G13" s="32" t="s">
        <v>380</v>
      </c>
    </row>
    <row r="14" spans="1:7" x14ac:dyDescent="0.25">
      <c r="A14" s="10" t="s">
        <v>401</v>
      </c>
      <c r="B14" s="30">
        <v>2650335</v>
      </c>
      <c r="C14" s="30">
        <v>2728596</v>
      </c>
      <c r="D14" s="30">
        <v>-78261</v>
      </c>
      <c r="E14" s="31" t="s">
        <v>402</v>
      </c>
      <c r="F14" s="10" t="s">
        <v>6</v>
      </c>
      <c r="G14" s="32" t="s">
        <v>380</v>
      </c>
    </row>
    <row r="15" spans="1:7" x14ac:dyDescent="0.25">
      <c r="A15" s="10" t="s">
        <v>403</v>
      </c>
      <c r="B15" s="30">
        <v>30000</v>
      </c>
      <c r="C15" s="30">
        <v>30000</v>
      </c>
      <c r="D15" s="30">
        <v>0</v>
      </c>
      <c r="E15" s="31" t="s">
        <v>396</v>
      </c>
      <c r="F15" s="10" t="s">
        <v>6</v>
      </c>
      <c r="G15" s="32" t="s">
        <v>380</v>
      </c>
    </row>
    <row r="16" spans="1:7" x14ac:dyDescent="0.25">
      <c r="A16" s="10" t="s">
        <v>404</v>
      </c>
      <c r="B16" s="30">
        <v>244036</v>
      </c>
      <c r="C16" s="30">
        <v>258954</v>
      </c>
      <c r="D16" s="30">
        <v>-14918</v>
      </c>
      <c r="E16" s="31" t="s">
        <v>405</v>
      </c>
      <c r="F16" s="10" t="s">
        <v>6</v>
      </c>
      <c r="G16" s="32" t="s">
        <v>380</v>
      </c>
    </row>
    <row r="17" spans="1:7" x14ac:dyDescent="0.25">
      <c r="A17" s="10" t="s">
        <v>406</v>
      </c>
      <c r="B17" s="30">
        <v>14850</v>
      </c>
      <c r="C17" s="30">
        <v>14850</v>
      </c>
      <c r="D17" s="30">
        <v>0</v>
      </c>
      <c r="E17" s="31" t="s">
        <v>396</v>
      </c>
      <c r="F17" s="10" t="s">
        <v>6</v>
      </c>
      <c r="G17" s="32" t="s">
        <v>380</v>
      </c>
    </row>
    <row r="18" spans="1:7" x14ac:dyDescent="0.25">
      <c r="A18" s="10" t="s">
        <v>407</v>
      </c>
      <c r="B18" s="30">
        <v>14550152</v>
      </c>
      <c r="C18" s="30">
        <v>14618304</v>
      </c>
      <c r="D18" s="30">
        <v>-68152</v>
      </c>
      <c r="E18" s="31" t="s">
        <v>408</v>
      </c>
      <c r="F18" s="10" t="s">
        <v>6</v>
      </c>
      <c r="G18" s="32" t="s">
        <v>380</v>
      </c>
    </row>
    <row r="19" spans="1:7" x14ac:dyDescent="0.25">
      <c r="A19" s="10" t="s">
        <v>409</v>
      </c>
      <c r="B19" s="30">
        <v>1489155</v>
      </c>
      <c r="C19" s="30">
        <v>991598</v>
      </c>
      <c r="D19" s="34">
        <v>497557</v>
      </c>
      <c r="E19" s="31" t="s">
        <v>410</v>
      </c>
      <c r="F19" s="10" t="s">
        <v>385</v>
      </c>
      <c r="G19" s="32" t="s">
        <v>380</v>
      </c>
    </row>
    <row r="20" spans="1:7" x14ac:dyDescent="0.25">
      <c r="A20" s="10" t="s">
        <v>411</v>
      </c>
      <c r="B20" s="33">
        <v>-697000</v>
      </c>
      <c r="C20" s="30">
        <v>-595000</v>
      </c>
      <c r="D20" s="30">
        <v>-102000</v>
      </c>
      <c r="E20" s="31" t="s">
        <v>412</v>
      </c>
      <c r="F20" s="10" t="s">
        <v>30</v>
      </c>
      <c r="G20" s="32" t="s">
        <v>380</v>
      </c>
    </row>
    <row r="21" spans="1:7" x14ac:dyDescent="0.25">
      <c r="A21" s="10" t="s">
        <v>413</v>
      </c>
      <c r="B21" s="30">
        <v>215178</v>
      </c>
      <c r="C21" s="30">
        <v>249375</v>
      </c>
      <c r="D21" s="30">
        <v>-34197</v>
      </c>
      <c r="E21" s="31" t="s">
        <v>414</v>
      </c>
      <c r="F21" s="10" t="s">
        <v>6</v>
      </c>
      <c r="G21" s="32" t="s">
        <v>380</v>
      </c>
    </row>
    <row r="22" spans="1:7" x14ac:dyDescent="0.25">
      <c r="A22" s="10" t="s">
        <v>415</v>
      </c>
      <c r="B22" s="30">
        <v>0</v>
      </c>
      <c r="C22" s="30">
        <v>3300</v>
      </c>
      <c r="D22" s="34">
        <v>-3300</v>
      </c>
      <c r="E22" s="31" t="s">
        <v>394</v>
      </c>
      <c r="F22" s="10" t="s">
        <v>385</v>
      </c>
      <c r="G22" s="32" t="s">
        <v>380</v>
      </c>
    </row>
    <row r="23" spans="1:7" x14ac:dyDescent="0.25">
      <c r="A23" s="10" t="s">
        <v>416</v>
      </c>
      <c r="B23" s="30">
        <v>0</v>
      </c>
      <c r="C23" s="30">
        <v>0</v>
      </c>
      <c r="D23" s="30">
        <v>0</v>
      </c>
      <c r="E23" s="31" t="s">
        <v>6</v>
      </c>
      <c r="F23" s="10" t="s">
        <v>6</v>
      </c>
      <c r="G23" s="32" t="s">
        <v>380</v>
      </c>
    </row>
    <row r="24" spans="1:7" x14ac:dyDescent="0.25">
      <c r="A24" s="10" t="s">
        <v>417</v>
      </c>
      <c r="B24" s="30">
        <v>573900</v>
      </c>
      <c r="C24" s="30">
        <v>755486</v>
      </c>
      <c r="D24" s="30">
        <v>-181586</v>
      </c>
      <c r="E24" s="31" t="s">
        <v>418</v>
      </c>
      <c r="F24" s="10" t="s">
        <v>6</v>
      </c>
      <c r="G24" s="32" t="s">
        <v>380</v>
      </c>
    </row>
    <row r="25" spans="1:7" x14ac:dyDescent="0.25">
      <c r="A25" s="10" t="s">
        <v>419</v>
      </c>
      <c r="B25" s="30">
        <v>97790</v>
      </c>
      <c r="C25" s="30">
        <v>62780</v>
      </c>
      <c r="D25" s="34">
        <v>35010</v>
      </c>
      <c r="E25" s="31" t="s">
        <v>420</v>
      </c>
      <c r="F25" s="10" t="s">
        <v>385</v>
      </c>
      <c r="G25" s="32" t="s">
        <v>380</v>
      </c>
    </row>
    <row r="26" spans="1:7" x14ac:dyDescent="0.25">
      <c r="A26" s="10" t="s">
        <v>421</v>
      </c>
      <c r="B26" s="30">
        <v>12533164</v>
      </c>
      <c r="C26" s="30">
        <v>12559264</v>
      </c>
      <c r="D26" s="30">
        <v>-26100</v>
      </c>
      <c r="E26" s="31" t="s">
        <v>422</v>
      </c>
      <c r="F26" s="10" t="s">
        <v>6</v>
      </c>
      <c r="G26" s="32" t="s">
        <v>380</v>
      </c>
    </row>
    <row r="27" spans="1:7" x14ac:dyDescent="0.25">
      <c r="A27" s="10" t="s">
        <v>423</v>
      </c>
      <c r="B27" s="30">
        <v>450100</v>
      </c>
      <c r="C27" s="30">
        <v>578700</v>
      </c>
      <c r="D27" s="30">
        <v>-128600</v>
      </c>
      <c r="E27" s="31" t="s">
        <v>424</v>
      </c>
      <c r="F27" s="10" t="s">
        <v>6</v>
      </c>
      <c r="G27" s="32" t="s">
        <v>380</v>
      </c>
    </row>
    <row r="28" spans="1:7" x14ac:dyDescent="0.25">
      <c r="A28" s="10" t="s">
        <v>425</v>
      </c>
      <c r="B28" s="30">
        <v>1200000</v>
      </c>
      <c r="C28" s="30">
        <v>1200000</v>
      </c>
      <c r="D28" s="30">
        <v>0</v>
      </c>
      <c r="E28" s="31" t="s">
        <v>396</v>
      </c>
      <c r="F28" s="10" t="s">
        <v>6</v>
      </c>
      <c r="G28" s="32" t="s">
        <v>380</v>
      </c>
    </row>
    <row r="29" spans="1:7" x14ac:dyDescent="0.25">
      <c r="A29" s="10" t="s">
        <v>426</v>
      </c>
      <c r="B29" s="33">
        <v>-21563253</v>
      </c>
      <c r="C29" s="30">
        <v>-21563253</v>
      </c>
      <c r="D29" s="30">
        <v>0</v>
      </c>
      <c r="E29" s="31" t="s">
        <v>396</v>
      </c>
      <c r="F29" s="10" t="s">
        <v>30</v>
      </c>
      <c r="G29" s="32" t="s">
        <v>380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O44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  <col min="15" max="15" width="14" customWidth="1"/>
  </cols>
  <sheetData>
    <row r="1" spans="1:15" x14ac:dyDescent="0.25">
      <c r="A1" s="35" t="s">
        <v>427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3" ht="22" customHeight="1" spans="1:15" x14ac:dyDescent="0.25">
      <c r="A3" s="5" t="s">
        <v>372</v>
      </c>
      <c r="B3" s="5" t="s">
        <v>428</v>
      </c>
      <c r="C3" s="5" t="s">
        <v>429</v>
      </c>
      <c r="D3" s="5" t="s">
        <v>430</v>
      </c>
      <c r="E3" s="5" t="s">
        <v>431</v>
      </c>
      <c r="F3" s="5" t="s">
        <v>432</v>
      </c>
      <c r="G3" s="5" t="s">
        <v>433</v>
      </c>
      <c r="H3" s="5" t="s">
        <v>434</v>
      </c>
      <c r="I3" s="5" t="s">
        <v>435</v>
      </c>
      <c r="J3" s="5" t="s">
        <v>436</v>
      </c>
      <c r="K3" s="5" t="s">
        <v>437</v>
      </c>
      <c r="L3" s="5" t="s">
        <v>438</v>
      </c>
      <c r="M3" s="36" t="s">
        <v>439</v>
      </c>
      <c r="N3" s="5" t="s">
        <v>440</v>
      </c>
      <c r="O3" s="5" t="s">
        <v>378</v>
      </c>
    </row>
    <row r="4" spans="1:15" x14ac:dyDescent="0.25">
      <c r="A4" s="10" t="s">
        <v>202</v>
      </c>
      <c r="B4" s="30">
        <v>2256841</v>
      </c>
      <c r="C4" s="30">
        <v>3044943</v>
      </c>
      <c r="D4" s="30">
        <v>2585835</v>
      </c>
      <c r="E4" s="30">
        <v>2155815</v>
      </c>
      <c r="F4" s="30">
        <v>2656933</v>
      </c>
      <c r="G4" s="30">
        <v>2325568</v>
      </c>
      <c r="H4" s="30">
        <v>2638672</v>
      </c>
      <c r="I4" s="30">
        <v>3359489</v>
      </c>
      <c r="J4" s="30">
        <v>1759761</v>
      </c>
      <c r="K4" s="30">
        <v>2007664</v>
      </c>
      <c r="L4" s="30">
        <v>2415185</v>
      </c>
      <c r="M4" s="37">
        <v>2039449</v>
      </c>
      <c r="N4" s="38">
        <f>SUM(B4:M4)</f>
        <v>29246155</v>
      </c>
      <c r="O4" s="39"/>
    </row>
    <row r="5" spans="1:15" x14ac:dyDescent="0.25">
      <c r="A5" s="10" t="s">
        <v>441</v>
      </c>
      <c r="B5" s="30">
        <v>82894</v>
      </c>
      <c r="C5" s="40">
        <v>0</v>
      </c>
      <c r="D5" s="40">
        <v>0</v>
      </c>
      <c r="E5" s="30">
        <v>418</v>
      </c>
      <c r="F5" s="30">
        <v>32270</v>
      </c>
      <c r="G5" s="40">
        <v>0</v>
      </c>
      <c r="H5" s="40">
        <v>0</v>
      </c>
      <c r="I5" s="40">
        <v>0</v>
      </c>
      <c r="J5" s="40">
        <v>0</v>
      </c>
      <c r="K5" s="40">
        <v>0</v>
      </c>
      <c r="L5" s="30">
        <v>155380</v>
      </c>
      <c r="M5" s="41">
        <v>0</v>
      </c>
      <c r="N5" s="38">
        <f>SUM(B5:M5)</f>
        <v>270962</v>
      </c>
      <c r="O5" s="39"/>
    </row>
    <row r="6" spans="1:15" x14ac:dyDescent="0.25">
      <c r="A6" s="42" t="s">
        <v>442</v>
      </c>
      <c r="B6" s="43">
        <v>2173947</v>
      </c>
      <c r="C6" s="43">
        <v>3044943</v>
      </c>
      <c r="D6" s="43">
        <v>2585835</v>
      </c>
      <c r="E6" s="43">
        <v>2155397</v>
      </c>
      <c r="F6" s="43">
        <v>2624663</v>
      </c>
      <c r="G6" s="43">
        <v>2325568</v>
      </c>
      <c r="H6" s="43">
        <v>2638672</v>
      </c>
      <c r="I6" s="43">
        <v>3359489</v>
      </c>
      <c r="J6" s="43">
        <v>1759761</v>
      </c>
      <c r="K6" s="43">
        <v>2007664</v>
      </c>
      <c r="L6" s="43">
        <v>2259805</v>
      </c>
      <c r="M6" s="43">
        <v>2039449</v>
      </c>
      <c r="N6" s="43">
        <f>SUM(B6:M6)</f>
        <v>28975193</v>
      </c>
      <c r="O6" s="44"/>
    </row>
    <row r="7" spans="1:15" x14ac:dyDescent="0.25">
      <c r="A7" s="10" t="s">
        <v>443</v>
      </c>
      <c r="B7" s="30">
        <f>HYPERLINK("https://secure.freee.co.jp/reports/general_ledgers/show?name=%E5%BD%B9%E5%93%A1%E5%A0%B1%E9%85%AC&amp;start_date=2025-03-01&amp;end_date=2025-03-31&amp;fiscal_year_id=9736324",62000)</f>
        <v>62000</v>
      </c>
      <c r="C7" s="30">
        <f>HYPERLINK("https://secure.freee.co.jp/reports/general_ledgers/show?name=%E5%BD%B9%E5%93%A1%E5%A0%B1%E9%85%AC&amp;start_date=2025-04-01&amp;end_date=2025-04-30&amp;fiscal_year_id=9736324",62000)</f>
        <v>62000</v>
      </c>
      <c r="D7" s="30">
        <f>HYPERLINK("https://secure.freee.co.jp/reports/general_ledgers/show?name=%E5%BD%B9%E5%93%A1%E5%A0%B1%E9%85%AC&amp;start_date=2025-05-01&amp;end_date=2025-05-31&amp;fiscal_year_id=9736324",62000)</f>
        <v>62000</v>
      </c>
      <c r="E7" s="30">
        <f>HYPERLINK("https://secure.freee.co.jp/reports/general_ledgers/show?name=%E5%BD%B9%E5%93%A1%E5%A0%B1%E9%85%AC&amp;start_date=2025-06-01&amp;end_date=2025-06-30&amp;fiscal_year_id=9736324",62000)</f>
        <v>62000</v>
      </c>
      <c r="F7" s="30">
        <f>HYPERLINK("https://secure.freee.co.jp/reports/general_ledgers/show?name=%E5%BD%B9%E5%93%A1%E5%A0%B1%E9%85%AC&amp;start_date=2025-07-01&amp;end_date=2025-07-31&amp;fiscal_year_id=9736324",62000)</f>
        <v>62000</v>
      </c>
      <c r="G7" s="30">
        <f>HYPERLINK("https://secure.freee.co.jp/reports/general_ledgers/show?name=%E5%BD%B9%E5%93%A1%E5%A0%B1%E9%85%AC&amp;start_date=2025-08-01&amp;end_date=2025-08-31&amp;fiscal_year_id=9736324",62000)</f>
        <v>62000</v>
      </c>
      <c r="H7" s="30">
        <f>HYPERLINK("https://secure.freee.co.jp/reports/general_ledgers/show?name=%E5%BD%B9%E5%93%A1%E5%A0%B1%E9%85%AC&amp;start_date=2025-09-01&amp;end_date=2025-09-30&amp;fiscal_year_id=9736324",62000)</f>
        <v>62000</v>
      </c>
      <c r="I7" s="30">
        <f>HYPERLINK("https://secure.freee.co.jp/reports/general_ledgers/show?name=%E5%BD%B9%E5%93%A1%E5%A0%B1%E9%85%AC&amp;start_date=2025-10-01&amp;end_date=2025-10-31&amp;fiscal_year_id=9736324",62000)</f>
        <v>62000</v>
      </c>
      <c r="J7" s="30">
        <f>HYPERLINK("https://secure.freee.co.jp/reports/general_ledgers/show?name=%E5%BD%B9%E5%93%A1%E5%A0%B1%E9%85%AC&amp;start_date=2025-11-01&amp;end_date=2025-11-30&amp;fiscal_year_id=9736324",62000)</f>
        <v>62000</v>
      </c>
      <c r="K7" s="30">
        <f>HYPERLINK("https://secure.freee.co.jp/reports/general_ledgers/show?name=%E5%BD%B9%E5%93%A1%E5%A0%B1%E9%85%AC&amp;start_date=2025-12-01&amp;end_date=2025-12-31&amp;fiscal_year_id=9736324",62000)</f>
        <v>62000</v>
      </c>
      <c r="L7" s="30">
        <f>HYPERLINK("https://secure.freee.co.jp/reports/general_ledgers/show?name=%E5%BD%B9%E5%93%A1%E5%A0%B1%E9%85%AC&amp;start_date=2026-01-01&amp;end_date=2026-01-31&amp;fiscal_year_id=9736324",62000)</f>
        <v>62000</v>
      </c>
      <c r="M7" s="37">
        <f>HYPERLINK("https://secure.freee.co.jp/reports/general_ledgers/show?name=%E5%BD%B9%E5%93%A1%E5%A0%B1%E9%85%AC&amp;start_date=2026-02-01&amp;end_date=2026-02-28&amp;fiscal_year_id=9736324",62000)</f>
        <v>62000</v>
      </c>
      <c r="N7" s="38">
        <f>SUM(B7:M7)</f>
        <v>744000</v>
      </c>
      <c r="O7" s="32" t="s">
        <v>378</v>
      </c>
    </row>
    <row r="8" spans="1:15" x14ac:dyDescent="0.25">
      <c r="A8" s="10" t="s">
        <v>444</v>
      </c>
      <c r="B8" s="30">
        <f>HYPERLINK("https://secure.freee.co.jp/reports/general_ledgers/show?name=%E7%B5%A6%E6%96%99%E6%89%8B%E5%BD%93&amp;start_date=2025-03-01&amp;end_date=2025-03-31&amp;fiscal_year_id=9736324",887598)</f>
        <v>887598</v>
      </c>
      <c r="C8" s="30">
        <f>HYPERLINK("https://secure.freee.co.jp/reports/general_ledgers/show?name=%E7%B5%A6%E6%96%99%E6%89%8B%E5%BD%93&amp;start_date=2025-04-01&amp;end_date=2025-04-30&amp;fiscal_year_id=9736324",983249)</f>
        <v>983249</v>
      </c>
      <c r="D8" s="30">
        <f>HYPERLINK("https://secure.freee.co.jp/reports/general_ledgers/show?name=%E7%B5%A6%E6%96%99%E6%89%8B%E5%BD%93&amp;start_date=2025-05-01&amp;end_date=2025-05-31&amp;fiscal_year_id=9736324",886646)</f>
        <v>886646</v>
      </c>
      <c r="E8" s="30">
        <f>HYPERLINK("https://secure.freee.co.jp/reports/general_ledgers/show?name=%E7%B5%A6%E6%96%99%E6%89%8B%E5%BD%93&amp;start_date=2025-06-01&amp;end_date=2025-06-30&amp;fiscal_year_id=9736324",930680)</f>
        <v>930680</v>
      </c>
      <c r="F8" s="30">
        <f>HYPERLINK("https://secure.freee.co.jp/reports/general_ledgers/show?name=%E7%B5%A6%E6%96%99%E6%89%8B%E5%BD%93&amp;start_date=2025-07-01&amp;end_date=2025-07-31&amp;fiscal_year_id=9736324",893699)</f>
        <v>893699</v>
      </c>
      <c r="G8" s="30">
        <f>HYPERLINK("https://secure.freee.co.jp/reports/general_ledgers/show?name=%E7%B5%A6%E6%96%99%E6%89%8B%E5%BD%93&amp;start_date=2025-08-01&amp;end_date=2025-08-31&amp;fiscal_year_id=9736324",887354)</f>
        <v>887354</v>
      </c>
      <c r="H8" s="30">
        <f>HYPERLINK("https://secure.freee.co.jp/reports/general_ledgers/show?name=%E7%B5%A6%E6%96%99%E6%89%8B%E5%BD%93&amp;start_date=2025-09-01&amp;end_date=2025-09-30&amp;fiscal_year_id=9736324",948198)</f>
        <v>948198</v>
      </c>
      <c r="I8" s="30">
        <f>HYPERLINK("https://secure.freee.co.jp/reports/general_ledgers/show?name=%E7%B5%A6%E6%96%99%E6%89%8B%E5%BD%93&amp;start_date=2025-10-01&amp;end_date=2025-10-31&amp;fiscal_year_id=9736324",839849)</f>
        <v>839849</v>
      </c>
      <c r="J8" s="30">
        <f>HYPERLINK("https://secure.freee.co.jp/reports/general_ledgers/show?name=%E7%B5%A6%E6%96%99%E6%89%8B%E5%BD%93&amp;start_date=2025-11-01&amp;end_date=2025-11-30&amp;fiscal_year_id=9736324",866731)</f>
        <v>866731</v>
      </c>
      <c r="K8" s="30">
        <f>HYPERLINK("https://secure.freee.co.jp/reports/general_ledgers/show?name=%E7%B5%A6%E6%96%99%E6%89%8B%E5%BD%93&amp;start_date=2025-12-01&amp;end_date=2025-12-31&amp;fiscal_year_id=9736324",797333)</f>
        <v>797333</v>
      </c>
      <c r="L8" s="30">
        <f>HYPERLINK("https://secure.freee.co.jp/reports/general_ledgers/show?name=%E7%B5%A6%E6%96%99%E6%89%8B%E5%BD%93&amp;start_date=2026-01-01&amp;end_date=2026-01-31&amp;fiscal_year_id=9736324",663873)</f>
        <v>663873</v>
      </c>
      <c r="M8" s="37">
        <f>HYPERLINK("https://secure.freee.co.jp/reports/general_ledgers/show?name=%E7%B5%A6%E6%96%99%E6%89%8B%E5%BD%93&amp;start_date=2026-02-01&amp;end_date=2026-02-28&amp;fiscal_year_id=9736324",796095)</f>
        <v>796095</v>
      </c>
      <c r="N8" s="38">
        <f>SUM(B8:M8)</f>
        <v>10381305</v>
      </c>
      <c r="O8" s="32" t="s">
        <v>378</v>
      </c>
    </row>
    <row r="9" spans="1:15" x14ac:dyDescent="0.25">
      <c r="A9" s="10" t="s">
        <v>445</v>
      </c>
      <c r="B9" s="30">
        <f>HYPERLINK("https://secure.freee.co.jp/reports/general_ledgers/show?name=%E6%B3%95%E5%AE%9A%E7%A6%8F%E5%88%A9%E8%B2%BB&amp;start_date=2025-03-01&amp;end_date=2025-03-31&amp;fiscal_year_id=9736324",159357)</f>
        <v>159357</v>
      </c>
      <c r="C9" s="30">
        <f>HYPERLINK("https://secure.freee.co.jp/reports/general_ledgers/show?name=%E6%B3%95%E5%AE%9A%E7%A6%8F%E5%88%A9%E8%B2%BB&amp;start_date=2025-04-01&amp;end_date=2025-04-30&amp;fiscal_year_id=9736324",162751)</f>
        <v>162751</v>
      </c>
      <c r="D9" s="30">
        <f>HYPERLINK("https://secure.freee.co.jp/reports/general_ledgers/show?name=%E6%B3%95%E5%AE%9A%E7%A6%8F%E5%88%A9%E8%B2%BB&amp;start_date=2025-05-01&amp;end_date=2025-05-31&amp;fiscal_year_id=9736324",162745)</f>
        <v>162745</v>
      </c>
      <c r="E9" s="30">
        <f>HYPERLINK("https://secure.freee.co.jp/reports/general_ledgers/show?name=%E6%B3%95%E5%AE%9A%E7%A6%8F%E5%88%A9%E8%B2%BB&amp;start_date=2025-06-01&amp;end_date=2025-06-30&amp;fiscal_year_id=9736324",162443)</f>
        <v>162443</v>
      </c>
      <c r="F9" s="34">
        <f>HYPERLINK("https://secure.freee.co.jp/reports/general_ledgers/show?name=%E6%B3%95%E5%AE%9A%E7%A6%8F%E5%88%A9%E8%B2%BB&amp;start_date=2025-07-01&amp;end_date=2025-07-31&amp;fiscal_year_id=9736324",437013)</f>
        <v>437013</v>
      </c>
      <c r="G9" s="34">
        <f>HYPERLINK("https://secure.freee.co.jp/reports/general_ledgers/show?name=%E6%B3%95%E5%AE%9A%E7%A6%8F%E5%88%A9%E8%B2%BB&amp;start_date=2025-08-01&amp;end_date=2025-08-31&amp;fiscal_year_id=9736324",212263)</f>
        <v>212263</v>
      </c>
      <c r="H9" s="30">
        <f>HYPERLINK("https://secure.freee.co.jp/reports/general_ledgers/show?name=%E6%B3%95%E5%AE%9A%E7%A6%8F%E5%88%A9%E8%B2%BB&amp;start_date=2025-09-01&amp;end_date=2025-09-30&amp;fiscal_year_id=9736324",211883)</f>
        <v>211883</v>
      </c>
      <c r="I9" s="30">
        <f>HYPERLINK("https://secure.freee.co.jp/reports/general_ledgers/show?name=%E6%B3%95%E5%AE%9A%E7%A6%8F%E5%88%A9%E8%B2%BB&amp;start_date=2025-10-01&amp;end_date=2025-10-31&amp;fiscal_year_id=9736324",111686)</f>
        <v>111686</v>
      </c>
      <c r="J9" s="30">
        <f>HYPERLINK("https://secure.freee.co.jp/reports/general_ledgers/show?name=%E6%B3%95%E5%AE%9A%E7%A6%8F%E5%88%A9%E8%B2%BB&amp;start_date=2025-11-01&amp;end_date=2025-11-30&amp;fiscal_year_id=9736324",111743)</f>
        <v>111743</v>
      </c>
      <c r="K9" s="30">
        <f>HYPERLINK("https://secure.freee.co.jp/reports/general_ledgers/show?name=%E6%B3%95%E5%AE%9A%E7%A6%8F%E5%88%A9%E8%B2%BB&amp;start_date=2025-12-01&amp;end_date=2025-12-31&amp;fiscal_year_id=9736324",124707)</f>
        <v>124707</v>
      </c>
      <c r="L9" s="34">
        <f>HYPERLINK("https://secure.freee.co.jp/reports/general_ledgers/show?name=%E6%B3%95%E5%AE%9A%E7%A6%8F%E5%88%A9%E8%B2%BB&amp;start_date=2026-01-01&amp;end_date=2026-01-31&amp;fiscal_year_id=9736324",352762)</f>
        <v>352762</v>
      </c>
      <c r="M9" s="34">
        <f>HYPERLINK("https://secure.freee.co.jp/reports/general_ledgers/show?name=%E6%B3%95%E5%AE%9A%E7%A6%8F%E5%88%A9%E8%B2%BB&amp;start_date=2026-02-01&amp;end_date=2026-02-28&amp;fiscal_year_id=9736324",76439)</f>
        <v>76439</v>
      </c>
      <c r="N9" s="38">
        <f>SUM(B9:M9)</f>
        <v>2285792</v>
      </c>
      <c r="O9" s="32" t="s">
        <v>378</v>
      </c>
    </row>
    <row r="10" spans="1:15" x14ac:dyDescent="0.25">
      <c r="A10" s="10" t="s">
        <v>446</v>
      </c>
      <c r="B10" s="40">
        <v>0</v>
      </c>
      <c r="C10" s="40">
        <v>0</v>
      </c>
      <c r="D10" s="40">
        <v>0</v>
      </c>
      <c r="E10" s="30">
        <f>HYPERLINK("https://secure.freee.co.jp/reports/general_ledgers/show?name=%E5%A4%96%E6%B3%A8%E8%B2%BB&amp;start_date=2025-06-01&amp;end_date=2025-06-30&amp;fiscal_year_id=9736324",155730)</f>
        <v>155730</v>
      </c>
      <c r="F10" s="34">
        <f>HYPERLINK("https://secure.freee.co.jp/reports/general_ledgers/show?name=%E5%A4%96%E6%B3%A8%E8%B2%BB&amp;start_date=2025-07-01&amp;end_date=2025-07-31&amp;fiscal_year_id=9736324",72720)</f>
        <v>72720</v>
      </c>
      <c r="G10" s="30">
        <f>HYPERLINK("https://secure.freee.co.jp/reports/general_ledgers/show?name=%E5%A4%96%E6%B3%A8%E8%B2%BB&amp;start_date=2025-08-01&amp;end_date=2025-08-31&amp;fiscal_year_id=9736324",42160)</f>
        <v>42160</v>
      </c>
      <c r="H10" s="45">
        <v>0</v>
      </c>
      <c r="I10" s="40">
        <v>0</v>
      </c>
      <c r="J10" s="40">
        <v>0</v>
      </c>
      <c r="K10" s="30">
        <f>HYPERLINK("https://secure.freee.co.jp/reports/general_ledgers/show?name=%E5%A4%96%E6%B3%A8%E8%B2%BB&amp;start_date=2025-12-01&amp;end_date=2025-12-31&amp;fiscal_year_id=9736324",273370)</f>
        <v>273370</v>
      </c>
      <c r="L10" s="34">
        <f>HYPERLINK("https://secure.freee.co.jp/reports/general_ledgers/show?name=%E5%A4%96%E6%B3%A8%E8%B2%BB&amp;start_date=2026-01-01&amp;end_date=2026-01-31&amp;fiscal_year_id=9736324",85250)</f>
        <v>85250</v>
      </c>
      <c r="M10" s="34">
        <f>HYPERLINK("https://secure.freee.co.jp/reports/general_ledgers/show?name=%E5%A4%96%E6%B3%A8%E8%B2%BB&amp;start_date=2026-02-01&amp;end_date=2026-02-28&amp;fiscal_year_id=9736324",18900)</f>
        <v>18900</v>
      </c>
      <c r="N10" s="38">
        <f>SUM(B10:M10)</f>
        <v>648130</v>
      </c>
      <c r="O10" s="32" t="s">
        <v>378</v>
      </c>
    </row>
    <row r="11" spans="1:15" x14ac:dyDescent="0.25">
      <c r="A11" s="10" t="s">
        <v>447</v>
      </c>
      <c r="B11" s="30">
        <f>HYPERLINK("https://secure.freee.co.jp/reports/general_ledgers/show?name=%E5%BA%83%E5%91%8A%E5%AE%A3%E4%BC%9D%E8%B2%BB&amp;start_date=2025-03-01&amp;end_date=2025-03-31&amp;fiscal_year_id=9736324",-528027)</f>
        <v>-528027</v>
      </c>
      <c r="C11" s="34">
        <f>HYPERLINK("https://secure.freee.co.jp/reports/general_ledgers/show?name=%E5%BA%83%E5%91%8A%E5%AE%A3%E4%BC%9D%E8%B2%BB&amp;start_date=2025-04-01&amp;end_date=2025-04-30&amp;fiscal_year_id=9736324",380813)</f>
        <v>380813</v>
      </c>
      <c r="D11" s="34">
        <f>HYPERLINK("https://secure.freee.co.jp/reports/general_ledgers/show?name=%E5%BA%83%E5%91%8A%E5%AE%A3%E4%BC%9D%E8%B2%BB&amp;start_date=2025-05-01&amp;end_date=2025-05-31&amp;fiscal_year_id=9736324",66000)</f>
        <v>66000</v>
      </c>
      <c r="E11" s="34">
        <f>HYPERLINK("https://secure.freee.co.jp/reports/general_ledgers/show?name=%E5%BA%83%E5%91%8A%E5%AE%A3%E4%BC%9D%E8%B2%BB&amp;start_date=2025-06-01&amp;end_date=2025-06-30&amp;fiscal_year_id=9736324",586748)</f>
        <v>586748</v>
      </c>
      <c r="F11" s="34">
        <f>HYPERLINK("https://secure.freee.co.jp/reports/general_ledgers/show?name=%E5%BA%83%E5%91%8A%E5%AE%A3%E4%BC%9D%E8%B2%BB&amp;start_date=2025-07-01&amp;end_date=2025-07-31&amp;fiscal_year_id=9736324",98897)</f>
        <v>98897</v>
      </c>
      <c r="G11" s="34">
        <f>HYPERLINK("https://secure.freee.co.jp/reports/general_ledgers/show?name=%E5%BA%83%E5%91%8A%E5%AE%A3%E4%BC%9D%E8%B2%BB&amp;start_date=2025-08-01&amp;end_date=2025-08-31&amp;fiscal_year_id=9736324",340587)</f>
        <v>340587</v>
      </c>
      <c r="H11" s="30">
        <f>HYPERLINK("https://secure.freee.co.jp/reports/general_ledgers/show?name=%E5%BA%83%E5%91%8A%E5%AE%A3%E4%BC%9D%E8%B2%BB&amp;start_date=2025-09-01&amp;end_date=2025-09-30&amp;fiscal_year_id=9736324",186172)</f>
        <v>186172</v>
      </c>
      <c r="I11" s="34">
        <f>HYPERLINK("https://secure.freee.co.jp/reports/general_ledgers/show?name=%E5%BA%83%E5%91%8A%E5%AE%A3%E4%BC%9D%E8%B2%BB&amp;start_date=2025-10-01&amp;end_date=2025-10-31&amp;fiscal_year_id=9736324",489331)</f>
        <v>489331</v>
      </c>
      <c r="J11" s="30">
        <f>HYPERLINK("https://secure.freee.co.jp/reports/general_ledgers/show?name=%E5%BA%83%E5%91%8A%E5%AE%A3%E4%BC%9D%E8%B2%BB&amp;start_date=2025-11-01&amp;end_date=2025-11-30&amp;fiscal_year_id=9736324",357801)</f>
        <v>357801</v>
      </c>
      <c r="K11" s="34">
        <f>HYPERLINK("https://secure.freee.co.jp/reports/general_ledgers/show?name=%E5%BA%83%E5%91%8A%E5%AE%A3%E4%BC%9D%E8%B2%BB&amp;start_date=2025-12-01&amp;end_date=2025-12-31&amp;fiscal_year_id=9736324",135689)</f>
        <v>135689</v>
      </c>
      <c r="L11" s="34">
        <f>HYPERLINK("https://secure.freee.co.jp/reports/general_ledgers/show?name=%E5%BA%83%E5%91%8A%E5%AE%A3%E4%BC%9D%E8%B2%BB&amp;start_date=2026-01-01&amp;end_date=2026-01-31&amp;fiscal_year_id=9736324",268522)</f>
        <v>268522</v>
      </c>
      <c r="M11" s="45">
        <v>0</v>
      </c>
      <c r="N11" s="38">
        <f>SUM(B11:M11)</f>
        <v>2382533</v>
      </c>
      <c r="O11" s="32" t="s">
        <v>378</v>
      </c>
    </row>
    <row r="12" spans="1:15" x14ac:dyDescent="0.25">
      <c r="A12" s="10" t="s">
        <v>448</v>
      </c>
      <c r="B12" s="40">
        <v>0</v>
      </c>
      <c r="C12" s="30">
        <f>HYPERLINK("https://secure.freee.co.jp/reports/general_ledgers/show?name=%E4%BA%A4%E9%9A%9B%E8%B2%BB&amp;start_date=2025-04-01&amp;end_date=2025-04-30&amp;fiscal_year_id=9736324",9480)</f>
        <v>9480</v>
      </c>
      <c r="D12" s="45">
        <v>0</v>
      </c>
      <c r="E12" s="40">
        <v>0</v>
      </c>
      <c r="F12" s="40">
        <v>0</v>
      </c>
      <c r="G12" s="40">
        <v>0</v>
      </c>
      <c r="H12" s="40">
        <v>0</v>
      </c>
      <c r="I12" s="30">
        <f>HYPERLINK("https://secure.freee.co.jp/reports/general_ledgers/show?name=%E4%BA%A4%E9%9A%9B%E8%B2%BB&amp;start_date=2025-10-01&amp;end_date=2025-10-31&amp;fiscal_year_id=9736324",12320)</f>
        <v>12320</v>
      </c>
      <c r="J12" s="34">
        <f>HYPERLINK("https://secure.freee.co.jp/reports/general_ledgers/show?name=%E4%BA%A4%E9%9A%9B%E8%B2%BB&amp;start_date=2025-11-01&amp;end_date=2025-11-30&amp;fiscal_year_id=9736324",31401)</f>
        <v>31401</v>
      </c>
      <c r="K12" s="34">
        <f>HYPERLINK("https://secure.freee.co.jp/reports/general_ledgers/show?name=%E4%BA%A4%E9%9A%9B%E8%B2%BB&amp;start_date=2025-12-01&amp;end_date=2025-12-31&amp;fiscal_year_id=9736324",49938)</f>
        <v>49938</v>
      </c>
      <c r="L12" s="30">
        <f>HYPERLINK("https://secure.freee.co.jp/reports/general_ledgers/show?name=%E4%BA%A4%E9%9A%9B%E8%B2%BB&amp;start_date=2026-01-01&amp;end_date=2026-01-31&amp;fiscal_year_id=9736324",34200)</f>
        <v>34200</v>
      </c>
      <c r="M12" s="37">
        <f>HYPERLINK("https://secure.freee.co.jp/reports/general_ledgers/show?name=%E4%BA%A4%E9%9A%9B%E8%B2%BB&amp;start_date=2026-02-01&amp;end_date=2026-02-28&amp;fiscal_year_id=9736324",33900)</f>
        <v>33900</v>
      </c>
      <c r="N12" s="38">
        <f>SUM(B12:M12)</f>
        <v>171239</v>
      </c>
      <c r="O12" s="32" t="s">
        <v>378</v>
      </c>
    </row>
    <row r="13" spans="1:15" x14ac:dyDescent="0.25">
      <c r="A13" s="10" t="s">
        <v>449</v>
      </c>
      <c r="B13" s="30">
        <f>HYPERLINK("https://secure.freee.co.jp/reports/general_ledgers/show?name=%E4%BC%9A%E8%AD%B0%E8%B2%BB&amp;start_date=2025-03-01&amp;end_date=2025-03-31&amp;fiscal_year_id=9736324",3004)</f>
        <v>3004</v>
      </c>
      <c r="C13" s="45">
        <v>0</v>
      </c>
      <c r="D13" s="30">
        <f>HYPERLINK("https://secure.freee.co.jp/reports/general_ledgers/show?name=%E4%BC%9A%E8%AD%B0%E8%B2%BB&amp;start_date=2025-05-01&amp;end_date=2025-05-31&amp;fiscal_year_id=9736324",2230)</f>
        <v>2230</v>
      </c>
      <c r="E13" s="30">
        <f>HYPERLINK("https://secure.freee.co.jp/reports/general_ledgers/show?name=%E4%BC%9A%E8%AD%B0%E8%B2%BB&amp;start_date=2025-06-01&amp;end_date=2025-06-30&amp;fiscal_year_id=9736324",2970)</f>
        <v>2970</v>
      </c>
      <c r="F13" s="45">
        <v>0</v>
      </c>
      <c r="G13" s="40">
        <v>0</v>
      </c>
      <c r="H13" s="40">
        <v>0</v>
      </c>
      <c r="I13" s="40">
        <v>0</v>
      </c>
      <c r="J13" s="30">
        <f>HYPERLINK("https://secure.freee.co.jp/reports/general_ledgers/show?name=%E4%BC%9A%E8%AD%B0%E8%B2%BB&amp;start_date=2025-11-01&amp;end_date=2025-11-30&amp;fiscal_year_id=9736324",5000)</f>
        <v>5000</v>
      </c>
      <c r="K13" s="45">
        <v>0</v>
      </c>
      <c r="L13" s="30">
        <f>HYPERLINK("https://secure.freee.co.jp/reports/general_ledgers/show?name=%E4%BC%9A%E8%AD%B0%E8%B2%BB&amp;start_date=2026-01-01&amp;end_date=2026-01-31&amp;fiscal_year_id=9736324",5280)</f>
        <v>5280</v>
      </c>
      <c r="M13" s="45">
        <v>0</v>
      </c>
      <c r="N13" s="38">
        <f>SUM(B13:M13)</f>
        <v>18484</v>
      </c>
      <c r="O13" s="32" t="s">
        <v>378</v>
      </c>
    </row>
    <row r="14" spans="1:15" x14ac:dyDescent="0.25">
      <c r="A14" s="10" t="s">
        <v>450</v>
      </c>
      <c r="B14" s="30">
        <f>HYPERLINK("https://secure.freee.co.jp/reports/general_ledgers/show?name=%E6%97%85%E8%B2%BB%E4%BA%A4%E9%80%9A%E8%B2%BB&amp;start_date=2025-03-01&amp;end_date=2025-03-31&amp;fiscal_year_id=9736324",129720)</f>
        <v>129720</v>
      </c>
      <c r="C14" s="30">
        <f>HYPERLINK("https://secure.freee.co.jp/reports/general_ledgers/show?name=%E6%97%85%E8%B2%BB%E4%BA%A4%E9%80%9A%E8%B2%BB&amp;start_date=2025-04-01&amp;end_date=2025-04-30&amp;fiscal_year_id=9736324",175526)</f>
        <v>175526</v>
      </c>
      <c r="D14" s="30">
        <f>HYPERLINK("https://secure.freee.co.jp/reports/general_ledgers/show?name=%E6%97%85%E8%B2%BB%E4%BA%A4%E9%80%9A%E8%B2%BB&amp;start_date=2025-05-01&amp;end_date=2025-05-31&amp;fiscal_year_id=9736324",161592)</f>
        <v>161592</v>
      </c>
      <c r="E14" s="30">
        <f>HYPERLINK("https://secure.freee.co.jp/reports/general_ledgers/show?name=%E6%97%85%E8%B2%BB%E4%BA%A4%E9%80%9A%E8%B2%BB&amp;start_date=2025-06-01&amp;end_date=2025-06-30&amp;fiscal_year_id=9736324",166864)</f>
        <v>166864</v>
      </c>
      <c r="F14" s="30">
        <f>HYPERLINK("https://secure.freee.co.jp/reports/general_ledgers/show?name=%E6%97%85%E8%B2%BB%E4%BA%A4%E9%80%9A%E8%B2%BB&amp;start_date=2025-07-01&amp;end_date=2025-07-31&amp;fiscal_year_id=9736324",176838)</f>
        <v>176838</v>
      </c>
      <c r="G14" s="30">
        <f>HYPERLINK("https://secure.freee.co.jp/reports/general_ledgers/show?name=%E6%97%85%E8%B2%BB%E4%BA%A4%E9%80%9A%E8%B2%BB&amp;start_date=2025-08-01&amp;end_date=2025-08-31&amp;fiscal_year_id=9736324",174170)</f>
        <v>174170</v>
      </c>
      <c r="H14" s="30">
        <f>HYPERLINK("https://secure.freee.co.jp/reports/general_ledgers/show?name=%E6%97%85%E8%B2%BB%E4%BA%A4%E9%80%9A%E8%B2%BB&amp;start_date=2025-09-01&amp;end_date=2025-09-30&amp;fiscal_year_id=9736324",218154)</f>
        <v>218154</v>
      </c>
      <c r="I14" s="30">
        <f>HYPERLINK("https://secure.freee.co.jp/reports/general_ledgers/show?name=%E6%97%85%E8%B2%BB%E4%BA%A4%E9%80%9A%E8%B2%BB&amp;start_date=2025-10-01&amp;end_date=2025-10-31&amp;fiscal_year_id=9736324",165723)</f>
        <v>165723</v>
      </c>
      <c r="J14" s="30">
        <f>HYPERLINK("https://secure.freee.co.jp/reports/general_ledgers/show?name=%E6%97%85%E8%B2%BB%E4%BA%A4%E9%80%9A%E8%B2%BB&amp;start_date=2025-11-01&amp;end_date=2025-11-30&amp;fiscal_year_id=9736324",144690)</f>
        <v>144690</v>
      </c>
      <c r="K14" s="30">
        <f>HYPERLINK("https://secure.freee.co.jp/reports/general_ledgers/show?name=%E6%97%85%E8%B2%BB%E4%BA%A4%E9%80%9A%E8%B2%BB&amp;start_date=2025-12-01&amp;end_date=2025-12-31&amp;fiscal_year_id=9736324",124664)</f>
        <v>124664</v>
      </c>
      <c r="L14" s="30">
        <f>HYPERLINK("https://secure.freee.co.jp/reports/general_ledgers/show?name=%E6%97%85%E8%B2%BB%E4%BA%A4%E9%80%9A%E8%B2%BB&amp;start_date=2026-01-01&amp;end_date=2026-01-31&amp;fiscal_year_id=9736324",107810)</f>
        <v>107810</v>
      </c>
      <c r="M14" s="37">
        <f>HYPERLINK("https://secure.freee.co.jp/reports/general_ledgers/show?name=%E6%97%85%E8%B2%BB%E4%BA%A4%E9%80%9A%E8%B2%BB&amp;start_date=2026-02-01&amp;end_date=2026-02-28&amp;fiscal_year_id=9736324",134944)</f>
        <v>134944</v>
      </c>
      <c r="N14" s="38">
        <f>SUM(B14:M14)</f>
        <v>1880695</v>
      </c>
      <c r="O14" s="32" t="s">
        <v>378</v>
      </c>
    </row>
    <row r="15" spans="1:15" x14ac:dyDescent="0.25">
      <c r="A15" s="10" t="s">
        <v>451</v>
      </c>
      <c r="B15" s="30">
        <f>HYPERLINK("https://secure.freee.co.jp/reports/general_ledgers/show?name=%E9%80%9A%E4%BF%A1%E8%B2%BB&amp;start_date=2025-03-01&amp;end_date=2025-03-31&amp;fiscal_year_id=9736324",78900)</f>
        <v>78900</v>
      </c>
      <c r="C15" s="30">
        <f>HYPERLINK("https://secure.freee.co.jp/reports/general_ledgers/show?name=%E9%80%9A%E4%BF%A1%E8%B2%BB&amp;start_date=2025-04-01&amp;end_date=2025-04-30&amp;fiscal_year_id=9736324",98835)</f>
        <v>98835</v>
      </c>
      <c r="D15" s="30">
        <f>HYPERLINK("https://secure.freee.co.jp/reports/general_ledgers/show?name=%E9%80%9A%E4%BF%A1%E8%B2%BB&amp;start_date=2025-05-01&amp;end_date=2025-05-31&amp;fiscal_year_id=9736324",59241)</f>
        <v>59241</v>
      </c>
      <c r="E15" s="30">
        <f>HYPERLINK("https://secure.freee.co.jp/reports/general_ledgers/show?name=%E9%80%9A%E4%BF%A1%E8%B2%BB&amp;start_date=2025-06-01&amp;end_date=2025-06-30&amp;fiscal_year_id=9736324",48210)</f>
        <v>48210</v>
      </c>
      <c r="F15" s="34">
        <f>HYPERLINK("https://secure.freee.co.jp/reports/general_ledgers/show?name=%E9%80%9A%E4%BF%A1%E8%B2%BB&amp;start_date=2025-07-01&amp;end_date=2025-07-31&amp;fiscal_year_id=9736324",107129)</f>
        <v>107129</v>
      </c>
      <c r="G15" s="30">
        <f>HYPERLINK("https://secure.freee.co.jp/reports/general_ledgers/show?name=%E9%80%9A%E4%BF%A1%E8%B2%BB&amp;start_date=2025-08-01&amp;end_date=2025-08-31&amp;fiscal_year_id=9736324",59782)</f>
        <v>59782</v>
      </c>
      <c r="H15" s="30">
        <f>HYPERLINK("https://secure.freee.co.jp/reports/general_ledgers/show?name=%E9%80%9A%E4%BF%A1%E8%B2%BB&amp;start_date=2025-09-01&amp;end_date=2025-09-30&amp;fiscal_year_id=9736324",68106)</f>
        <v>68106</v>
      </c>
      <c r="I15" s="30">
        <f>HYPERLINK("https://secure.freee.co.jp/reports/general_ledgers/show?name=%E9%80%9A%E4%BF%A1%E8%B2%BB&amp;start_date=2025-10-01&amp;end_date=2025-10-31&amp;fiscal_year_id=9736324",65141)</f>
        <v>65141</v>
      </c>
      <c r="J15" s="30">
        <f>HYPERLINK("https://secure.freee.co.jp/reports/general_ledgers/show?name=%E9%80%9A%E4%BF%A1%E8%B2%BB&amp;start_date=2025-11-01&amp;end_date=2025-11-30&amp;fiscal_year_id=9736324",85305)</f>
        <v>85305</v>
      </c>
      <c r="K15" s="30">
        <f>HYPERLINK("https://secure.freee.co.jp/reports/general_ledgers/show?name=%E9%80%9A%E4%BF%A1%E8%B2%BB&amp;start_date=2025-12-01&amp;end_date=2025-12-31&amp;fiscal_year_id=9736324",83746)</f>
        <v>83746</v>
      </c>
      <c r="L15" s="30">
        <f>HYPERLINK("https://secure.freee.co.jp/reports/general_ledgers/show?name=%E9%80%9A%E4%BF%A1%E8%B2%BB&amp;start_date=2026-01-01&amp;end_date=2026-01-31&amp;fiscal_year_id=9736324",54678)</f>
        <v>54678</v>
      </c>
      <c r="M15" s="37">
        <f>HYPERLINK("https://secure.freee.co.jp/reports/general_ledgers/show?name=%E9%80%9A%E4%BF%A1%E8%B2%BB&amp;start_date=2026-02-01&amp;end_date=2026-02-28&amp;fiscal_year_id=9736324",49249)</f>
        <v>49249</v>
      </c>
      <c r="N15" s="38">
        <f>SUM(B15:M15)</f>
        <v>858322</v>
      </c>
      <c r="O15" s="32" t="s">
        <v>378</v>
      </c>
    </row>
    <row r="16" spans="1:15" x14ac:dyDescent="0.25">
      <c r="A16" s="10" t="s">
        <v>452</v>
      </c>
      <c r="B16" s="30">
        <f>HYPERLINK("https://secure.freee.co.jp/reports/general_ledgers/show?name=%E6%B6%88%E8%80%97%E5%93%81%E8%B2%BB&amp;start_date=2025-03-01&amp;end_date=2025-03-31&amp;fiscal_year_id=9736324",68373)</f>
        <v>68373</v>
      </c>
      <c r="C16" s="30">
        <f>HYPERLINK("https://secure.freee.co.jp/reports/general_ledgers/show?name=%E6%B6%88%E8%80%97%E5%93%81%E8%B2%BB&amp;start_date=2025-04-01&amp;end_date=2025-04-30&amp;fiscal_year_id=9736324",68660)</f>
        <v>68660</v>
      </c>
      <c r="D16" s="34">
        <f>HYPERLINK("https://secure.freee.co.jp/reports/general_ledgers/show?name=%E6%B6%88%E8%80%97%E5%93%81%E8%B2%BB&amp;start_date=2025-05-01&amp;end_date=2025-05-31&amp;fiscal_year_id=9736324",21092)</f>
        <v>21092</v>
      </c>
      <c r="E16" s="34">
        <f>HYPERLINK("https://secure.freee.co.jp/reports/general_ledgers/show?name=%E6%B6%88%E8%80%97%E5%93%81%E8%B2%BB&amp;start_date=2025-06-01&amp;end_date=2025-06-30&amp;fiscal_year_id=9736324",94618)</f>
        <v>94618</v>
      </c>
      <c r="F16" s="34">
        <f>HYPERLINK("https://secure.freee.co.jp/reports/general_ledgers/show?name=%E6%B6%88%E8%80%97%E5%93%81%E8%B2%BB&amp;start_date=2025-07-01&amp;end_date=2025-07-31&amp;fiscal_year_id=9736324",38719)</f>
        <v>38719</v>
      </c>
      <c r="G16" s="30">
        <f>HYPERLINK("https://secure.freee.co.jp/reports/general_ledgers/show?name=%E6%B6%88%E8%80%97%E5%93%81%E8%B2%BB&amp;start_date=2025-08-01&amp;end_date=2025-08-31&amp;fiscal_year_id=9736324",24636)</f>
        <v>24636</v>
      </c>
      <c r="H16" s="34">
        <f>HYPERLINK("https://secure.freee.co.jp/reports/general_ledgers/show?name=%E6%B6%88%E8%80%97%E5%93%81%E8%B2%BB&amp;start_date=2025-09-01&amp;end_date=2025-09-30&amp;fiscal_year_id=9736324",47464)</f>
        <v>47464</v>
      </c>
      <c r="I16" s="34">
        <f>HYPERLINK("https://secure.freee.co.jp/reports/general_ledgers/show?name=%E6%B6%88%E8%80%97%E5%93%81%E8%B2%BB&amp;start_date=2025-10-01&amp;end_date=2025-10-31&amp;fiscal_year_id=9736324",149441)</f>
        <v>149441</v>
      </c>
      <c r="J16" s="34">
        <f>HYPERLINK("https://secure.freee.co.jp/reports/general_ledgers/show?name=%E6%B6%88%E8%80%97%E5%93%81%E8%B2%BB&amp;start_date=2025-11-01&amp;end_date=2025-11-30&amp;fiscal_year_id=9736324",64643)</f>
        <v>64643</v>
      </c>
      <c r="K16" s="34">
        <f>HYPERLINK("https://secure.freee.co.jp/reports/general_ledgers/show?name=%E6%B6%88%E8%80%97%E5%93%81%E8%B2%BB&amp;start_date=2025-12-01&amp;end_date=2025-12-31&amp;fiscal_year_id=9736324",22572)</f>
        <v>22572</v>
      </c>
      <c r="L16" s="30">
        <f>HYPERLINK("https://secure.freee.co.jp/reports/general_ledgers/show?name=%E6%B6%88%E8%80%97%E5%93%81%E8%B2%BB&amp;start_date=2026-01-01&amp;end_date=2026-01-31&amp;fiscal_year_id=9736324",31810)</f>
        <v>31810</v>
      </c>
      <c r="M16" s="34">
        <f>HYPERLINK("https://secure.freee.co.jp/reports/general_ledgers/show?name=%E6%B6%88%E8%80%97%E5%93%81%E8%B2%BB&amp;start_date=2026-02-01&amp;end_date=2026-02-28&amp;fiscal_year_id=9736324",13269)</f>
        <v>13269</v>
      </c>
      <c r="N16" s="38">
        <f>SUM(B16:M16)</f>
        <v>645297</v>
      </c>
      <c r="O16" s="32" t="s">
        <v>378</v>
      </c>
    </row>
    <row r="17" spans="1:15" x14ac:dyDescent="0.25">
      <c r="A17" s="10" t="s">
        <v>453</v>
      </c>
      <c r="B17" s="30">
        <f>HYPERLINK("https://secure.freee.co.jp/reports/general_ledgers/show?name=%E6%B0%B4%E9%81%93%E5%85%89%E7%86%B1%E8%B2%BB&amp;start_date=2025-03-01&amp;end_date=2025-03-31&amp;fiscal_year_id=9736324",133205)</f>
        <v>133205</v>
      </c>
      <c r="C17" s="30">
        <f>HYPERLINK("https://secure.freee.co.jp/reports/general_ledgers/show?name=%E6%B0%B4%E9%81%93%E5%85%89%E7%86%B1%E8%B2%BB&amp;start_date=2025-04-01&amp;end_date=2025-04-30&amp;fiscal_year_id=9736324",145347)</f>
        <v>145347</v>
      </c>
      <c r="D17" s="34">
        <f>HYPERLINK("https://secure.freee.co.jp/reports/general_ledgers/show?name=%E6%B0%B4%E9%81%93%E5%85%89%E7%86%B1%E8%B2%BB&amp;start_date=2025-05-01&amp;end_date=2025-05-31&amp;fiscal_year_id=9736324",33698)</f>
        <v>33698</v>
      </c>
      <c r="E17" s="30">
        <f>HYPERLINK("https://secure.freee.co.jp/reports/general_ledgers/show?name=%E6%B0%B4%E9%81%93%E5%85%89%E7%86%B1%E8%B2%BB&amp;start_date=2025-06-01&amp;end_date=2025-06-30&amp;fiscal_year_id=9736324",18687)</f>
        <v>18687</v>
      </c>
      <c r="F17" s="34">
        <f>HYPERLINK("https://secure.freee.co.jp/reports/general_ledgers/show?name=%E6%B0%B4%E9%81%93%E5%85%89%E7%86%B1%E8%B2%BB&amp;start_date=2025-07-01&amp;end_date=2025-07-31&amp;fiscal_year_id=9736324",34303)</f>
        <v>34303</v>
      </c>
      <c r="G17" s="30">
        <f>HYPERLINK("https://secure.freee.co.jp/reports/general_ledgers/show?name=%E6%B0%B4%E9%81%93%E5%85%89%E7%86%B1%E8%B2%BB&amp;start_date=2025-08-01&amp;end_date=2025-08-31&amp;fiscal_year_id=9736324",30570)</f>
        <v>30570</v>
      </c>
      <c r="H17" s="30">
        <f>HYPERLINK("https://secure.freee.co.jp/reports/general_ledgers/show?name=%E6%B0%B4%E9%81%93%E5%85%89%E7%86%B1%E8%B2%BB&amp;start_date=2025-09-01&amp;end_date=2025-09-30&amp;fiscal_year_id=9736324",28561)</f>
        <v>28561</v>
      </c>
      <c r="I17" s="34">
        <f>HYPERLINK("https://secure.freee.co.jp/reports/general_ledgers/show?name=%E6%B0%B4%E9%81%93%E5%85%89%E7%86%B1%E8%B2%BB&amp;start_date=2025-10-01&amp;end_date=2025-10-31&amp;fiscal_year_id=9736324",47475)</f>
        <v>47475</v>
      </c>
      <c r="J17" s="34">
        <f>HYPERLINK("https://secure.freee.co.jp/reports/general_ledgers/show?name=%E6%B0%B4%E9%81%93%E5%85%89%E7%86%B1%E8%B2%BB&amp;start_date=2025-11-01&amp;end_date=2025-11-30&amp;fiscal_year_id=9736324",16257)</f>
        <v>16257</v>
      </c>
      <c r="K17" s="34">
        <f>HYPERLINK("https://secure.freee.co.jp/reports/general_ledgers/show?name=%E6%B0%B4%E9%81%93%E5%85%89%E7%86%B1%E8%B2%BB&amp;start_date=2025-12-01&amp;end_date=2025-12-31&amp;fiscal_year_id=9736324",29423)</f>
        <v>29423</v>
      </c>
      <c r="L17" s="30">
        <f>HYPERLINK("https://secure.freee.co.jp/reports/general_ledgers/show?name=%E6%B0%B4%E9%81%93%E5%85%89%E7%86%B1%E8%B2%BB&amp;start_date=2026-01-01&amp;end_date=2026-01-31&amp;fiscal_year_id=9736324",30635)</f>
        <v>30635</v>
      </c>
      <c r="M17" s="37">
        <f>HYPERLINK("https://secure.freee.co.jp/reports/general_ledgers/show?name=%E6%B0%B4%E9%81%93%E5%85%89%E7%86%B1%E8%B2%BB&amp;start_date=2026-02-01&amp;end_date=2026-02-28&amp;fiscal_year_id=9736324",38733)</f>
        <v>38733</v>
      </c>
      <c r="N17" s="38">
        <f>SUM(B17:M17)</f>
        <v>586894</v>
      </c>
      <c r="O17" s="32" t="s">
        <v>378</v>
      </c>
    </row>
    <row r="18" spans="1:15" x14ac:dyDescent="0.25">
      <c r="A18" s="10" t="s">
        <v>454</v>
      </c>
      <c r="B18" s="30">
        <f>HYPERLINK("https://secure.freee.co.jp/reports/general_ledgers/show?name=%E8%AB%B8%E4%BC%9A%E8%B2%BB&amp;start_date=2025-03-01&amp;end_date=2025-03-31&amp;fiscal_year_id=9736324",600)</f>
        <v>600</v>
      </c>
      <c r="C18" s="45">
        <v>0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0">
        <v>0</v>
      </c>
      <c r="J18" s="30">
        <f>HYPERLINK("https://secure.freee.co.jp/reports/general_ledgers/show?name=%E8%AB%B8%E4%BC%9A%E8%B2%BB&amp;start_date=2025-11-01&amp;end_date=2025-11-30&amp;fiscal_year_id=9736324",12100)</f>
        <v>12100</v>
      </c>
      <c r="K18" s="30">
        <f>HYPERLINK("https://secure.freee.co.jp/reports/general_ledgers/show?name=%E8%AB%B8%E4%BC%9A%E8%B2%BB&amp;start_date=2025-12-01&amp;end_date=2025-12-31&amp;fiscal_year_id=9736324",18000)</f>
        <v>18000</v>
      </c>
      <c r="L18" s="45">
        <v>0</v>
      </c>
      <c r="M18" s="41">
        <v>0</v>
      </c>
      <c r="N18" s="38">
        <f>SUM(B18:M18)</f>
        <v>30700</v>
      </c>
      <c r="O18" s="32" t="s">
        <v>378</v>
      </c>
    </row>
    <row r="19" spans="1:15" x14ac:dyDescent="0.25">
      <c r="A19" s="10" t="s">
        <v>455</v>
      </c>
      <c r="B19" s="30">
        <f>HYPERLINK("https://secure.freee.co.jp/reports/general_ledgers/show?name=%E6%94%AF%E6%89%95%E6%89%8B%E6%95%B0%E6%96%99&amp;start_date=2025-03-01&amp;end_date=2025-03-31&amp;fiscal_year_id=9736324",70366)</f>
        <v>70366</v>
      </c>
      <c r="C19" s="30">
        <f>HYPERLINK("https://secure.freee.co.jp/reports/general_ledgers/show?name=%E6%94%AF%E6%89%95%E6%89%8B%E6%95%B0%E6%96%99&amp;start_date=2025-04-01&amp;end_date=2025-04-30&amp;fiscal_year_id=9736324",75794)</f>
        <v>75794</v>
      </c>
      <c r="D19" s="34">
        <f>HYPERLINK("https://secure.freee.co.jp/reports/general_ledgers/show?name=%E6%94%AF%E6%89%95%E6%89%8B%E6%95%B0%E6%96%99&amp;start_date=2025-05-01&amp;end_date=2025-05-31&amp;fiscal_year_id=9736324",207089)</f>
        <v>207089</v>
      </c>
      <c r="E19" s="34">
        <f>HYPERLINK("https://secure.freee.co.jp/reports/general_ledgers/show?name=%E6%94%AF%E6%89%95%E6%89%8B%E6%95%B0%E6%96%99&amp;start_date=2025-06-01&amp;end_date=2025-06-30&amp;fiscal_year_id=9736324",70285)</f>
        <v>70285</v>
      </c>
      <c r="F19" s="34">
        <f>HYPERLINK("https://secure.freee.co.jp/reports/general_ledgers/show?name=%E6%94%AF%E6%89%95%E6%89%8B%E6%95%B0%E6%96%99&amp;start_date=2025-07-01&amp;end_date=2025-07-31&amp;fiscal_year_id=9736324",32016)</f>
        <v>32016</v>
      </c>
      <c r="G19" s="30">
        <f>HYPERLINK("https://secure.freee.co.jp/reports/general_ledgers/show?name=%E6%94%AF%E6%89%95%E6%89%8B%E6%95%B0%E6%96%99&amp;start_date=2025-08-01&amp;end_date=2025-08-31&amp;fiscal_year_id=9736324",45075)</f>
        <v>45075</v>
      </c>
      <c r="H19" s="30">
        <f>HYPERLINK("https://secure.freee.co.jp/reports/general_ledgers/show?name=%E6%94%AF%E6%89%95%E6%89%8B%E6%95%B0%E6%96%99&amp;start_date=2025-09-01&amp;end_date=2025-09-30&amp;fiscal_year_id=9736324",34634)</f>
        <v>34634</v>
      </c>
      <c r="I19" s="34">
        <f>HYPERLINK("https://secure.freee.co.jp/reports/general_ledgers/show?name=%E6%94%AF%E6%89%95%E6%89%8B%E6%95%B0%E6%96%99&amp;start_date=2025-10-01&amp;end_date=2025-10-31&amp;fiscal_year_id=9736324",52283)</f>
        <v>52283</v>
      </c>
      <c r="J19" s="30">
        <f>HYPERLINK("https://secure.freee.co.jp/reports/general_ledgers/show?name=%E6%94%AF%E6%89%95%E6%89%8B%E6%95%B0%E6%96%99&amp;start_date=2025-11-01&amp;end_date=2025-11-30&amp;fiscal_year_id=9736324",38858)</f>
        <v>38858</v>
      </c>
      <c r="K19" s="30">
        <f>HYPERLINK("https://secure.freee.co.jp/reports/general_ledgers/show?name=%E6%94%AF%E6%89%95%E6%89%8B%E6%95%B0%E6%96%99&amp;start_date=2025-12-01&amp;end_date=2025-12-31&amp;fiscal_year_id=9736324",41740)</f>
        <v>41740</v>
      </c>
      <c r="L19" s="30">
        <f>HYPERLINK("https://secure.freee.co.jp/reports/general_ledgers/show?name=%E6%94%AF%E6%89%95%E6%89%8B%E6%95%B0%E6%96%99&amp;start_date=2026-01-01&amp;end_date=2026-01-31&amp;fiscal_year_id=9736324",26628)</f>
        <v>26628</v>
      </c>
      <c r="M19" s="34">
        <f>HYPERLINK("https://secure.freee.co.jp/reports/general_ledgers/show?name=%E6%94%AF%E6%89%95%E6%89%8B%E6%95%B0%E6%96%99&amp;start_date=2026-02-01&amp;end_date=2026-02-28&amp;fiscal_year_id=9736324",88933)</f>
        <v>88933</v>
      </c>
      <c r="N19" s="38">
        <f>SUM(B19:M19)</f>
        <v>783701</v>
      </c>
      <c r="O19" s="32" t="s">
        <v>378</v>
      </c>
    </row>
    <row r="20" spans="1:15" x14ac:dyDescent="0.25">
      <c r="A20" s="10" t="s">
        <v>456</v>
      </c>
      <c r="B20" s="30">
        <f>HYPERLINK("https://secure.freee.co.jp/reports/general_ledgers/show?name=%E8%BB%8A%E4%B8%A1%E8%B2%BB&amp;start_date=2025-03-01&amp;end_date=2025-03-31&amp;fiscal_year_id=9736324",117017)</f>
        <v>117017</v>
      </c>
      <c r="C20" s="30">
        <f>HYPERLINK("https://secure.freee.co.jp/reports/general_ledgers/show?name=%E8%BB%8A%E4%B8%A1%E8%B2%BB&amp;start_date=2025-04-01&amp;end_date=2025-04-30&amp;fiscal_year_id=9736324",81722)</f>
        <v>81722</v>
      </c>
      <c r="D20" s="30">
        <f>HYPERLINK("https://secure.freee.co.jp/reports/general_ledgers/show?name=%E8%BB%8A%E4%B8%A1%E8%B2%BB&amp;start_date=2025-05-01&amp;end_date=2025-05-31&amp;fiscal_year_id=9736324",66112)</f>
        <v>66112</v>
      </c>
      <c r="E20" s="30">
        <f>HYPERLINK("https://secure.freee.co.jp/reports/general_ledgers/show?name=%E8%BB%8A%E4%B8%A1%E8%B2%BB&amp;start_date=2025-06-01&amp;end_date=2025-06-30&amp;fiscal_year_id=9736324",55936)</f>
        <v>55936</v>
      </c>
      <c r="F20" s="30">
        <f>HYPERLINK("https://secure.freee.co.jp/reports/general_ledgers/show?name=%E8%BB%8A%E4%B8%A1%E8%B2%BB&amp;start_date=2025-07-01&amp;end_date=2025-07-31&amp;fiscal_year_id=9736324",55814)</f>
        <v>55814</v>
      </c>
      <c r="G20" s="30">
        <f>HYPERLINK("https://secure.freee.co.jp/reports/general_ledgers/show?name=%E8%BB%8A%E4%B8%A1%E8%B2%BB&amp;start_date=2025-08-01&amp;end_date=2025-08-31&amp;fiscal_year_id=9736324",48239)</f>
        <v>48239</v>
      </c>
      <c r="H20" s="30">
        <f>HYPERLINK("https://secure.freee.co.jp/reports/general_ledgers/show?name=%E8%BB%8A%E4%B8%A1%E8%B2%BB&amp;start_date=2025-09-01&amp;end_date=2025-09-30&amp;fiscal_year_id=9736324",70892)</f>
        <v>70892</v>
      </c>
      <c r="I20" s="30">
        <f>HYPERLINK("https://secure.freee.co.jp/reports/general_ledgers/show?name=%E8%BB%8A%E4%B8%A1%E8%B2%BB&amp;start_date=2025-10-01&amp;end_date=2025-10-31&amp;fiscal_year_id=9736324",56480)</f>
        <v>56480</v>
      </c>
      <c r="J20" s="34">
        <f>HYPERLINK("https://secure.freee.co.jp/reports/general_ledgers/show?name=%E8%BB%8A%E4%B8%A1%E8%B2%BB&amp;start_date=2025-11-01&amp;end_date=2025-11-30&amp;fiscal_year_id=9736324",16110)</f>
        <v>16110</v>
      </c>
      <c r="K20" s="34">
        <f>HYPERLINK("https://secure.freee.co.jp/reports/general_ledgers/show?name=%E8%BB%8A%E4%B8%A1%E8%B2%BB&amp;start_date=2025-12-01&amp;end_date=2025-12-31&amp;fiscal_year_id=9736324",24647)</f>
        <v>24647</v>
      </c>
      <c r="L20" s="34">
        <f>HYPERLINK("https://secure.freee.co.jp/reports/general_ledgers/show?name=%E8%BB%8A%E4%B8%A1%E8%B2%BB&amp;start_date=2026-01-01&amp;end_date=2026-01-31&amp;fiscal_year_id=9736324",44239)</f>
        <v>44239</v>
      </c>
      <c r="M20" s="34">
        <f>HYPERLINK("https://secure.freee.co.jp/reports/general_ledgers/show?name=%E8%BB%8A%E4%B8%A1%E8%B2%BB&amp;start_date=2026-02-01&amp;end_date=2026-02-28&amp;fiscal_year_id=9736324",15653)</f>
        <v>15653</v>
      </c>
      <c r="N20" s="38">
        <f>SUM(B20:M20)</f>
        <v>652861</v>
      </c>
      <c r="O20" s="32" t="s">
        <v>378</v>
      </c>
    </row>
    <row r="21" spans="1:15" x14ac:dyDescent="0.25">
      <c r="A21" s="10" t="s">
        <v>457</v>
      </c>
      <c r="B21" s="30">
        <f>HYPERLINK("https://secure.freee.co.jp/reports/general_ledgers/show?name=%E5%9C%B0%E4%BB%A3%E5%AE%B6%E8%B3%83&amp;start_date=2025-03-01&amp;end_date=2025-03-31&amp;fiscal_year_id=9736324",5000)</f>
        <v>5000</v>
      </c>
      <c r="C21" s="34">
        <f>HYPERLINK("https://secure.freee.co.jp/reports/general_ledgers/show?name=%E5%9C%B0%E4%BB%A3%E5%AE%B6%E8%B3%83&amp;start_date=2025-04-01&amp;end_date=2025-04-30&amp;fiscal_year_id=9736324",150040)</f>
        <v>150040</v>
      </c>
      <c r="D21" s="34">
        <f>HYPERLINK("https://secure.freee.co.jp/reports/general_ledgers/show?name=%E5%9C%B0%E4%BB%A3%E5%AE%B6%E8%B3%83&amp;start_date=2025-05-01&amp;end_date=2025-05-31&amp;fiscal_year_id=9736324",5000)</f>
        <v>5000</v>
      </c>
      <c r="E21" s="34">
        <f>HYPERLINK("https://secure.freee.co.jp/reports/general_ledgers/show?name=%E5%9C%B0%E4%BB%A3%E5%AE%B6%E8%B3%83&amp;start_date=2025-06-01&amp;end_date=2025-06-30&amp;fiscal_year_id=9736324",83020)</f>
        <v>83020</v>
      </c>
      <c r="F21" s="30">
        <f>HYPERLINK("https://secure.freee.co.jp/reports/general_ledgers/show?name=%E5%9C%B0%E4%BB%A3%E5%AE%B6%E8%B3%83&amp;start_date=2025-07-01&amp;end_date=2025-07-31&amp;fiscal_year_id=9736324",72520)</f>
        <v>72520</v>
      </c>
      <c r="G21" s="30">
        <f>HYPERLINK("https://secure.freee.co.jp/reports/general_ledgers/show?name=%E5%9C%B0%E4%BB%A3%E5%AE%B6%E8%B3%83&amp;start_date=2025-08-01&amp;end_date=2025-08-31&amp;fiscal_year_id=9736324",72520)</f>
        <v>72520</v>
      </c>
      <c r="H21" s="30">
        <f>HYPERLINK("https://secure.freee.co.jp/reports/general_ledgers/show?name=%E5%9C%B0%E4%BB%A3%E5%AE%B6%E8%B3%83&amp;start_date=2025-09-01&amp;end_date=2025-09-30&amp;fiscal_year_id=9736324",82520)</f>
        <v>82520</v>
      </c>
      <c r="I21" s="34">
        <f>HYPERLINK("https://secure.freee.co.jp/reports/general_ledgers/show?name=%E5%9C%B0%E4%BB%A3%E5%AE%B6%E8%B3%83&amp;start_date=2025-10-01&amp;end_date=2025-10-31&amp;fiscal_year_id=9736324",155040)</f>
        <v>155040</v>
      </c>
      <c r="J21" s="45">
        <v>0</v>
      </c>
      <c r="K21" s="30">
        <f>HYPERLINK("https://secure.freee.co.jp/reports/general_ledgers/show?name=%E5%9C%B0%E4%BB%A3%E5%AE%B6%E8%B3%83&amp;start_date=2025-12-01&amp;end_date=2025-12-31&amp;fiscal_year_id=9736324",77520)</f>
        <v>77520</v>
      </c>
      <c r="L21" s="30">
        <f>HYPERLINK("https://secure.freee.co.jp/reports/general_ledgers/show?name=%E5%9C%B0%E4%BB%A3%E5%AE%B6%E8%B3%83&amp;start_date=2026-01-01&amp;end_date=2026-01-31&amp;fiscal_year_id=9736324",77520)</f>
        <v>77520</v>
      </c>
      <c r="M21" s="37">
        <f>HYPERLINK("https://secure.freee.co.jp/reports/general_ledgers/show?name=%E5%9C%B0%E4%BB%A3%E5%AE%B6%E8%B3%83&amp;start_date=2026-02-01&amp;end_date=2026-02-28&amp;fiscal_year_id=9736324",77520)</f>
        <v>77520</v>
      </c>
      <c r="N21" s="38">
        <f>SUM(B21:M21)</f>
        <v>858220</v>
      </c>
      <c r="O21" s="32" t="s">
        <v>378</v>
      </c>
    </row>
    <row r="22" spans="1:15" x14ac:dyDescent="0.25">
      <c r="A22" s="10" t="s">
        <v>458</v>
      </c>
      <c r="B22" s="30">
        <f>HYPERLINK("https://secure.freee.co.jp/reports/general_ledgers/show?name=%E3%83%AA%E3%83%BC%E3%82%B9%E6%96%99&amp;start_date=2025-03-01&amp;end_date=2025-03-31&amp;fiscal_year_id=9736324",37730)</f>
        <v>37730</v>
      </c>
      <c r="C22" s="30">
        <f>HYPERLINK("https://secure.freee.co.jp/reports/general_ledgers/show?name=%E3%83%AA%E3%83%BC%E3%82%B9%E6%96%99&amp;start_date=2025-04-01&amp;end_date=2025-04-30&amp;fiscal_year_id=9736324",37730)</f>
        <v>37730</v>
      </c>
      <c r="D22" s="30">
        <f>HYPERLINK("https://secure.freee.co.jp/reports/general_ledgers/show?name=%E3%83%AA%E3%83%BC%E3%82%B9%E6%96%99&amp;start_date=2025-05-01&amp;end_date=2025-05-31&amp;fiscal_year_id=9736324",37730)</f>
        <v>37730</v>
      </c>
      <c r="E22" s="30">
        <f>HYPERLINK("https://secure.freee.co.jp/reports/general_ledgers/show?name=%E3%83%AA%E3%83%BC%E3%82%B9%E6%96%99&amp;start_date=2025-06-01&amp;end_date=2025-06-30&amp;fiscal_year_id=9736324",37730)</f>
        <v>37730</v>
      </c>
      <c r="F22" s="30">
        <f>HYPERLINK("https://secure.freee.co.jp/reports/general_ledgers/show?name=%E3%83%AA%E3%83%BC%E3%82%B9%E6%96%99&amp;start_date=2025-07-01&amp;end_date=2025-07-31&amp;fiscal_year_id=9736324",37730)</f>
        <v>37730</v>
      </c>
      <c r="G22" s="30">
        <f>HYPERLINK("https://secure.freee.co.jp/reports/general_ledgers/show?name=%E3%83%AA%E3%83%BC%E3%82%B9%E6%96%99&amp;start_date=2025-08-01&amp;end_date=2025-08-31&amp;fiscal_year_id=9736324",37730)</f>
        <v>37730</v>
      </c>
      <c r="H22" s="30">
        <f>HYPERLINK("https://secure.freee.co.jp/reports/general_ledgers/show?name=%E3%83%AA%E3%83%BC%E3%82%B9%E6%96%99&amp;start_date=2025-09-01&amp;end_date=2025-09-30&amp;fiscal_year_id=9736324",37730)</f>
        <v>37730</v>
      </c>
      <c r="I22" s="45">
        <v>0</v>
      </c>
      <c r="J22" s="40">
        <v>0</v>
      </c>
      <c r="K22" s="30">
        <f>HYPERLINK("https://secure.freee.co.jp/reports/general_ledgers/show?name=%E3%83%AA%E3%83%BC%E3%82%B9%E6%96%99&amp;start_date=2025-12-01&amp;end_date=2025-12-31&amp;fiscal_year_id=9736324",-16500)</f>
        <v>-16500</v>
      </c>
      <c r="L22" s="45">
        <v>0</v>
      </c>
      <c r="M22" s="41">
        <v>0</v>
      </c>
      <c r="N22" s="38">
        <f>SUM(B22:M22)</f>
        <v>247610</v>
      </c>
      <c r="O22" s="32" t="s">
        <v>378</v>
      </c>
    </row>
    <row r="23" spans="1:15" x14ac:dyDescent="0.25">
      <c r="A23" s="10" t="s">
        <v>459</v>
      </c>
      <c r="B23" s="30">
        <f>HYPERLINK("https://secure.freee.co.jp/reports/general_ledgers/show?name=%E4%BF%9D%E9%99%BA%E6%96%99&amp;start_date=2025-03-01&amp;end_date=2025-03-31&amp;fiscal_year_id=9736324",51224)</f>
        <v>51224</v>
      </c>
      <c r="C23" s="30">
        <f>HYPERLINK("https://secure.freee.co.jp/reports/general_ledgers/show?name=%E4%BF%9D%E9%99%BA%E6%96%99&amp;start_date=2025-04-01&amp;end_date=2025-04-30&amp;fiscal_year_id=9736324",52293)</f>
        <v>52293</v>
      </c>
      <c r="D23" s="30">
        <f>HYPERLINK("https://secure.freee.co.jp/reports/general_ledgers/show?name=%E4%BF%9D%E9%99%BA%E6%96%99&amp;start_date=2025-05-01&amp;end_date=2025-05-31&amp;fiscal_year_id=9736324",50893)</f>
        <v>50893</v>
      </c>
      <c r="E23" s="34">
        <f>HYPERLINK("https://secure.freee.co.jp/reports/general_ledgers/show?name=%E4%BF%9D%E9%99%BA%E6%96%99&amp;start_date=2025-06-01&amp;end_date=2025-06-30&amp;fiscal_year_id=9736324",17160)</f>
        <v>17160</v>
      </c>
      <c r="F23" s="30">
        <f>HYPERLINK("https://secure.freee.co.jp/reports/general_ledgers/show?name=%E4%BF%9D%E9%99%BA%E6%96%99&amp;start_date=2025-07-01&amp;end_date=2025-07-31&amp;fiscal_year_id=9736324",24180)</f>
        <v>24180</v>
      </c>
      <c r="G23" s="34">
        <f>HYPERLINK("https://secure.freee.co.jp/reports/general_ledgers/show?name=%E4%BF%9D%E9%99%BA%E6%96%99&amp;start_date=2025-08-01&amp;end_date=2025-08-31&amp;fiscal_year_id=9736324",87649)</f>
        <v>87649</v>
      </c>
      <c r="H23" s="34">
        <f>HYPERLINK("https://secure.freee.co.jp/reports/general_ledgers/show?name=%E4%BF%9D%E9%99%BA%E6%96%99&amp;start_date=2025-09-01&amp;end_date=2025-09-30&amp;fiscal_year_id=9736324",24819)</f>
        <v>24819</v>
      </c>
      <c r="I23" s="34">
        <f>HYPERLINK("https://secure.freee.co.jp/reports/general_ledgers/show?name=%E4%BF%9D%E9%99%BA%E6%96%99&amp;start_date=2025-10-01&amp;end_date=2025-10-31&amp;fiscal_year_id=9736324",55117)</f>
        <v>55117</v>
      </c>
      <c r="J23" s="30">
        <f>HYPERLINK("https://secure.freee.co.jp/reports/general_ledgers/show?name=%E4%BF%9D%E9%99%BA%E6%96%99&amp;start_date=2025-11-01&amp;end_date=2025-11-30&amp;fiscal_year_id=9736324",37408)</f>
        <v>37408</v>
      </c>
      <c r="K23" s="30">
        <f>HYPERLINK("https://secure.freee.co.jp/reports/general_ledgers/show?name=%E4%BF%9D%E9%99%BA%E6%96%99&amp;start_date=2025-12-01&amp;end_date=2025-12-31&amp;fiscal_year_id=9736324",37408)</f>
        <v>37408</v>
      </c>
      <c r="L23" s="34">
        <f>HYPERLINK("https://secure.freee.co.jp/reports/general_ledgers/show?name=%E4%BF%9D%E9%99%BA%E6%96%99&amp;start_date=2026-01-01&amp;end_date=2026-01-31&amp;fiscal_year_id=9736324",16570)</f>
        <v>16570</v>
      </c>
      <c r="M23" s="34">
        <f>HYPERLINK("https://secure.freee.co.jp/reports/general_ledgers/show?name=%E4%BF%9D%E9%99%BA%E6%96%99&amp;start_date=2026-02-01&amp;end_date=2026-02-28&amp;fiscal_year_id=9736324",27339)</f>
        <v>27339</v>
      </c>
      <c r="N23" s="38">
        <f>SUM(B23:M23)</f>
        <v>482060</v>
      </c>
      <c r="O23" s="32" t="s">
        <v>378</v>
      </c>
    </row>
    <row r="24" spans="1:15" x14ac:dyDescent="0.25">
      <c r="A24" s="10" t="s">
        <v>460</v>
      </c>
      <c r="B24" s="30">
        <f>HYPERLINK("https://secure.freee.co.jp/reports/general_ledgers/show?name=%E7%A7%9F%E7%A8%8E%E5%85%AC%E8%AA%B2&amp;start_date=2025-03-01&amp;end_date=2025-03-31&amp;fiscal_year_id=9736324",7250)</f>
        <v>7250</v>
      </c>
      <c r="C24" s="34">
        <f>HYPERLINK("https://secure.freee.co.jp/reports/general_ledgers/show?name=%E7%A7%9F%E7%A8%8E%E5%85%AC%E8%AA%B2&amp;start_date=2025-04-01&amp;end_date=2025-04-30&amp;fiscal_year_id=9736324",131500)</f>
        <v>131500</v>
      </c>
      <c r="D24" s="34">
        <f>HYPERLINK("https://secure.freee.co.jp/reports/general_ledgers/show?name=%E7%A7%9F%E7%A8%8E%E5%85%AC%E8%AA%B2&amp;start_date=2025-05-01&amp;end_date=2025-05-31&amp;fiscal_year_id=9736324",37800)</f>
        <v>37800</v>
      </c>
      <c r="E24" s="34">
        <f>HYPERLINK("https://secure.freee.co.jp/reports/general_ledgers/show?name=%E7%A7%9F%E7%A8%8E%E5%85%AC%E8%AA%B2&amp;start_date=2025-06-01&amp;end_date=2025-06-30&amp;fiscal_year_id=9736324",1500)</f>
        <v>1500</v>
      </c>
      <c r="F24" s="45">
        <v>0</v>
      </c>
      <c r="G24" s="40">
        <v>0</v>
      </c>
      <c r="H24" s="30">
        <f>HYPERLINK("https://secure.freee.co.jp/reports/general_ledgers/show?name=%E7%A7%9F%E7%A8%8E%E5%85%AC%E8%AA%B2&amp;start_date=2025-09-01&amp;end_date=2025-09-30&amp;fiscal_year_id=9736324",5870)</f>
        <v>5870</v>
      </c>
      <c r="I24" s="34">
        <f>HYPERLINK("https://secure.freee.co.jp/reports/general_ledgers/show?name=%E7%A7%9F%E7%A8%8E%E5%85%AC%E8%AA%B2&amp;start_date=2025-10-01&amp;end_date=2025-10-31&amp;fiscal_year_id=9736324",775900)</f>
        <v>775900</v>
      </c>
      <c r="J24" s="34">
        <f>HYPERLINK("https://secure.freee.co.jp/reports/general_ledgers/show?name=%E7%A7%9F%E7%A8%8E%E5%85%AC%E8%AA%B2&amp;start_date=2025-11-01&amp;end_date=2025-11-30&amp;fiscal_year_id=9736324",7900)</f>
        <v>7900</v>
      </c>
      <c r="K24" s="45">
        <v>0</v>
      </c>
      <c r="L24" s="40">
        <v>0</v>
      </c>
      <c r="M24" s="37">
        <f>HYPERLINK("https://secure.freee.co.jp/reports/general_ledgers/show?name=%E7%A7%9F%E7%A8%8E%E5%85%AC%E8%AA%B2&amp;start_date=2026-02-01&amp;end_date=2026-02-28&amp;fiscal_year_id=9736324",-81500)</f>
        <v>-81500</v>
      </c>
      <c r="N24" s="38">
        <f>SUM(B24:M24)</f>
        <v>886220</v>
      </c>
      <c r="O24" s="32" t="s">
        <v>378</v>
      </c>
    </row>
    <row r="25" spans="1:15" x14ac:dyDescent="0.25">
      <c r="A25" s="10" t="s">
        <v>461</v>
      </c>
      <c r="B25" s="30">
        <f>HYPERLINK("https://secure.freee.co.jp/reports/general_ledgers/show?name=%E7%A0%94%E4%BF%AE%E8%B2%BB&amp;start_date=2025-03-01&amp;end_date=2025-03-31&amp;fiscal_year_id=9736324",-390200)</f>
        <v>-390200</v>
      </c>
      <c r="C25" s="34">
        <f>HYPERLINK("https://secure.freee.co.jp/reports/general_ledgers/show?name=%E7%A0%94%E4%BF%AE%E8%B2%BB&amp;start_date=2025-04-01&amp;end_date=2025-04-30&amp;fiscal_year_id=9736324",400000)</f>
        <v>400000</v>
      </c>
      <c r="D25" s="45">
        <v>0</v>
      </c>
      <c r="E25" s="30">
        <f>HYPERLINK("https://secure.freee.co.jp/reports/general_ledgers/show?name=%E7%A0%94%E4%BF%AE%E8%B2%BB&amp;start_date=2025-06-01&amp;end_date=2025-06-30&amp;fiscal_year_id=9736324",14720)</f>
        <v>14720</v>
      </c>
      <c r="F25" s="34">
        <f>HYPERLINK("https://secure.freee.co.jp/reports/general_ledgers/show?name=%E7%A0%94%E4%BF%AE%E8%B2%BB&amp;start_date=2025-07-01&amp;end_date=2025-07-31&amp;fiscal_year_id=9736324",980)</f>
        <v>980</v>
      </c>
      <c r="G25" s="34">
        <f>HYPERLINK("https://secure.freee.co.jp/reports/general_ledgers/show?name=%E7%A0%94%E4%BF%AE%E8%B2%BB&amp;start_date=2025-08-01&amp;end_date=2025-08-31&amp;fiscal_year_id=9736324",12000)</f>
        <v>12000</v>
      </c>
      <c r="H25" s="34">
        <f>HYPERLINK("https://secure.freee.co.jp/reports/general_ledgers/show?name=%E7%A0%94%E4%BF%AE%E8%B2%BB&amp;start_date=2025-09-01&amp;end_date=2025-09-30&amp;fiscal_year_id=9736324",4000)</f>
        <v>4000</v>
      </c>
      <c r="I25" s="45">
        <v>0</v>
      </c>
      <c r="J25" s="40">
        <v>0</v>
      </c>
      <c r="K25" s="30">
        <f>HYPERLINK("https://secure.freee.co.jp/reports/general_ledgers/show?name=%E7%A0%94%E4%BF%AE%E8%B2%BB&amp;start_date=2025-12-01&amp;end_date=2025-12-31&amp;fiscal_year_id=9736324",15400)</f>
        <v>15400</v>
      </c>
      <c r="L25" s="45">
        <v>0</v>
      </c>
      <c r="M25" s="41">
        <v>0</v>
      </c>
      <c r="N25" s="38">
        <f>SUM(B25:M25)</f>
        <v>56900</v>
      </c>
      <c r="O25" s="32" t="s">
        <v>378</v>
      </c>
    </row>
    <row r="26" spans="1:15" x14ac:dyDescent="0.25">
      <c r="A26" s="10" t="s">
        <v>462</v>
      </c>
      <c r="B26" s="30">
        <f>HYPERLINK("https://secure.freee.co.jp/reports/general_ledgers/show?name=%E6%B8%9B%E4%BE%A1%E5%84%9F%E5%8D%B4%E8%B2%BB&amp;start_date=2025-03-01&amp;end_date=2025-03-31&amp;fiscal_year_id=9736324",203050)</f>
        <v>203050</v>
      </c>
      <c r="C26" s="30">
        <f>HYPERLINK("https://secure.freee.co.jp/reports/general_ledgers/show?name=%E6%B8%9B%E4%BE%A1%E5%84%9F%E5%8D%B4%E8%B2%BB&amp;start_date=2025-04-01&amp;end_date=2025-04-30&amp;fiscal_year_id=9736324",203050)</f>
        <v>203050</v>
      </c>
      <c r="D26" s="30">
        <f>HYPERLINK("https://secure.freee.co.jp/reports/general_ledgers/show?name=%E6%B8%9B%E4%BE%A1%E5%84%9F%E5%8D%B4%E8%B2%BB&amp;start_date=2025-05-01&amp;end_date=2025-05-31&amp;fiscal_year_id=9736324",203050)</f>
        <v>203050</v>
      </c>
      <c r="E26" s="30">
        <f>HYPERLINK("https://secure.freee.co.jp/reports/general_ledgers/show?name=%E6%B8%9B%E4%BE%A1%E5%84%9F%E5%8D%B4%E8%B2%BB&amp;start_date=2025-06-01&amp;end_date=2025-06-30&amp;fiscal_year_id=9736324",203050)</f>
        <v>203050</v>
      </c>
      <c r="F26" s="30">
        <f>HYPERLINK("https://secure.freee.co.jp/reports/general_ledgers/show?name=%E6%B8%9B%E4%BE%A1%E5%84%9F%E5%8D%B4%E8%B2%BB&amp;start_date=2025-07-01&amp;end_date=2025-07-31&amp;fiscal_year_id=9736324",203050)</f>
        <v>203050</v>
      </c>
      <c r="G26" s="30">
        <f>HYPERLINK("https://secure.freee.co.jp/reports/general_ledgers/show?name=%E6%B8%9B%E4%BE%A1%E5%84%9F%E5%8D%B4%E8%B2%BB&amp;start_date=2025-08-01&amp;end_date=2025-08-31&amp;fiscal_year_id=9736324",203050)</f>
        <v>203050</v>
      </c>
      <c r="H26" s="30">
        <f>HYPERLINK("https://secure.freee.co.jp/reports/general_ledgers/show?name=%E6%B8%9B%E4%BE%A1%E5%84%9F%E5%8D%B4%E8%B2%BB&amp;start_date=2025-09-01&amp;end_date=2025-09-30&amp;fiscal_year_id=9736324",203050)</f>
        <v>203050</v>
      </c>
      <c r="I26" s="30">
        <f>HYPERLINK("https://secure.freee.co.jp/reports/general_ledgers/show?name=%E6%B8%9B%E4%BE%A1%E5%84%9F%E5%8D%B4%E8%B2%BB&amp;start_date=2025-10-01&amp;end_date=2025-10-31&amp;fiscal_year_id=9736324",203050)</f>
        <v>203050</v>
      </c>
      <c r="J26" s="30">
        <f>HYPERLINK("https://secure.freee.co.jp/reports/general_ledgers/show?name=%E6%B8%9B%E4%BE%A1%E5%84%9F%E5%8D%B4%E8%B2%BB&amp;start_date=2025-11-01&amp;end_date=2025-11-30&amp;fiscal_year_id=9736324",203050)</f>
        <v>203050</v>
      </c>
      <c r="K26" s="30">
        <f>HYPERLINK("https://secure.freee.co.jp/reports/general_ledgers/show?name=%E6%B8%9B%E4%BE%A1%E5%84%9F%E5%8D%B4%E8%B2%BB&amp;start_date=2025-12-01&amp;end_date=2025-12-31&amp;fiscal_year_id=9736324",203050)</f>
        <v>203050</v>
      </c>
      <c r="L26" s="30">
        <f>HYPERLINK("https://secure.freee.co.jp/reports/general_ledgers/show?name=%E6%B8%9B%E4%BE%A1%E5%84%9F%E5%8D%B4%E8%B2%BB&amp;start_date=2026-01-01&amp;end_date=2026-01-31&amp;fiscal_year_id=9736324",203050)</f>
        <v>203050</v>
      </c>
      <c r="M26" s="37">
        <f>HYPERLINK("https://secure.freee.co.jp/reports/general_ledgers/show?name=%E6%B8%9B%E4%BE%A1%E5%84%9F%E5%8D%B4%E8%B2%BB&amp;start_date=2026-02-01&amp;end_date=2026-02-28&amp;fiscal_year_id=9736324",203070)</f>
        <v>203070</v>
      </c>
      <c r="N26" s="38">
        <f>SUM(B26:M26)</f>
        <v>2436620</v>
      </c>
      <c r="O26" s="32" t="s">
        <v>378</v>
      </c>
    </row>
    <row r="27" spans="1:15" x14ac:dyDescent="0.25">
      <c r="A27" s="10" t="s">
        <v>463</v>
      </c>
      <c r="B27" s="40">
        <v>0</v>
      </c>
      <c r="C27" s="40">
        <v>0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0">
        <v>0</v>
      </c>
      <c r="J27" s="30">
        <f>HYPERLINK("https://secure.freee.co.jp/reports/general_ledgers/show?name=%E9%9B%91%E8%B2%BB&amp;start_date=2025-11-01&amp;end_date=2025-11-30&amp;fiscal_year_id=9736324",2800)</f>
        <v>2800</v>
      </c>
      <c r="K27" s="45">
        <v>0</v>
      </c>
      <c r="L27" s="40">
        <v>0</v>
      </c>
      <c r="M27" s="41">
        <v>0</v>
      </c>
      <c r="N27" s="38">
        <f>SUM(B27:M27)</f>
        <v>2800</v>
      </c>
      <c r="O27" s="32" t="s">
        <v>378</v>
      </c>
    </row>
    <row r="28" spans="1:15" x14ac:dyDescent="0.25">
      <c r="A28" s="42" t="s">
        <v>464</v>
      </c>
      <c r="B28" s="43">
        <v>1096167</v>
      </c>
      <c r="C28" s="43">
        <v>3218790</v>
      </c>
      <c r="D28" s="43">
        <v>2062918</v>
      </c>
      <c r="E28" s="43">
        <v>2712351</v>
      </c>
      <c r="F28" s="43">
        <v>2347608</v>
      </c>
      <c r="G28" s="43">
        <v>2339785</v>
      </c>
      <c r="H28" s="43">
        <v>2234053</v>
      </c>
      <c r="I28" s="43">
        <v>3240836</v>
      </c>
      <c r="J28" s="43">
        <v>2063797</v>
      </c>
      <c r="K28" s="43">
        <v>2104707</v>
      </c>
      <c r="L28" s="43">
        <v>2064827</v>
      </c>
      <c r="M28" s="43">
        <v>1554544</v>
      </c>
      <c r="N28" s="43">
        <f>SUM(B28:M28)</f>
        <v>27040383</v>
      </c>
      <c r="O28" s="44"/>
    </row>
    <row r="29" spans="1:15" x14ac:dyDescent="0.25">
      <c r="A29" s="42" t="s">
        <v>465</v>
      </c>
      <c r="B29" s="43">
        <v>1077780</v>
      </c>
      <c r="C29" s="43">
        <v>-173847</v>
      </c>
      <c r="D29" s="43">
        <v>522917</v>
      </c>
      <c r="E29" s="43">
        <v>-556954</v>
      </c>
      <c r="F29" s="43">
        <v>277055</v>
      </c>
      <c r="G29" s="43">
        <v>-14217</v>
      </c>
      <c r="H29" s="43">
        <v>404619</v>
      </c>
      <c r="I29" s="43">
        <v>118653</v>
      </c>
      <c r="J29" s="43">
        <v>-304036</v>
      </c>
      <c r="K29" s="43">
        <v>-97043</v>
      </c>
      <c r="L29" s="43">
        <v>194978</v>
      </c>
      <c r="M29" s="43">
        <v>484905</v>
      </c>
      <c r="N29" s="43">
        <f>SUM(B29:M29)</f>
        <v>1934810</v>
      </c>
      <c r="O29" s="44"/>
    </row>
    <row r="30" spans="1:15" x14ac:dyDescent="0.25">
      <c r="A30" s="10" t="s">
        <v>466</v>
      </c>
      <c r="B30" s="40">
        <v>0</v>
      </c>
      <c r="C30" s="40">
        <v>0</v>
      </c>
      <c r="D30" s="40">
        <v>0</v>
      </c>
      <c r="E30" s="40">
        <v>0</v>
      </c>
      <c r="F30" s="40">
        <v>0</v>
      </c>
      <c r="G30" s="30">
        <f>HYPERLINK("https://secure.freee.co.jp/reports/general_ledgers/show?name=%E5%8F%97%E5%8F%96%E5%88%A9%E6%81%AF&amp;start_date=2025-08-01&amp;end_date=2025-08-31&amp;fiscal_year_id=9736324",746)</f>
        <v>746</v>
      </c>
      <c r="H30" s="45">
        <v>0</v>
      </c>
      <c r="I30" s="40">
        <v>0</v>
      </c>
      <c r="J30" s="40">
        <v>0</v>
      </c>
      <c r="K30" s="40">
        <v>0</v>
      </c>
      <c r="L30" s="40">
        <v>0</v>
      </c>
      <c r="M30" s="37">
        <f>HYPERLINK("https://secure.freee.co.jp/reports/general_ledgers/show?name=%E5%8F%97%E5%8F%96%E5%88%A9%E6%81%AF&amp;start_date=2026-02-01&amp;end_date=2026-02-28&amp;fiscal_year_id=9736324",984)</f>
        <v>984</v>
      </c>
      <c r="N30" s="38">
        <f>SUM(B30:M30)</f>
        <v>1730</v>
      </c>
      <c r="O30" s="32" t="s">
        <v>378</v>
      </c>
    </row>
    <row r="31" spans="1:15" x14ac:dyDescent="0.25">
      <c r="A31" s="10" t="s">
        <v>467</v>
      </c>
      <c r="B31" s="40">
        <v>0</v>
      </c>
      <c r="C31" s="40">
        <v>0</v>
      </c>
      <c r="D31" s="40">
        <v>0</v>
      </c>
      <c r="E31" s="40">
        <v>0</v>
      </c>
      <c r="F31" s="40">
        <v>0</v>
      </c>
      <c r="G31" s="30">
        <f>HYPERLINK("https://secure.freee.co.jp/reports/general_ledgers/show?name=%E9%9B%91%E5%8F%8E%E5%85%A5&amp;start_date=2025-08-01&amp;end_date=2025-08-31&amp;fiscal_year_id=9736324",300000)</f>
        <v>300000</v>
      </c>
      <c r="H31" s="45">
        <v>0</v>
      </c>
      <c r="I31" s="40">
        <v>0</v>
      </c>
      <c r="J31" s="40">
        <v>0</v>
      </c>
      <c r="K31" s="40">
        <v>0</v>
      </c>
      <c r="L31" s="40">
        <v>0</v>
      </c>
      <c r="M31" s="37">
        <f>HYPERLINK("https://secure.freee.co.jp/reports/general_ledgers/show?name=%E9%9B%91%E5%8F%8E%E5%85%A5&amp;start_date=2026-02-01&amp;end_date=2026-02-28&amp;fiscal_year_id=9736324",86)</f>
        <v>86</v>
      </c>
      <c r="N31" s="38">
        <f>SUM(B31:M31)</f>
        <v>300086</v>
      </c>
      <c r="O31" s="32" t="s">
        <v>378</v>
      </c>
    </row>
    <row r="32" spans="1:15" x14ac:dyDescent="0.25">
      <c r="A32" s="10" t="s">
        <v>468</v>
      </c>
      <c r="B32" s="40">
        <v>0</v>
      </c>
      <c r="C32" s="40">
        <v>0</v>
      </c>
      <c r="D32" s="40">
        <v>0</v>
      </c>
      <c r="E32" s="40">
        <v>0</v>
      </c>
      <c r="F32" s="40">
        <v>0</v>
      </c>
      <c r="G32" s="30">
        <v>300746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37">
        <v>1070</v>
      </c>
      <c r="N32" s="38">
        <f>SUM(B32:M32)</f>
        <v>301816</v>
      </c>
      <c r="O32" s="39"/>
    </row>
    <row r="33" spans="1:15" x14ac:dyDescent="0.25">
      <c r="A33" s="10" t="s">
        <v>469</v>
      </c>
      <c r="B33" s="30">
        <f>HYPERLINK("https://secure.freee.co.jp/reports/general_ledgers/show?name=%E6%94%AF%E6%89%95%E5%88%A9%E6%81%AF&amp;start_date=2025-03-01&amp;end_date=2025-03-31&amp;fiscal_year_id=9736324",20378)</f>
        <v>20378</v>
      </c>
      <c r="C33" s="30">
        <f>HYPERLINK("https://secure.freee.co.jp/reports/general_ledgers/show?name=%E6%94%AF%E6%89%95%E5%88%A9%E6%81%AF&amp;start_date=2025-04-01&amp;end_date=2025-04-30&amp;fiscal_year_id=9736324",24516)</f>
        <v>24516</v>
      </c>
      <c r="D33" s="30">
        <f>HYPERLINK("https://secure.freee.co.jp/reports/general_ledgers/show?name=%E6%94%AF%E6%89%95%E5%88%A9%E6%81%AF&amp;start_date=2025-05-01&amp;end_date=2025-05-31&amp;fiscal_year_id=9736324",24121)</f>
        <v>24121</v>
      </c>
      <c r="E33" s="34">
        <f>HYPERLINK("https://secure.freee.co.jp/reports/general_ledgers/show?name=%E6%94%AF%E6%89%95%E5%88%A9%E6%81%AF&amp;start_date=2025-06-01&amp;end_date=2025-06-30&amp;fiscal_year_id=9736324",57351)</f>
        <v>57351</v>
      </c>
      <c r="F33" s="34">
        <f>HYPERLINK("https://secure.freee.co.jp/reports/general_ledgers/show?name=%E6%94%AF%E6%89%95%E5%88%A9%E6%81%AF&amp;start_date=2025-07-01&amp;end_date=2025-07-31&amp;fiscal_year_id=9736324",24285)</f>
        <v>24285</v>
      </c>
      <c r="G33" s="30">
        <f>HYPERLINK("https://secure.freee.co.jp/reports/general_ledgers/show?name=%E6%94%AF%E6%89%95%E5%88%A9%E6%81%AF&amp;start_date=2025-08-01&amp;end_date=2025-08-31&amp;fiscal_year_id=9736324",24516)</f>
        <v>24516</v>
      </c>
      <c r="H33" s="30">
        <f>HYPERLINK("https://secure.freee.co.jp/reports/general_ledgers/show?name=%E6%94%AF%E6%89%95%E5%88%A9%E6%81%AF&amp;start_date=2025-09-01&amp;end_date=2025-09-30&amp;fiscal_year_id=9736324",24682)</f>
        <v>24682</v>
      </c>
      <c r="I33" s="30">
        <f>HYPERLINK("https://secure.freee.co.jp/reports/general_ledgers/show?name=%E6%94%AF%E6%89%95%E5%88%A9%E6%81%AF&amp;start_date=2025-10-01&amp;end_date=2025-10-31&amp;fiscal_year_id=9736324",23956)</f>
        <v>23956</v>
      </c>
      <c r="J33" s="30">
        <f>HYPERLINK("https://secure.freee.co.jp/reports/general_ledgers/show?name=%E6%94%AF%E6%89%95%E5%88%A9%E6%81%AF&amp;start_date=2025-11-01&amp;end_date=2025-11-30&amp;fiscal_year_id=9736324",24351)</f>
        <v>24351</v>
      </c>
      <c r="K33" s="30">
        <f>HYPERLINK("https://secure.freee.co.jp/reports/general_ledgers/show?name=%E6%94%AF%E6%89%95%E5%88%A9%E6%81%AF&amp;start_date=2025-12-01&amp;end_date=2025-12-31&amp;fiscal_year_id=9736324",24452)</f>
        <v>24452</v>
      </c>
      <c r="L33" s="30">
        <f>HYPERLINK("https://secure.freee.co.jp/reports/general_ledgers/show?name=%E6%94%AF%E6%89%95%E5%88%A9%E6%81%AF&amp;start_date=2026-01-01&amp;end_date=2026-01-31&amp;fiscal_year_id=9736324",24351)</f>
        <v>24351</v>
      </c>
      <c r="M33" s="37">
        <f>HYPERLINK("https://secure.freee.co.jp/reports/general_ledgers/show?name=%E6%94%AF%E6%89%95%E5%88%A9%E6%81%AF&amp;start_date=2026-02-01&amp;end_date=2026-02-28&amp;fiscal_year_id=9736324",24032)</f>
        <v>24032</v>
      </c>
      <c r="N33" s="38">
        <f>SUM(B33:M33)</f>
        <v>320991</v>
      </c>
      <c r="O33" s="32" t="s">
        <v>378</v>
      </c>
    </row>
    <row r="34" spans="1:15" x14ac:dyDescent="0.25">
      <c r="A34" s="10" t="s">
        <v>470</v>
      </c>
      <c r="B34" s="30">
        <v>20378</v>
      </c>
      <c r="C34" s="30">
        <v>24516</v>
      </c>
      <c r="D34" s="30">
        <v>24121</v>
      </c>
      <c r="E34" s="30">
        <v>57351</v>
      </c>
      <c r="F34" s="30">
        <v>24285</v>
      </c>
      <c r="G34" s="30">
        <v>24516</v>
      </c>
      <c r="H34" s="30">
        <v>24682</v>
      </c>
      <c r="I34" s="30">
        <v>23956</v>
      </c>
      <c r="J34" s="30">
        <v>24351</v>
      </c>
      <c r="K34" s="30">
        <v>24452</v>
      </c>
      <c r="L34" s="30">
        <v>24351</v>
      </c>
      <c r="M34" s="37">
        <v>24032</v>
      </c>
      <c r="N34" s="38">
        <f>SUM(B34:M34)</f>
        <v>320991</v>
      </c>
      <c r="O34" s="39"/>
    </row>
    <row r="35" spans="1:15" x14ac:dyDescent="0.25">
      <c r="A35" s="42" t="s">
        <v>471</v>
      </c>
      <c r="B35" s="43">
        <v>1057402</v>
      </c>
      <c r="C35" s="43">
        <v>-198363</v>
      </c>
      <c r="D35" s="43">
        <v>498796</v>
      </c>
      <c r="E35" s="43">
        <v>-614305</v>
      </c>
      <c r="F35" s="43">
        <v>252770</v>
      </c>
      <c r="G35" s="43">
        <v>262013</v>
      </c>
      <c r="H35" s="43">
        <v>379937</v>
      </c>
      <c r="I35" s="43">
        <v>94697</v>
      </c>
      <c r="J35" s="43">
        <v>-328387</v>
      </c>
      <c r="K35" s="43">
        <v>-121495</v>
      </c>
      <c r="L35" s="43">
        <v>170627</v>
      </c>
      <c r="M35" s="43">
        <v>461943</v>
      </c>
      <c r="N35" s="43">
        <f>SUM(B35:M35)</f>
        <v>1915635</v>
      </c>
      <c r="O35" s="44"/>
    </row>
    <row r="36" spans="1:15" x14ac:dyDescent="0.25">
      <c r="A36" s="10" t="s">
        <v>472</v>
      </c>
      <c r="B36" s="40">
        <v>0</v>
      </c>
      <c r="C36" s="40">
        <v>0</v>
      </c>
      <c r="D36" s="40">
        <v>0</v>
      </c>
      <c r="E36" s="40">
        <v>0</v>
      </c>
      <c r="F36" s="40">
        <v>0</v>
      </c>
      <c r="G36" s="40">
        <v>0</v>
      </c>
      <c r="H36" s="40">
        <v>0</v>
      </c>
      <c r="I36" s="30">
        <f>HYPERLINK("https://secure.freee.co.jp/reports/general_ledgers/show?name=%E5%9B%BA%E5%AE%9A%E8%B3%87%E7%94%A3%E5%A3%B2%E5%8D%B4%E7%9B%8A&amp;start_date=2025-10-01&amp;end_date=2025-10-31&amp;fiscal_year_id=9736324",688990)</f>
        <v>688990</v>
      </c>
      <c r="J36" s="45">
        <v>0</v>
      </c>
      <c r="K36" s="40">
        <v>0</v>
      </c>
      <c r="L36" s="40">
        <v>0</v>
      </c>
      <c r="M36" s="41">
        <v>0</v>
      </c>
      <c r="N36" s="38">
        <f>SUM(B36:M36)</f>
        <v>688990</v>
      </c>
      <c r="O36" s="32" t="s">
        <v>378</v>
      </c>
    </row>
    <row r="37" spans="1:15" x14ac:dyDescent="0.25">
      <c r="A37" s="10" t="s">
        <v>473</v>
      </c>
      <c r="B37" s="40">
        <v>0</v>
      </c>
      <c r="C37" s="40">
        <v>0</v>
      </c>
      <c r="D37" s="40">
        <v>0</v>
      </c>
      <c r="E37" s="40">
        <v>0</v>
      </c>
      <c r="F37" s="40">
        <v>0</v>
      </c>
      <c r="G37" s="40">
        <v>0</v>
      </c>
      <c r="H37" s="40">
        <v>0</v>
      </c>
      <c r="I37" s="30">
        <v>688990</v>
      </c>
      <c r="J37" s="40">
        <v>0</v>
      </c>
      <c r="K37" s="40">
        <v>0</v>
      </c>
      <c r="L37" s="40">
        <v>0</v>
      </c>
      <c r="M37" s="41">
        <v>0</v>
      </c>
      <c r="N37" s="38">
        <f>SUM(B37:M37)</f>
        <v>688990</v>
      </c>
      <c r="O37" s="39"/>
    </row>
    <row r="38" spans="1:15" x14ac:dyDescent="0.25">
      <c r="A38" s="10" t="s">
        <v>474</v>
      </c>
      <c r="B38" s="40">
        <v>0</v>
      </c>
      <c r="C38" s="40">
        <v>0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30">
        <f>HYPERLINK("https://secure.freee.co.jp/reports/general_ledgers/show?name=%E5%9B%BA%E5%AE%9A%E8%B3%87%E7%94%A3%E5%A3%B2%E5%8D%B4%E6%90%8D&amp;start_date=2025-10-01&amp;end_date=2025-10-31&amp;fiscal_year_id=9736324",558327)</f>
        <v>558327</v>
      </c>
      <c r="J38" s="45">
        <v>0</v>
      </c>
      <c r="K38" s="40">
        <v>0</v>
      </c>
      <c r="L38" s="40">
        <v>0</v>
      </c>
      <c r="M38" s="41">
        <v>0</v>
      </c>
      <c r="N38" s="38">
        <f>SUM(B38:M38)</f>
        <v>558327</v>
      </c>
      <c r="O38" s="32" t="s">
        <v>378</v>
      </c>
    </row>
    <row r="39" spans="1:15" x14ac:dyDescent="0.25">
      <c r="A39" s="10" t="s">
        <v>475</v>
      </c>
      <c r="B39" s="40">
        <v>0</v>
      </c>
      <c r="C39" s="40">
        <v>0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30">
        <v>558327</v>
      </c>
      <c r="J39" s="40">
        <v>0</v>
      </c>
      <c r="K39" s="40">
        <v>0</v>
      </c>
      <c r="L39" s="40">
        <v>0</v>
      </c>
      <c r="M39" s="41">
        <v>0</v>
      </c>
      <c r="N39" s="38">
        <f>SUM(B39:M39)</f>
        <v>558327</v>
      </c>
      <c r="O39" s="39"/>
    </row>
    <row r="40" spans="1:15" x14ac:dyDescent="0.25">
      <c r="A40" s="42" t="s">
        <v>476</v>
      </c>
      <c r="B40" s="43">
        <v>1057402</v>
      </c>
      <c r="C40" s="43">
        <v>-198363</v>
      </c>
      <c r="D40" s="43">
        <v>498796</v>
      </c>
      <c r="E40" s="43">
        <v>-614305</v>
      </c>
      <c r="F40" s="43">
        <v>252770</v>
      </c>
      <c r="G40" s="43">
        <v>262013</v>
      </c>
      <c r="H40" s="43">
        <v>379937</v>
      </c>
      <c r="I40" s="43">
        <v>225360</v>
      </c>
      <c r="J40" s="43">
        <v>-328387</v>
      </c>
      <c r="K40" s="43">
        <v>-121495</v>
      </c>
      <c r="L40" s="43">
        <v>170627</v>
      </c>
      <c r="M40" s="43">
        <v>461943</v>
      </c>
      <c r="N40" s="43">
        <f>SUM(B40:M40)</f>
        <v>2046298</v>
      </c>
      <c r="O40" s="44"/>
    </row>
    <row r="41" spans="1:15" x14ac:dyDescent="0.25">
      <c r="A41" s="10" t="s">
        <v>477</v>
      </c>
      <c r="B41" s="40">
        <v>0</v>
      </c>
      <c r="C41" s="40">
        <v>0</v>
      </c>
      <c r="D41" s="40">
        <v>0</v>
      </c>
      <c r="E41" s="40">
        <v>0</v>
      </c>
      <c r="F41" s="40">
        <v>0</v>
      </c>
      <c r="G41" s="30">
        <f>HYPERLINK("https://secure.freee.co.jp/reports/general_ledgers/show?name=%E6%B3%95%E4%BA%BA%E7%A8%8E%E3%83%BB%E4%BD%8F%E6%B0%91%E7%A8%8E%E5%8F%8A%E3%81%B3%E4%BA%8B%E6%A5%AD%E7%A8%8E&amp;start_date=2025-08-01&amp;end_date=2025-08-31&amp;fiscal_year_id=9736324",113)</f>
        <v>113</v>
      </c>
      <c r="H41" s="45">
        <v>0</v>
      </c>
      <c r="I41" s="40">
        <v>0</v>
      </c>
      <c r="J41" s="40">
        <v>0</v>
      </c>
      <c r="K41" s="40">
        <v>0</v>
      </c>
      <c r="L41" s="40">
        <v>0</v>
      </c>
      <c r="M41" s="37">
        <f>HYPERLINK("https://secure.freee.co.jp/reports/general_ledgers/show?name=%E6%B3%95%E4%BA%BA%E7%A8%8E%E3%83%BB%E4%BD%8F%E6%B0%91%E7%A8%8E%E5%8F%8A%E3%81%B3%E4%BA%8B%E6%A5%AD%E7%A8%8E&amp;start_date=2026-02-01&amp;end_date=2026-02-28&amp;fiscal_year_id=9736324",150)</f>
        <v>150</v>
      </c>
      <c r="N41" s="38">
        <f>SUM(B41:M41)</f>
        <v>263</v>
      </c>
      <c r="O41" s="32" t="s">
        <v>378</v>
      </c>
    </row>
    <row r="42" spans="1:15" x14ac:dyDescent="0.25">
      <c r="A42" s="10" t="s">
        <v>478</v>
      </c>
      <c r="B42" s="40">
        <v>0</v>
      </c>
      <c r="C42" s="40">
        <v>0</v>
      </c>
      <c r="D42" s="40">
        <v>0</v>
      </c>
      <c r="E42" s="40">
        <v>0</v>
      </c>
      <c r="F42" s="40">
        <v>0</v>
      </c>
      <c r="G42" s="30">
        <v>113</v>
      </c>
      <c r="H42" s="40">
        <v>0</v>
      </c>
      <c r="I42" s="40">
        <v>0</v>
      </c>
      <c r="J42" s="40">
        <v>0</v>
      </c>
      <c r="K42" s="40">
        <v>0</v>
      </c>
      <c r="L42" s="40">
        <v>0</v>
      </c>
      <c r="M42" s="37">
        <v>150</v>
      </c>
      <c r="N42" s="38">
        <f>SUM(B42:M42)</f>
        <v>263</v>
      </c>
      <c r="O42" s="39"/>
    </row>
    <row r="43" spans="1:15" x14ac:dyDescent="0.25">
      <c r="A43" s="42" t="s">
        <v>479</v>
      </c>
      <c r="B43" s="43">
        <v>1057402</v>
      </c>
      <c r="C43" s="43">
        <v>-198363</v>
      </c>
      <c r="D43" s="43">
        <v>498796</v>
      </c>
      <c r="E43" s="43">
        <v>-614305</v>
      </c>
      <c r="F43" s="43">
        <v>252770</v>
      </c>
      <c r="G43" s="43">
        <v>261900</v>
      </c>
      <c r="H43" s="43">
        <v>379937</v>
      </c>
      <c r="I43" s="43">
        <v>225360</v>
      </c>
      <c r="J43" s="43">
        <v>-328387</v>
      </c>
      <c r="K43" s="43">
        <v>-121495</v>
      </c>
      <c r="L43" s="43">
        <v>170627</v>
      </c>
      <c r="M43" s="43">
        <v>461793</v>
      </c>
      <c r="N43" s="43">
        <f>SUM(B43:M43)</f>
        <v>2046035</v>
      </c>
      <c r="O43" s="44"/>
    </row>
    <row r="44" spans="1:15" x14ac:dyDescent="0.25">
      <c r="A44" s="10" t="s">
        <v>480</v>
      </c>
      <c r="B44" s="30">
        <f>HYPERLINK("https://secure.freee.co.jp/reports/general_ledgers/show?name=%E4%BB%95%E5%85%A5%E9%AB%98&amp;start_date=2025-03-01&amp;end_date=2025-03-31&amp;fiscal_year_id=9736324",82894)</f>
        <v>82894</v>
      </c>
      <c r="C44" s="45">
        <v>0</v>
      </c>
      <c r="D44" s="40">
        <v>0</v>
      </c>
      <c r="E44" s="30">
        <f>HYPERLINK("https://secure.freee.co.jp/reports/general_ledgers/show?name=%E4%BB%95%E5%85%A5%E9%AB%98&amp;start_date=2025-06-01&amp;end_date=2025-06-30&amp;fiscal_year_id=9736324",418)</f>
        <v>418</v>
      </c>
      <c r="F44" s="34">
        <f>HYPERLINK("https://secure.freee.co.jp/reports/general_ledgers/show?name=%E4%BB%95%E5%85%A5%E9%AB%98&amp;start_date=2025-07-01&amp;end_date=2025-07-31&amp;fiscal_year_id=9736324",32270)</f>
        <v>32270</v>
      </c>
      <c r="G44" s="45">
        <v>0</v>
      </c>
      <c r="H44" s="40">
        <v>0</v>
      </c>
      <c r="I44" s="40">
        <v>0</v>
      </c>
      <c r="J44" s="40">
        <v>0</v>
      </c>
      <c r="K44" s="40">
        <v>0</v>
      </c>
      <c r="L44" s="30">
        <f>HYPERLINK("https://secure.freee.co.jp/reports/general_ledgers/show?name=%E4%BB%95%E5%85%A5%E9%AB%98&amp;start_date=2026-01-01&amp;end_date=2026-01-31&amp;fiscal_year_id=9736324",155380)</f>
        <v>155380</v>
      </c>
      <c r="M44" s="45">
        <v>0</v>
      </c>
      <c r="N44" s="38">
        <f>SUM(B44:M44)</f>
        <v>270962</v>
      </c>
      <c r="O44" s="32" t="s">
        <v>378</v>
      </c>
    </row>
  </sheetData>
  <mergeCells count="1">
    <mergeCell ref="A1:O1"/>
  </mergeCells>
  <hyperlinks>
    <hyperlink ref="O7" r:id="rId1"/>
    <hyperlink ref="O8" r:id="rId2"/>
    <hyperlink ref="O9" r:id="rId3"/>
    <hyperlink ref="O10" r:id="rId4"/>
    <hyperlink ref="O11" r:id="rId5"/>
    <hyperlink ref="O12" r:id="rId6"/>
    <hyperlink ref="O13" r:id="rId7"/>
    <hyperlink ref="O14" r:id="rId8"/>
    <hyperlink ref="O15" r:id="rId9"/>
    <hyperlink ref="O16" r:id="rId10"/>
    <hyperlink ref="O17" r:id="rId11"/>
    <hyperlink ref="O18" r:id="rId12"/>
    <hyperlink ref="O19" r:id="rId13"/>
    <hyperlink ref="O20" r:id="rId14"/>
    <hyperlink ref="O21" r:id="rId15"/>
    <hyperlink ref="O22" r:id="rId16"/>
    <hyperlink ref="O23" r:id="rId17"/>
    <hyperlink ref="O24" r:id="rId18"/>
    <hyperlink ref="O25" r:id="rId19"/>
    <hyperlink ref="O26" r:id="rId20"/>
    <hyperlink ref="O27" r:id="rId21"/>
    <hyperlink ref="O30" r:id="rId22"/>
    <hyperlink ref="O31" r:id="rId23"/>
    <hyperlink ref="O33" r:id="rId24"/>
    <hyperlink ref="O36" r:id="rId25"/>
    <hyperlink ref="O38" r:id="rId26"/>
    <hyperlink ref="O41" r:id="rId27"/>
    <hyperlink ref="O44" r:id="rId2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372</v>
      </c>
      <c r="B1" s="5" t="s">
        <v>481</v>
      </c>
      <c r="C1" s="5" t="s">
        <v>482</v>
      </c>
      <c r="D1" s="5" t="s">
        <v>483</v>
      </c>
    </row>
    <row r="2" spans="1:4" x14ac:dyDescent="0.25">
      <c r="A2" s="10" t="s">
        <v>390</v>
      </c>
      <c r="B2" s="10" t="s">
        <v>484</v>
      </c>
      <c r="C2" s="30">
        <v>1323000</v>
      </c>
      <c r="D2" s="10" t="s">
        <v>6</v>
      </c>
    </row>
    <row r="3" spans="1:4" x14ac:dyDescent="0.25">
      <c r="A3" s="10" t="s">
        <v>409</v>
      </c>
      <c r="B3" s="10" t="s">
        <v>485</v>
      </c>
      <c r="C3" s="30">
        <v>832499</v>
      </c>
      <c r="D3" s="10" t="s">
        <v>6</v>
      </c>
    </row>
    <row r="4" spans="1:4" x14ac:dyDescent="0.25">
      <c r="A4" s="10" t="s">
        <v>390</v>
      </c>
      <c r="B4" s="10" t="s">
        <v>486</v>
      </c>
      <c r="C4" s="30">
        <v>640180</v>
      </c>
      <c r="D4" s="10" t="s">
        <v>6</v>
      </c>
    </row>
    <row r="5" spans="1:4" x14ac:dyDescent="0.25">
      <c r="A5" s="10" t="s">
        <v>409</v>
      </c>
      <c r="B5" s="10" t="s">
        <v>487</v>
      </c>
      <c r="C5" s="30">
        <v>526048</v>
      </c>
      <c r="D5" s="10" t="s">
        <v>6</v>
      </c>
    </row>
    <row r="6" spans="1:4" x14ac:dyDescent="0.25">
      <c r="A6" s="10" t="s">
        <v>390</v>
      </c>
      <c r="B6" s="10" t="s">
        <v>488</v>
      </c>
      <c r="C6" s="30">
        <v>373849</v>
      </c>
      <c r="D6" s="10" t="s">
        <v>6</v>
      </c>
    </row>
    <row r="7" spans="1:4" x14ac:dyDescent="0.25">
      <c r="A7" s="10" t="s">
        <v>390</v>
      </c>
      <c r="B7" s="10" t="s">
        <v>489</v>
      </c>
      <c r="C7" s="30">
        <v>227160</v>
      </c>
      <c r="D7" s="10" t="s">
        <v>6</v>
      </c>
    </row>
    <row r="8" spans="1:4" x14ac:dyDescent="0.25">
      <c r="A8" s="10" t="s">
        <v>390</v>
      </c>
      <c r="B8" s="10" t="s">
        <v>490</v>
      </c>
      <c r="C8" s="30">
        <v>99000</v>
      </c>
      <c r="D8" s="14" t="s">
        <v>491</v>
      </c>
    </row>
    <row r="9" spans="1:4" x14ac:dyDescent="0.25">
      <c r="A9" s="10" t="s">
        <v>390</v>
      </c>
      <c r="B9" s="10" t="s">
        <v>492</v>
      </c>
      <c r="C9" s="30">
        <v>88000</v>
      </c>
      <c r="D9" s="10" t="s">
        <v>6</v>
      </c>
    </row>
    <row r="10" spans="1:4" x14ac:dyDescent="0.25">
      <c r="A10" s="10" t="s">
        <v>409</v>
      </c>
      <c r="B10" s="10" t="s">
        <v>493</v>
      </c>
      <c r="C10" s="30">
        <v>79860</v>
      </c>
      <c r="D10" s="10" t="s">
        <v>6</v>
      </c>
    </row>
    <row r="11" spans="1:4" x14ac:dyDescent="0.25">
      <c r="A11" s="10" t="s">
        <v>390</v>
      </c>
      <c r="B11" s="10" t="s">
        <v>494</v>
      </c>
      <c r="C11" s="30">
        <v>55000</v>
      </c>
      <c r="D11" s="14" t="s">
        <v>491</v>
      </c>
    </row>
    <row r="12" spans="1:4" x14ac:dyDescent="0.25">
      <c r="A12" s="10" t="s">
        <v>390</v>
      </c>
      <c r="B12" s="10" t="s">
        <v>495</v>
      </c>
      <c r="C12" s="30">
        <v>38060</v>
      </c>
      <c r="D12" s="10" t="s">
        <v>6</v>
      </c>
    </row>
    <row r="13" spans="1:4" x14ac:dyDescent="0.25">
      <c r="A13" s="10" t="s">
        <v>409</v>
      </c>
      <c r="B13" s="10" t="s">
        <v>496</v>
      </c>
      <c r="C13" s="30">
        <v>31848</v>
      </c>
      <c r="D13" s="14" t="s">
        <v>491</v>
      </c>
    </row>
    <row r="14" spans="1:4" x14ac:dyDescent="0.25">
      <c r="A14" s="10" t="s">
        <v>409</v>
      </c>
      <c r="B14" s="10" t="s">
        <v>497</v>
      </c>
      <c r="C14" s="30">
        <v>18900</v>
      </c>
      <c r="D14" s="10" t="s">
        <v>6</v>
      </c>
    </row>
    <row r="15" spans="1:4" x14ac:dyDescent="0.25">
      <c r="A15" s="10" t="s">
        <v>390</v>
      </c>
      <c r="B15" s="10" t="s">
        <v>498</v>
      </c>
      <c r="C15" s="30">
        <v>18000</v>
      </c>
      <c r="D15" s="14" t="s">
        <v>491</v>
      </c>
    </row>
    <row r="16" spans="1:4" x14ac:dyDescent="0.25">
      <c r="A16" s="10" t="s">
        <v>390</v>
      </c>
      <c r="B16" s="10" t="s">
        <v>499</v>
      </c>
      <c r="C16" s="30">
        <v>15400</v>
      </c>
      <c r="D16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2026-04-07T12:32:37Z</dcterms:created>
  <dcterms:modified xsi:type="dcterms:W3CDTF">2026-04-07T12:32:37Z</dcterms:modified>
</cp:coreProperties>
</file>