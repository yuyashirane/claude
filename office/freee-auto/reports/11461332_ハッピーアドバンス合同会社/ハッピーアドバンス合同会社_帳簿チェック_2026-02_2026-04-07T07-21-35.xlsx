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<sst xmlns="http://schemas.openxmlformats.org/spreadsheetml/2006/main" count="816" uniqueCount="347">
  <si>
    <t>ハッピーアドバンス合同会社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</si>
  <si>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</si>
  <si>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</si>
  <si>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</si>
  <si>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</si>
  <si>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</si>
  <si>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</si>
  <si>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</si>
  <si>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</si>
  <si>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</si>
  <si>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</si>
  <si>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</si>
  <si>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</si>
  <si>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</si>
  <si>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</si>
  <si>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</si>
  <si>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</si>
  <si>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</si>
  <si>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-</t>
  </si>
  <si>
    <t>源泉所得税チェック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</si>
  <si>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</si>
  <si>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</si>
  <si>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</si>
  <si>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</si>
  <si>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</si>
  <si>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</si>
  <si>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</si>
  <si>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</si>
  <si>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</si>
  <si>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</si>
  <si>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⚠️</t>
  </si>
  <si>
    <t>DQ-02</t>
  </si>
  <si>
    <t>重複計上の疑い</t>
  </si>
  <si>
    <t>✅</t>
  </si>
  <si>
    <t>DQ-03</t>
  </si>
  <si>
    <t>PL全科目ゼロ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</si>
  <si>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</si>
  <si>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</si>
  <si>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</si>
  <si>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</si>
  <si>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</si>
  <si>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</si>
  <si>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</si>
  <si>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</si>
  <si>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</si>
  <si>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</si>
  <si>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</si>
  <si>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</si>
  <si>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</si>
  <si>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</si>
  <si>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</si>
  <si>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</si>
  <si>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</si>
  <si>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</si>
  <si>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</si>
  <si>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</si>
  <si>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</si>
  <si>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</si>
  <si>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</si>
  <si>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</si>
  <si>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</si>
  <si>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</si>
  <si>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</si>
  <si>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</si>
  <si>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</si>
  <si>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</si>
  <si>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</si>
  <si>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</si>
  <si>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</si>
  <si>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</si>
  <si>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</si>
  <si>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</si>
  <si>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</si>
  <si>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</si>
  <si>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</si>
  <si>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</si>
  <si>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</si>
  <si>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</si>
  <si>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</si>
  <si>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</si>
  <si>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</si>
  <si>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</si>
  <si>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</si>
  <si>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</si>
  <si>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</si>
  <si>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</si>
  <si>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</si>
  <si>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</si>
  <si>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</si>
  <si>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</si>
  <si>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</si>
  <si>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</si>
  <si>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</si>
  <si>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</si>
  <si>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</si>
  <si>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</si>
  <si>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</si>
  <si>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</si>
  <si>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</si>
  <si>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</si>
  <si>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</si>
  <si>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</si>
  <si>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</si>
  <si>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</si>
  <si>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</si>
  <si>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</si>
  <si>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</si>
  <si>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</si>
  <si>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</si>
  <si>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</si>
  <si>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</si>
  <si>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</si>
  <si>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</si>
  <si>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</si>
  <si>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</si>
  <si>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</si>
  <si>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</si>
  <si>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</si>
  <si>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</si>
  <si>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</si>
  <si>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</si>
  <si>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</si>
  <si>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</si>
  <si>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</si>
  <si>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</si>
  <si>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</si>
  <si>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</si>
  <si>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</si>
  <si>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</si>
  <si>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</si>
  <si>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</si>
  <si>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</si>
  <si>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</si>
  <si>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</si>
  <si>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</si>
  <si>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</si>
  <si>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</si>
  <si>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</si>
  <si>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</si>
  <si>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</si>
  <si>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</si>
  <si>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</si>
  <si>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</si>
  <si>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</si>
  <si>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</si>
  <si>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</si>
  <si>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</si>
  <si>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</si>
  <si>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</si>
  <si>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</si>
  <si>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</si>
  <si>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</si>
  <si>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</si>
  <si>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</si>
  <si>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</si>
  <si>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</si>
  <si>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</si>
  <si>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</si>
  <si>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</si>
  <si>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</si>
  <si>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</si>
  <si>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</si>
  <si>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</si>
  <si>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</si>
  <si>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</si>
  <si>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</si>
  <si>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</si>
  <si>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</si>
  <si>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</si>
  <si>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</si>
  <si>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</si>
  <si>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</si>
  <si>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</si>
  <si>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</si>
  <si>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</si>
  <si>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</si>
  <si>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データ品質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</si>
  <si>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</si>
  <si>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</si>
  <si>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</si>
  <si>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>freeeで確認</t>
  </si>
  <si>
    <t>地代家賃</t>
  </si>
  <si>
    <t>地代家賃が前月平均比 27%減少しています（当月: 162,178円、前月平均: 221,995円）。（変動あり取引先: 田中 一郎、藤波 章子（埼玉）、銀座セカンドライフ㈱）</t>
  </si>
  <si>
    <t>当月: 162,178円</t>
  </si>
  <si>
    <t>新規契約・解約・更新料等の理由がなければ、仕訳内容を確認してください</t>
  </si>
  <si>
    <t>外注費</t>
  </si>
  <si>
    <t>「支払手数料」で士業取引先「あしたの会計事務所」への支払 55,000円があります。「預り金（源泉所得税（士業））」に残高（0円）あり。源泉徴収（推定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</si>
  <si>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</si>
  <si>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</si>
  <si>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売上・売掛金</t>
  </si>
  <si>
    <t>売上高が前月平均比 87%減少しています（当月: 70,408円、前月平均: 533,469円）。</t>
  </si>
  <si>
    <t>当月: 70,408円</t>
  </si>
  <si>
    <t>季節要因・受注ピーク等の理由がなければ、売上の計上漏れや二重計上を確認してください</t>
  </si>
  <si>
    <t>売上高が前年同月比 97%減少しています（当月: 70,408円、前年同月推定: 2,625,876円）。</t>
  </si>
  <si>
    <t>顧客増減・単価変更・業務構成の変化等の背景を確認してください</t>
  </si>
  <si>
    <t>仕入・買掛金</t>
  </si>
  <si>
    <t>「売上原価」が前月平均比 100%減少しています（当月: 0円、前月平均: 206,139円）。</t>
  </si>
  <si>
    <t>当月: 0円</t>
  </si>
  <si>
    <t>季節変動・大口発注以外の原因がなければ、計上漏れや二重計上を確認してください</t>
  </si>
  <si>
    <t>「外注費」が前月平均比 100%減少しています（当月: 0円、前月平均: 16,336円）。</t>
  </si>
  <si>
    <t>残高異常</t>
  </si>
  <si>
    <t>「GMOあおぞらネット（法人）（API）」の残高 2,647,450円が前月から変動ありません（滞留の可能性）。</t>
  </si>
  <si>
    <t>2,647,450円（前月同額）</t>
  </si>
  <si>
    <t>回収・支払状況を確認し、必要に応じて貸倒処理や振替を検討してください</t>
  </si>
  <si>
    <t xml:space="preserve">　　取引先「Tradexfin Limited」で滞留</t>
  </si>
  <si>
    <t>30,593,008円</t>
  </si>
  <si>
    <t>明細を開く</t>
  </si>
  <si>
    <t xml:space="preserve">　　取引先「masato」で滞留</t>
  </si>
  <si>
    <t>-6,049,150円</t>
  </si>
  <si>
    <t xml:space="preserve">　　取引先「森山 勝也」で滞留</t>
  </si>
  <si>
    <t>-5,112,786円</t>
  </si>
  <si>
    <t xml:space="preserve">　　取引先「未選択」で滞留</t>
  </si>
  <si>
    <t>-3,420,927円</t>
  </si>
  <si>
    <t xml:space="preserve">　　取引先「中野 浩秀」で滞留</t>
  </si>
  <si>
    <t>-1,737,190円</t>
  </si>
  <si>
    <t>「売掛金」が前月比 52% 変動（145,488円 → 70,408円）。</t>
  </si>
  <si>
    <t>70,408円（前月: 145,488円、変動率: 52%）</t>
  </si>
  <si>
    <t>変動原因を確認してください</t>
  </si>
  <si>
    <t>期間配分</t>
  </si>
  <si>
    <t>「地代家賃」で以下の取引先への計上が当月ありません。計上漏れの可能性があります: 「田中 一郎」（前月平均: 171,495円/月）</t>
  </si>
  <si>
    <t>当月 計上なし</t>
  </si>
  <si>
    <t>田中 一郎: 約171,495円</t>
  </si>
  <si>
    <t>「支払手数料」で以下の取引先への計上が当月ありません。計上漏れの可能性があります: 「㈱アップル」（前月平均: 17,370円/月）</t>
  </si>
  <si>
    <t>㈱アップル: 約17,370円</t>
  </si>
  <si>
    <t>「通信費」で以下の取引先への計上が当月ありません。計上漏れの可能性があります: 「お名前.com」（前月平均: 11,812円/月）</t>
  </si>
  <si>
    <t>お名前.com: 約11,812円</t>
  </si>
  <si>
    <t>消費税区分</t>
  </si>
  <si>
    <t>「地代家賃」に2種類の税区分が混在しています（課対仕入10%: 4件、非課仕入: 1件）。</t>
  </si>
  <si>
    <t>2種類混在</t>
  </si>
  <si>
    <t>税区分ごとの内訳を確認してください</t>
  </si>
  <si>
    <t xml:space="preserve">　　課対仕入10%（4件・計112,020円）</t>
  </si>
  <si>
    <t>112,020円</t>
  </si>
  <si>
    <t xml:space="preserve">　　非課仕入（1件・計168,000円）</t>
  </si>
  <si>
    <t>168,000円</t>
  </si>
  <si>
    <t>営業外・税金</t>
  </si>
  <si>
    <t>「雑収入」に610,760円が計上されています。内容を確認し、適切な科目で記録されているか確認してください。</t>
  </si>
  <si>
    <t>610,760円</t>
  </si>
  <si>
    <t>受取手数料・受取保険金等、適切な科目への振替を検討してください</t>
  </si>
  <si>
    <t>受取利息4,496円に対する源泉所得税（15.315%）の計上を確認してください。</t>
  </si>
  <si>
    <t>受取利息: 4,496円</t>
  </si>
  <si>
    <t>源泉税 約688円を「法人税・住民税及び事業税」または「仮払法人税等」で処理してください</t>
  </si>
  <si>
    <t>「租税公課」が今月新たに計上されています（41,000円）。</t>
  </si>
  <si>
    <t>当月: 41,000円</t>
  </si>
  <si>
    <t>計上内容と金額の妥当性を確認してください</t>
  </si>
  <si>
    <t>「支払手数料」が前月平均比 195%変動しています（当月: 220,726円、前月平均: 74,802円）。</t>
  </si>
  <si>
    <t>当月: 220,726円</t>
  </si>
  <si>
    <t>「研修費」が前月平均比 95%変動しています（当月: 9,784円、前月平均: 193,676円）。</t>
  </si>
  <si>
    <t>当月: 9,784円</t>
  </si>
  <si>
    <t>「広告宣伝費」が前月平均比 87%変動しています（当月: 2,480円、前月平均: 19,571円）。</t>
  </si>
  <si>
    <t>当月: 2,480円</t>
  </si>
  <si>
    <t>「地代家賃」の取引先「藤波 章子（埼玉）」が前月平均比 609% 変動しています（前月平均: 18,218円 → 当月: 129,100円）。期間配分の観点から確認を推奨します。</t>
  </si>
  <si>
    <t>当月: 129,100円（前月平均: 18,218円）</t>
  </si>
  <si>
    <t>一時的な金額増減か、契約変更等によるものか確認してください</t>
  </si>
  <si>
    <t>「支払手数料」の取引先「あしたの会計事務所」が前月平均比 73% 変動しています（前月平均: 31,800円 → 当月: 55,000円）。期間配分の観点から確認を推奨します。</t>
  </si>
  <si>
    <t>当月: 55,000円（前月平均: 31,800円）</t>
  </si>
  <si>
    <t>勘定科目と消費税区分の組み合わせの妥当性を検証します。</t>
  </si>
  <si>
    <t>士業報酬・外注費等の源泉徴収の漏れ・計算誤りを検出します。</t>
  </si>
  <si>
    <t>✅ 指摘事項はありません</t>
  </si>
  <si>
    <t>法人税・消費税の中間納付の処理状況を確認します。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</si>
  <si>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</si>
  <si>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</si>
  <si>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</si>
  <si>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</si>
  <si>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</si>
  <si>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</si>
  <si>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</si>
  <si>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</si>
  <si>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</si>
  <si>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</si>
  <si>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GMOあおぞらネット（法人）（API）</t>
  </si>
  <si>
    <t>0.0%</t>
  </si>
  <si>
    <t>元帳を開く</t>
  </si>
  <si>
    <t>りそな（API）</t>
  </si>
  <si>
    <t>-11.0%</t>
  </si>
  <si>
    <t>売掛金</t>
  </si>
  <si>
    <t>-51.6%</t>
  </si>
  <si>
    <t>△</t>
  </si>
  <si>
    <t>前払費用</t>
  </si>
  <si>
    <t>21.7%</t>
  </si>
  <si>
    <t>役員貸付金</t>
  </si>
  <si>
    <t>未収入金</t>
  </si>
  <si>
    <t>仮払金</t>
  </si>
  <si>
    <t>工具器具備品</t>
  </si>
  <si>
    <t>-100.0%</t>
  </si>
  <si>
    <t>敷金</t>
  </si>
  <si>
    <t>長期前払費用</t>
  </si>
  <si>
    <t>-4.2%</t>
  </si>
  <si>
    <t>立替経費（廣田）</t>
  </si>
  <si>
    <t>0.2%</t>
  </si>
  <si>
    <t>未払金</t>
  </si>
  <si>
    <t>未払費用</t>
  </si>
  <si>
    <t>セゾンカード（個人）</t>
  </si>
  <si>
    <t>未払法人税等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</si>
  <si>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</si>
  <si>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</si>
  <si>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</si>
  <si>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</si>
  <si>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</si>
  <si>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</si>
  <si>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</si>
  <si>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</si>
  <si>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</si>
  <si>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</si>
  <si>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</si>
  <si>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</si>
  <si>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</si>
  <si>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</si>
  <si>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</si>
  <si>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</si>
  <si>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</si>
  <si>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</si>
  <si>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</si>
  <si>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福利厚生費</t>
  </si>
  <si>
    <t xml:space="preserve">  外注費</t>
  </si>
  <si>
    <t xml:space="preserve">  広告宣伝費</t>
  </si>
  <si>
    <t xml:space="preserve">  会議費</t>
  </si>
  <si>
    <t xml:space="preserve">  旅費交通費</t>
  </si>
  <si>
    <t xml:space="preserve">  通信費</t>
  </si>
  <si>
    <t xml:space="preserve">  消耗品費</t>
  </si>
  <si>
    <t xml:space="preserve">  修繕費</t>
  </si>
  <si>
    <t xml:space="preserve">  水道光熱費</t>
  </si>
  <si>
    <t xml:space="preserve">  諸会費</t>
  </si>
  <si>
    <t xml:space="preserve">  支払手数料</t>
  </si>
  <si>
    <t xml:space="preserve">  地代家賃</t>
  </si>
  <si>
    <t xml:space="preserve">  保険料</t>
  </si>
  <si>
    <t xml:space="preserve">  研修費</t>
  </si>
  <si>
    <t xml:space="preserve">  租税公課</t>
  </si>
  <si>
    <t xml:space="preserve">  減価償却費</t>
  </si>
  <si>
    <t>販売管理費 計</t>
  </si>
  <si>
    <t>営業利益</t>
  </si>
  <si>
    <t xml:space="preserve">  受取利息</t>
  </si>
  <si>
    <t xml:space="preserve">  雑収入</t>
  </si>
  <si>
    <t>営業外収益 計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</si>
  <si>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</si>
  <si>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</si>
  <si>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</si>
  <si>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</si>
  <si>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</si>
  <si>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</si>
  <si>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</si>
  <si>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</si>
  <si>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 xml:space="preserve">  外注費（アフィリエイト関係）</t>
  </si>
  <si>
    <t>取引先名</t>
  </si>
  <si>
    <t>残高</t>
  </si>
  <si>
    <t>滞留判定</t>
  </si>
  <si>
    <t>Tradexfin Limited</t>
  </si>
  <si>
    <t>あしたの会計事務所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</si>
</sst>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3" fontId="13" fillId="0" borderId="1" xfId="0" applyNumberFormat="1" applyFont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3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4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5" Type="http://schemas.openxmlformats.org/officeDocument/2006/relationships/hyperlink" Target="https://secure.freee.co.jp/reports/general_ledgers/show?name=%E5%A4%96%E6%B3%A8%E8%B2%BB&amp;start_date=2026-02-01&amp;end_date=2026-02-28" TargetMode="External"/><Relationship Id="rId6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" TargetMode="External"/><Relationship Id="rId7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&amp;partner_id=95679800" TargetMode="External"/><Relationship Id="rId8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&amp;partner_id=85590159" TargetMode="External"/><Relationship Id="rId9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&amp;partner_id=85590313" TargetMode="External"/><Relationship Id="rId10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" TargetMode="External"/><Relationship Id="rId11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&amp;partner_id=85590247" TargetMode="External"/><Relationship Id="rId12" Type="http://schemas.openxmlformats.org/officeDocument/2006/relationships/hyperlink" Target="https://secure.freee.co.jp/reports/general_ledgers/show?name=%E5%A3%B2%E6%8E%9B%E9%87%91&amp;start_date=2026-02-01&amp;end_date=2026-02-28&amp;fiscal_year_id=9837090" TargetMode="External"/><Relationship Id="rId13" Type="http://schemas.openxmlformats.org/officeDocument/2006/relationships/hyperlink" Target="https://secure.freee.co.jp/reports/journals?start_date=2025-03-01&amp;end_date=2026-02-28&amp;name=%E5%9C%B0%E4%BB%A3%E5%AE%B6%E8%B3%83" TargetMode="External"/><Relationship Id="rId14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15" Type="http://schemas.openxmlformats.org/officeDocument/2006/relationships/hyperlink" Target="https://secure.freee.co.jp/reports/journals?start_date=2025-03-01&amp;end_date=2026-02-28&amp;name=%E9%80%9A%E4%BF%A1%E8%B2%BB" TargetMode="External"/><Relationship Id="rId16" Type="http://schemas.openxmlformats.org/officeDocument/2006/relationships/hyperlink" Target="https://secure.freee.co.jp/reports/general_ledgers/show?name=%E5%9C%B0%E4%BB%A3%E5%AE%B6%E8%B3%83&amp;start_date=2026-02-01&amp;end_date=2026-02-28&amp;fiscal_year_id=9837090" TargetMode="External"/><Relationship Id="rId17" Type="http://schemas.openxmlformats.org/officeDocument/2006/relationships/hyperlink" Target="https://secure.freee.co.jp/reports/general_ledgers/show?name=%E5%9C%B0%E4%BB%A3%E5%AE%B6%E8%B3%83&amp;start_date=2026-02-01&amp;end_date=2026-02-28&amp;fiscal_year_id=9837090&amp;tax_group_codes=34&amp;tax_rate=10&amp;tax_reduced=false" TargetMode="External"/><Relationship Id="rId18" Type="http://schemas.openxmlformats.org/officeDocument/2006/relationships/hyperlink" Target="https://secure.freee.co.jp/reports/general_ledgers/show?name=%E5%9C%B0%E4%BB%A3%E5%AE%B6%E8%B3%83&amp;start_date=2026-02-01&amp;end_date=2026-02-28&amp;fiscal_year_id=9837090&amp;tax_group_codes=37" TargetMode="External"/><Relationship Id="rId19" Type="http://schemas.openxmlformats.org/officeDocument/2006/relationships/hyperlink" Target="https://secure.freee.co.jp/reports/general_ledgers/show?name=%E9%9B%91%E5%8F%8E%E5%85%A5&amp;start_date=2026-02-01&amp;end_date=2026-02-28" TargetMode="External"/><Relationship Id="rId20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21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22" Type="http://schemas.openxmlformats.org/officeDocument/2006/relationships/hyperlink" Target="https://secure.freee.co.jp/reports/general_ledgers/show?name=%E7%A0%94%E4%BF%AE%E8%B2%BB&amp;start_date=2026-02-01&amp;end_date=2026-02-28" TargetMode="External"/><Relationship Id="rId23" Type="http://schemas.openxmlformats.org/officeDocument/2006/relationships/hyperlink" Target="https://secure.freee.co.jp/reports/general_ledgers/show?name=%E5%BA%83%E5%91%8A%E5%AE%A3%E4%BC%9D%E8%B2%BB&amp;start_date=2026-02-01&amp;end_date=2026-02-28" TargetMode="External"/><Relationship Id="rId24" Type="http://schemas.openxmlformats.org/officeDocument/2006/relationships/hyperlink" Target="https://secure.freee.co.jp/reports/journals?start_date=2025-03-01&amp;end_date=2026-02-28&amp;name=%E5%9C%B0%E4%BB%A3%E5%AE%B6%E8%B3%83" TargetMode="External"/><Relationship Id="rId25" Type="http://schemas.openxmlformats.org/officeDocument/2006/relationships/hyperlink" Target="https://secure.freee.co.jp/reports/journals?start_date=2025-03-01&amp;end_date=2026-02-28&amp;name=%E6%94%AF%E6%89%95%E6%89%8B%E6%95%B0%E6%96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9C%B0%E4%BB%A3%E5%AE%B6%E8%B3%83&amp;start_date=2026-02-01&amp;end_date=2026-02-28&amp;fiscal_year_id=9837090" TargetMode="External"/><Relationship Id="rId2" Type="http://schemas.openxmlformats.org/officeDocument/2006/relationships/hyperlink" Target="https://secure.freee.co.jp/reports/general_ledgers/show?name=%E5%9C%B0%E4%BB%A3%E5%AE%B6%E8%B3%83&amp;start_date=2026-02-01&amp;end_date=2026-02-28&amp;fiscal_year_id=9837090&amp;tax_group_codes=34&amp;tax_rate=10&amp;tax_reduced=false" TargetMode="External"/><Relationship Id="rId3" Type="http://schemas.openxmlformats.org/officeDocument/2006/relationships/hyperlink" Target="https://secure.freee.co.jp/reports/general_ledgers/show?name=%E5%9C%B0%E4%BB%A3%E5%AE%B6%E8%B3%83&amp;start_date=2026-02-01&amp;end_date=2026-02-28&amp;fiscal_year_id=9837090&amp;tax_group_codes=37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" TargetMode="External"/><Relationship Id="rId2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&amp;partner_id=95679800" TargetMode="External"/><Relationship Id="rId3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&amp;partner_id=85590159" TargetMode="External"/><Relationship Id="rId4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&amp;partner_id=85590313" TargetMode="External"/><Relationship Id="rId5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" TargetMode="External"/><Relationship Id="rId6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&amp;partner_id=85590247" TargetMode="External"/><Relationship Id="rId7" Type="http://schemas.openxmlformats.org/officeDocument/2006/relationships/hyperlink" Target="https://secure.freee.co.jp/reports/general_ledgers/show?name=%E5%A3%B2%E6%8E%9B%E9%87%91&amp;start_date=2026-02-01&amp;end_date=2026-02-28&amp;fiscal_year_id=98370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9C%B0%E4%BB%A3%E5%AE%B6%E8%B3%83&amp;start_date=2026-02-01&amp;end_date=2026-02-28" TargetMode="External"/><Relationship Id="rId2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3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4" Type="http://schemas.openxmlformats.org/officeDocument/2006/relationships/hyperlink" Target="https://secure.freee.co.jp/reports/general_ledgers/show?name=%E5%A4%96%E6%B3%A8%E8%B2%BB&amp;start_date=2026-02-01&amp;end_date=2026-02-28" TargetMode="External"/><Relationship Id="rId5" Type="http://schemas.openxmlformats.org/officeDocument/2006/relationships/hyperlink" Target="https://secure.freee.co.jp/reports/journals?start_date=2025-03-01&amp;end_date=2026-02-28&amp;name=%E5%9C%B0%E4%BB%A3%E5%AE%B6%E8%B3%83" TargetMode="External"/><Relationship Id="rId6" Type="http://schemas.openxmlformats.org/officeDocument/2006/relationships/hyperlink" Target="https://secure.freee.co.jp/reports/journals?start_date=2025-03-01&amp;end_date=2026-02-28&amp;name=%E6%94%AF%E6%89%95%E6%89%8B%E6%95%B0%E6%96%99" TargetMode="External"/><Relationship Id="rId7" Type="http://schemas.openxmlformats.org/officeDocument/2006/relationships/hyperlink" Target="https://secure.freee.co.jp/reports/journals?start_date=2025-03-01&amp;end_date=2026-02-28&amp;name=%E9%80%9A%E4%BF%A1%E8%B2%BB" TargetMode="External"/><Relationship Id="rId8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9" Type="http://schemas.openxmlformats.org/officeDocument/2006/relationships/hyperlink" Target="https://secure.freee.co.jp/reports/general_ledgers/show?name=%E6%94%AF%E6%89%95%E6%89%8B%E6%95%B0%E6%96%99&amp;start_date=2026-02-01&amp;end_date=2026-02-28" TargetMode="External"/><Relationship Id="rId10" Type="http://schemas.openxmlformats.org/officeDocument/2006/relationships/hyperlink" Target="https://secure.freee.co.jp/reports/general_ledgers/show?name=%E7%A0%94%E4%BF%AE%E8%B2%BB&amp;start_date=2026-02-01&amp;end_date=2026-02-28" TargetMode="External"/><Relationship Id="rId11" Type="http://schemas.openxmlformats.org/officeDocument/2006/relationships/hyperlink" Target="https://secure.freee.co.jp/reports/general_ledgers/show?name=%E5%BA%83%E5%91%8A%E5%AE%A3%E4%BC%9D%E8%B2%BB&amp;start_date=2026-02-01&amp;end_date=2026-02-28" TargetMode="External"/><Relationship Id="rId12" Type="http://schemas.openxmlformats.org/officeDocument/2006/relationships/hyperlink" Target="https://secure.freee.co.jp/reports/journals?start_date=2025-03-01&amp;end_date=2026-02-28&amp;name=%E5%9C%B0%E4%BB%A3%E5%AE%B6%E8%B3%83" TargetMode="External"/><Relationship Id="rId13" Type="http://schemas.openxmlformats.org/officeDocument/2006/relationships/hyperlink" Target="https://secure.freee.co.jp/reports/journals?start_date=2025-03-01&amp;end_date=2026-02-28&amp;name=%E6%94%AF%E6%89%95%E6%89%8B%E6%95%B0%E6%96%99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8%87%AA%E5%8B%95%E3%81%A7%E7%B5%8C%E7%90%86&amp;start_date=2026-02-01&amp;end_date=2026-02-28" TargetMode="External"/><Relationship Id="rId2" Type="http://schemas.openxmlformats.org/officeDocument/2006/relationships/hyperlink" Target="https://secure.freee.co.jp/reports/general_ledgers/show?name=%E9%9B%91%E5%8F%8E%E5%85%A5&amp;start_date=2026-02-01&amp;end_date=2026-02-28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journals?start_date=2024-03-01&amp;end_date=2026-02-28&amp;name=GMO%E3%81%82%E3%81%8A%E3%81%9E%E3%82%89%E3%83%8D%E3%83%83%E3%83%88%EF%BC%88%E6%B3%95%E4%BA%BA%EF%BC%89%EF%BC%88API%EF%BC%89" TargetMode="External"/><Relationship Id="rId2" Type="http://schemas.openxmlformats.org/officeDocument/2006/relationships/hyperlink" Target="https://secure.freee.co.jp/reports/general_ledgers/show?name=%E3%82%8A%E3%81%9D%E3%81%AA%EF%BC%88API%EF%BC%89&amp;start_date=2025-03-01&amp;end_date=2026-02-28&amp;fiscal_year_id=9837090" TargetMode="External"/><Relationship Id="rId3" Type="http://schemas.openxmlformats.org/officeDocument/2006/relationships/hyperlink" Target="https://secure.freee.co.jp/reports/general_ledgers/show?name=%E5%A3%B2%E6%8E%9B%E9%87%91&amp;start_date=2025-03-01&amp;end_date=2026-02-28&amp;fiscal_year_id=9837090" TargetMode="External"/><Relationship Id="rId4" Type="http://schemas.openxmlformats.org/officeDocument/2006/relationships/hyperlink" Target="https://secure.freee.co.jp/reports/general_ledgers/show?name=%E5%89%8D%E6%89%95%E8%B2%BB%E7%94%A8&amp;start_date=2025-03-01&amp;end_date=2026-02-28&amp;fiscal_year_id=9837090" TargetMode="External"/><Relationship Id="rId5" Type="http://schemas.openxmlformats.org/officeDocument/2006/relationships/hyperlink" Target="https://secure.freee.co.jp/reports/journals?start_date=2023-03-01&amp;end_date=2026-02-28&amp;name=%E5%BD%B9%E5%93%A1%E8%B2%B8%E4%BB%98%E9%87%91" TargetMode="External"/><Relationship Id="rId6" Type="http://schemas.openxmlformats.org/officeDocument/2006/relationships/hyperlink" Target="https://secure.freee.co.jp/reports/journals?start_date=2023-03-01&amp;end_date=2026-02-28&amp;name=%E6%9C%AA%E5%8F%8E%E5%85%A5%E9%87%91" TargetMode="External"/><Relationship Id="rId7" Type="http://schemas.openxmlformats.org/officeDocument/2006/relationships/hyperlink" Target="https://secure.freee.co.jp/reports/journals?start_date=2024-03-01&amp;end_date=2026-02-28&amp;name=%E4%BB%AE%E6%89%95%E9%87%91" TargetMode="External"/><Relationship Id="rId8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837090" TargetMode="External"/><Relationship Id="rId9" Type="http://schemas.openxmlformats.org/officeDocument/2006/relationships/hyperlink" Target="https://secure.freee.co.jp/reports/journals?start_date=2023-03-01&amp;end_date=2026-02-28&amp;name=%E6%95%B7%E9%87%91" TargetMode="External"/><Relationship Id="rId10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837090" TargetMode="External"/><Relationship Id="rId11" Type="http://schemas.openxmlformats.org/officeDocument/2006/relationships/hyperlink" Target="https://secure.freee.co.jp/reports/general_ledgers/show?name=%E7%AB%8B%E6%9B%BF%E7%B5%8C%E8%B2%BB%EF%BC%88%E5%BB%A3%E7%94%B0%EF%BC%89&amp;start_date=2025-03-01&amp;end_date=2026-02-28&amp;fiscal_year_id=9837090" TargetMode="External"/><Relationship Id="rId12" Type="http://schemas.openxmlformats.org/officeDocument/2006/relationships/hyperlink" Target="https://secure.freee.co.jp/reports/general_ledgers/show?name=%E6%9C%AA%E6%89%95%E9%87%91&amp;start_date=2025-03-01&amp;end_date=2026-02-28&amp;fiscal_year_id=9837090" TargetMode="External"/><Relationship Id="rId13" Type="http://schemas.openxmlformats.org/officeDocument/2006/relationships/hyperlink" Target="https://secure.freee.co.jp/reports/general_ledgers/show?name=%E6%9C%AA%E6%89%95%E8%B2%BB%E7%94%A8&amp;start_date=2025-03-01&amp;end_date=2026-02-28&amp;fiscal_year_id=9837090" TargetMode="External"/><Relationship Id="rId14" Type="http://schemas.openxmlformats.org/officeDocument/2006/relationships/hyperlink" Target="https://secure.freee.co.jp/reports/journals?start_date=2023-03-01&amp;end_date=2026-02-28&amp;name=%E3%82%BB%E3%82%BE%E3%83%B3%E3%82%AB%E3%83%BC%E3%83%89%EF%BC%88%E5%80%8B%E4%BA%BA%EF%BC%89" TargetMode="External"/><Relationship Id="rId15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16" Type="http://schemas.openxmlformats.org/officeDocument/2006/relationships/hyperlink" Target="https://secure.freee.co.jp/reports/journals?start_date=2023-03-01&amp;end_date=2026-02-28&amp;name=%E8%B3%87%E6%9C%AC%E9%87%91" TargetMode="External"/><Relationship Id="rId17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7%A6%8F%E5%88%A9%E5%8E%9A%E7%94%9F%E8%B2%BB&amp;start_date=2025-03-01&amp;end_date=2026-02-28&amp;fiscal_year_id=9837090" TargetMode="External"/><Relationship Id="rId2" Type="http://schemas.openxmlformats.org/officeDocument/2006/relationships/hyperlink" Target="https://secure.freee.co.jp/reports/general_ledgers/show?name=%E5%A4%96%E6%B3%A8%E8%B2%BB&amp;start_date=2025-03-01&amp;end_date=2026-02-28&amp;fiscal_year_id=9837090" TargetMode="External"/><Relationship Id="rId3" Type="http://schemas.openxmlformats.org/officeDocument/2006/relationships/hyperlink" Target="https://secure.freee.co.jp/reports/general_ledgers/show?name=%E5%BA%83%E5%91%8A%E5%AE%A3%E4%BC%9D%E8%B2%BB&amp;start_date=2025-03-01&amp;end_date=2026-02-28&amp;fiscal_year_id=9837090" TargetMode="External"/><Relationship Id="rId4" Type="http://schemas.openxmlformats.org/officeDocument/2006/relationships/hyperlink" Target="https://secure.freee.co.jp/reports/general_ledgers/show?name=%E4%BC%9A%E8%AD%B0%E8%B2%BB&amp;start_date=2025-03-01&amp;end_date=2026-02-28&amp;fiscal_year_id=9837090" TargetMode="External"/><Relationship Id="rId5" Type="http://schemas.openxmlformats.org/officeDocument/2006/relationships/hyperlink" Target="https://secure.freee.co.jp/reports/general_ledgers/show?name=%E6%97%85%E8%B2%BB%E4%BA%A4%E9%80%9A%E8%B2%BB&amp;start_date=2025-03-01&amp;end_date=2026-02-28&amp;fiscal_year_id=9837090" TargetMode="External"/><Relationship Id="rId6" Type="http://schemas.openxmlformats.org/officeDocument/2006/relationships/hyperlink" Target="https://secure.freee.co.jp/reports/general_ledgers/show?name=%E9%80%9A%E4%BF%A1%E8%B2%BB&amp;start_date=2025-03-01&amp;end_date=2026-02-28&amp;fiscal_year_id=9837090" TargetMode="External"/><Relationship Id="rId7" Type="http://schemas.openxmlformats.org/officeDocument/2006/relationships/hyperlink" Target="https://secure.freee.co.jp/reports/general_ledgers/show?name=%E6%B6%88%E8%80%97%E5%93%81%E8%B2%BB&amp;start_date=2025-03-01&amp;end_date=2026-02-28&amp;fiscal_year_id=9837090" TargetMode="External"/><Relationship Id="rId8" Type="http://schemas.openxmlformats.org/officeDocument/2006/relationships/hyperlink" Target="https://secure.freee.co.jp/reports/general_ledgers/show?name=%E4%BF%AE%E7%B9%95%E8%B2%BB&amp;start_date=2025-03-01&amp;end_date=2026-02-28&amp;fiscal_year_id=9837090" TargetMode="External"/><Relationship Id="rId9" Type="http://schemas.openxmlformats.org/officeDocument/2006/relationships/hyperlink" Target="https://secure.freee.co.jp/reports/general_ledgers/show?name=%E6%B0%B4%E9%81%93%E5%85%89%E7%86%B1%E8%B2%BB&amp;start_date=2025-03-01&amp;end_date=2026-02-28&amp;fiscal_year_id=9837090" TargetMode="External"/><Relationship Id="rId10" Type="http://schemas.openxmlformats.org/officeDocument/2006/relationships/hyperlink" Target="https://secure.freee.co.jp/reports/general_ledgers/show?name=%E8%AB%B8%E4%BC%9A%E8%B2%BB&amp;start_date=2025-03-01&amp;end_date=2026-02-28&amp;fiscal_year_id=9837090" TargetMode="External"/><Relationship Id="rId11" Type="http://schemas.openxmlformats.org/officeDocument/2006/relationships/hyperlink" Target="https://secure.freee.co.jp/reports/general_ledgers/show?name=%E6%94%AF%E6%89%95%E6%89%8B%E6%95%B0%E6%96%99&amp;start_date=2025-03-01&amp;end_date=2026-02-28&amp;fiscal_year_id=9837090" TargetMode="External"/><Relationship Id="rId12" Type="http://schemas.openxmlformats.org/officeDocument/2006/relationships/hyperlink" Target="https://secure.freee.co.jp/reports/general_ledgers/show?name=%E5%9C%B0%E4%BB%A3%E5%AE%B6%E8%B3%83&amp;start_date=2025-03-01&amp;end_date=2026-02-28&amp;fiscal_year_id=9837090" TargetMode="External"/><Relationship Id="rId13" Type="http://schemas.openxmlformats.org/officeDocument/2006/relationships/hyperlink" Target="https://secure.freee.co.jp/reports/general_ledgers/show?name=%E4%BF%9D%E9%99%BA%E6%96%99&amp;start_date=2025-03-01&amp;end_date=2026-02-28&amp;fiscal_year_id=9837090" TargetMode="External"/><Relationship Id="rId14" Type="http://schemas.openxmlformats.org/officeDocument/2006/relationships/hyperlink" Target="https://secure.freee.co.jp/reports/general_ledgers/show?name=%E7%A0%94%E4%BF%AE%E8%B2%BB&amp;start_date=2025-03-01&amp;end_date=2026-02-28&amp;fiscal_year_id=9837090" TargetMode="External"/><Relationship Id="rId15" Type="http://schemas.openxmlformats.org/officeDocument/2006/relationships/hyperlink" Target="https://secure.freee.co.jp/reports/general_ledgers/show?name=%E7%A7%9F%E7%A8%8E%E5%85%AC%E8%AA%B2&amp;start_date=2025-03-01&amp;end_date=2026-02-28&amp;fiscal_year_id=9837090" TargetMode="External"/><Relationship Id="rId16" Type="http://schemas.openxmlformats.org/officeDocument/2006/relationships/hyperlink" Target="https://secure.freee.co.jp/reports/general_ledgers/show?name=%E6%B8%9B%E4%BE%A1%E5%84%9F%E5%8D%B4%E8%B2%BB&amp;start_date=2025-03-01&amp;end_date=2026-02-28&amp;fiscal_year_id=9837090" TargetMode="External"/><Relationship Id="rId17" Type="http://schemas.openxmlformats.org/officeDocument/2006/relationships/hyperlink" Target="https://secure.freee.co.jp/reports/general_ledgers/show?name=%E5%8F%97%E5%8F%96%E5%88%A9%E6%81%AF&amp;start_date=2025-03-01&amp;end_date=2026-02-28&amp;fiscal_year_id=9837090" TargetMode="External"/><Relationship Id="rId18" Type="http://schemas.openxmlformats.org/officeDocument/2006/relationships/hyperlink" Target="https://secure.freee.co.jp/reports/general_ledgers/show?name=%E9%9B%91%E5%8F%8E%E5%85%A5&amp;start_date=2025-03-01&amp;end_date=2026-02-28&amp;fiscal_year_id=9837090" TargetMode="External"/><Relationship Id="rId19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837090" TargetMode="External"/><Relationship Id="rId20" Type="http://schemas.openxmlformats.org/officeDocument/2006/relationships/hyperlink" Target="https://secure.freee.co.jp/reports/general_ledgers/show?name=%E5%A4%96%E6%B3%A8%E8%B2%BB%EF%BC%88%E3%82%A2%E3%83%95%E3%82%A3%E3%83%AA%E3%82%A8%E3%82%A4%E3%83%88%E9%96%A2%E4%BF%82%EF%BC%89&amp;start_date=2025-03-01&amp;end_date=2026-02-28&amp;fiscal_year_id=9837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</v>
      </c>
      <c r="C9" s="8">
        <v>12</v>
      </c>
      <c r="D9" s="9">
        <v>8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 t="s">
        <v>18</v>
      </c>
      <c r="C14" s="11">
        <v>1</v>
      </c>
      <c r="D14" s="11" t="s">
        <v>18</v>
      </c>
      <c r="E14" s="11">
        <v>1</v>
      </c>
    </row>
    <row r="15" spans="1:5" x14ac:dyDescent="0.25">
      <c r="A15" s="10" t="s">
        <v>19</v>
      </c>
      <c r="B15" s="11" t="s">
        <v>18</v>
      </c>
      <c r="C15" s="11" t="s">
        <v>18</v>
      </c>
      <c r="D15" s="11" t="s">
        <v>18</v>
      </c>
      <c r="E15" s="11" t="s">
        <v>18</v>
      </c>
    </row>
    <row r="16" spans="1:5" x14ac:dyDescent="0.25">
      <c r="A16" s="10" t="s">
        <v>20</v>
      </c>
      <c r="B16" s="11" t="s">
        <v>18</v>
      </c>
      <c r="C16" s="11" t="s">
        <v>18</v>
      </c>
      <c r="D16" s="11" t="s">
        <v>18</v>
      </c>
      <c r="E16" s="11" t="s">
        <v>18</v>
      </c>
    </row>
    <row r="17" spans="1:5" x14ac:dyDescent="0.25">
      <c r="A17" s="10" t="s">
        <v>21</v>
      </c>
      <c r="B17" s="11" t="s">
        <v>18</v>
      </c>
      <c r="C17" s="11">
        <v>2</v>
      </c>
      <c r="D17" s="11" t="s">
        <v>18</v>
      </c>
      <c r="E17" s="11">
        <v>2</v>
      </c>
    </row>
    <row r="18" spans="1:5" x14ac:dyDescent="0.25">
      <c r="A18" s="10" t="s">
        <v>22</v>
      </c>
      <c r="B18" s="11" t="s">
        <v>18</v>
      </c>
      <c r="C18" s="11">
        <v>9</v>
      </c>
      <c r="D18" s="11">
        <v>6</v>
      </c>
      <c r="E18" s="11">
        <v>15</v>
      </c>
    </row>
    <row r="19" spans="1:5" x14ac:dyDescent="0.25">
      <c r="A19" s="10" t="s">
        <v>23</v>
      </c>
      <c r="B19" s="11">
        <v>1</v>
      </c>
      <c r="C19" s="11" t="s">
        <v>18</v>
      </c>
      <c r="D19" s="11">
        <v>2</v>
      </c>
      <c r="E19" s="11">
        <v>3</v>
      </c>
    </row>
    <row r="20" spans="1:5" x14ac:dyDescent="0.25">
      <c r="A20" s="12" t="s">
        <v>16</v>
      </c>
      <c r="B20" s="13">
        <v>1</v>
      </c>
      <c r="C20" s="13">
        <v>12</v>
      </c>
      <c r="D20" s="13">
        <v>8</v>
      </c>
      <c r="E20" s="13">
        <v>21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4" t="s">
        <v>28</v>
      </c>
      <c r="B25" s="14" t="s">
        <v>29</v>
      </c>
      <c r="C25" s="15" t="s">
        <v>30</v>
      </c>
      <c r="D25" s="15">
        <v>1</v>
      </c>
    </row>
    <row r="26" spans="1:4" x14ac:dyDescent="0.25">
      <c r="A26" s="10" t="s">
        <v>31</v>
      </c>
      <c r="B26" s="10" t="s">
        <v>32</v>
      </c>
      <c r="C26" s="11" t="s">
        <v>33</v>
      </c>
      <c r="D26" s="11">
        <v>0</v>
      </c>
    </row>
    <row r="27" spans="1:4" x14ac:dyDescent="0.25">
      <c r="A27" s="10" t="s">
        <v>34</v>
      </c>
      <c r="B27" s="10" t="s">
        <v>35</v>
      </c>
      <c r="C27" s="11" t="s">
        <v>33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33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33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33</v>
      </c>
      <c r="D30" s="11">
        <v>0</v>
      </c>
    </row>
    <row r="31" spans="1:4" x14ac:dyDescent="0.25">
      <c r="A31" s="10" t="s">
        <v>42</v>
      </c>
      <c r="B31" s="10" t="s">
        <v>43</v>
      </c>
      <c r="C31" s="11" t="s">
        <v>33</v>
      </c>
      <c r="D31" s="11">
        <v>0</v>
      </c>
    </row>
    <row r="32" spans="1:4" x14ac:dyDescent="0.25">
      <c r="A32" s="10" t="s">
        <v>44</v>
      </c>
      <c r="B32" s="10" t="s">
        <v>45</v>
      </c>
      <c r="C32" s="11" t="s">
        <v>33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33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33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33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33</v>
      </c>
      <c r="D36" s="11">
        <v>0</v>
      </c>
    </row>
    <row r="37" spans="1:4" x14ac:dyDescent="0.25">
      <c r="A37" s="14" t="s">
        <v>54</v>
      </c>
      <c r="B37" s="14" t="s">
        <v>55</v>
      </c>
      <c r="C37" s="15" t="s">
        <v>30</v>
      </c>
      <c r="D37" s="15">
        <v>1</v>
      </c>
    </row>
    <row r="38" spans="1:4" x14ac:dyDescent="0.25">
      <c r="A38" s="14" t="s">
        <v>56</v>
      </c>
      <c r="B38" s="14" t="s">
        <v>57</v>
      </c>
      <c r="C38" s="15" t="s">
        <v>30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33</v>
      </c>
      <c r="D39" s="11">
        <v>0</v>
      </c>
    </row>
    <row r="40" spans="1:4" x14ac:dyDescent="0.25">
      <c r="A40" s="10" t="s">
        <v>60</v>
      </c>
      <c r="B40" s="10" t="s">
        <v>61</v>
      </c>
      <c r="C40" s="11" t="s">
        <v>33</v>
      </c>
      <c r="D40" s="11">
        <v>0</v>
      </c>
    </row>
    <row r="41" spans="1:4" x14ac:dyDescent="0.25">
      <c r="A41" s="10" t="s">
        <v>62</v>
      </c>
      <c r="B41" s="10" t="s">
        <v>63</v>
      </c>
      <c r="C41" s="11" t="s">
        <v>33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33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33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33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33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33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33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33</v>
      </c>
      <c r="D48" s="11">
        <v>0</v>
      </c>
    </row>
    <row r="49" spans="1:4" x14ac:dyDescent="0.25">
      <c r="A49" s="14" t="s">
        <v>78</v>
      </c>
      <c r="B49" s="14" t="s">
        <v>79</v>
      </c>
      <c r="C49" s="15" t="s">
        <v>30</v>
      </c>
      <c r="D49" s="15">
        <v>1</v>
      </c>
    </row>
    <row r="50" spans="1:4" x14ac:dyDescent="0.25">
      <c r="A50" s="10" t="s">
        <v>80</v>
      </c>
      <c r="B50" s="10" t="s">
        <v>81</v>
      </c>
      <c r="C50" s="11" t="s">
        <v>33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33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33</v>
      </c>
      <c r="D52" s="11">
        <v>0</v>
      </c>
    </row>
    <row r="53" spans="1:4" x14ac:dyDescent="0.25">
      <c r="A53" s="10" t="s">
        <v>86</v>
      </c>
      <c r="B53" s="10" t="s">
        <v>87</v>
      </c>
      <c r="C53" s="11" t="s">
        <v>33</v>
      </c>
      <c r="D53" s="11">
        <v>0</v>
      </c>
    </row>
    <row r="54" spans="1:4" x14ac:dyDescent="0.25">
      <c r="A54" s="10" t="s">
        <v>88</v>
      </c>
      <c r="B54" s="10" t="s">
        <v>89</v>
      </c>
      <c r="C54" s="11" t="s">
        <v>33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33</v>
      </c>
      <c r="D55" s="11">
        <v>0</v>
      </c>
    </row>
    <row r="56" spans="1:4" x14ac:dyDescent="0.25">
      <c r="A56" s="14" t="s">
        <v>92</v>
      </c>
      <c r="B56" s="14" t="s">
        <v>93</v>
      </c>
      <c r="C56" s="15" t="s">
        <v>30</v>
      </c>
      <c r="D56" s="15">
        <v>1</v>
      </c>
    </row>
    <row r="57" spans="1:4" x14ac:dyDescent="0.25">
      <c r="A57" s="10" t="s">
        <v>94</v>
      </c>
      <c r="B57" s="10" t="s">
        <v>95</v>
      </c>
      <c r="C57" s="11" t="s">
        <v>33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30</v>
      </c>
      <c r="D58" s="15">
        <v>2</v>
      </c>
    </row>
    <row r="59" spans="1:4" x14ac:dyDescent="0.25">
      <c r="A59" s="10" t="s">
        <v>98</v>
      </c>
      <c r="B59" s="10" t="s">
        <v>99</v>
      </c>
      <c r="C59" s="11" t="s">
        <v>33</v>
      </c>
      <c r="D59" s="11">
        <v>0</v>
      </c>
    </row>
    <row r="60" spans="1:4" x14ac:dyDescent="0.25">
      <c r="A60" s="10" t="s">
        <v>100</v>
      </c>
      <c r="B60" s="10" t="s">
        <v>101</v>
      </c>
      <c r="C60" s="11" t="s">
        <v>33</v>
      </c>
      <c r="D60" s="11">
        <v>0</v>
      </c>
    </row>
    <row r="61" spans="1:4" x14ac:dyDescent="0.25">
      <c r="A61" s="14" t="s">
        <v>102</v>
      </c>
      <c r="B61" s="14" t="s">
        <v>103</v>
      </c>
      <c r="C61" s="15" t="s">
        <v>30</v>
      </c>
      <c r="D61" s="15">
        <v>2</v>
      </c>
    </row>
    <row r="62" spans="1:4" x14ac:dyDescent="0.25">
      <c r="A62" s="10" t="s">
        <v>104</v>
      </c>
      <c r="B62" s="10" t="s">
        <v>105</v>
      </c>
      <c r="C62" s="11" t="s">
        <v>33</v>
      </c>
      <c r="D62" s="11">
        <v>0</v>
      </c>
    </row>
    <row r="63" spans="1:4" x14ac:dyDescent="0.25">
      <c r="A63" s="10" t="s">
        <v>106</v>
      </c>
      <c r="B63" s="10" t="s">
        <v>107</v>
      </c>
      <c r="C63" s="11" t="s">
        <v>33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30</v>
      </c>
      <c r="D64" s="15">
        <v>4</v>
      </c>
    </row>
    <row r="65" spans="1:4" x14ac:dyDescent="0.25">
      <c r="A65" s="10" t="s">
        <v>110</v>
      </c>
      <c r="B65" s="10" t="s">
        <v>111</v>
      </c>
      <c r="C65" s="11" t="s">
        <v>33</v>
      </c>
      <c r="D65" s="11">
        <v>0</v>
      </c>
    </row>
    <row r="66" spans="1:4" x14ac:dyDescent="0.25">
      <c r="A66" s="14" t="s">
        <v>112</v>
      </c>
      <c r="B66" s="14" t="s">
        <v>113</v>
      </c>
      <c r="C66" s="15" t="s">
        <v>30</v>
      </c>
      <c r="D66" s="15">
        <v>1</v>
      </c>
    </row>
    <row r="67" spans="1:4" x14ac:dyDescent="0.25">
      <c r="A67" s="10" t="s">
        <v>114</v>
      </c>
      <c r="B67" s="10" t="s">
        <v>115</v>
      </c>
      <c r="C67" s="11" t="s">
        <v>33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30</v>
      </c>
      <c r="D68" s="15">
        <v>1</v>
      </c>
    </row>
    <row r="69" spans="1:4" x14ac:dyDescent="0.25">
      <c r="A69" s="10" t="s">
        <v>118</v>
      </c>
      <c r="B69" s="10" t="s">
        <v>119</v>
      </c>
      <c r="C69" s="11" t="s">
        <v>33</v>
      </c>
      <c r="D69" s="11">
        <v>0</v>
      </c>
    </row>
    <row r="70" spans="1:4" x14ac:dyDescent="0.25">
      <c r="A70" s="10" t="s">
        <v>120</v>
      </c>
      <c r="B70" s="10" t="s">
        <v>121</v>
      </c>
      <c r="C70" s="11" t="s">
        <v>33</v>
      </c>
      <c r="D70" s="11">
        <v>0</v>
      </c>
    </row>
    <row r="71" spans="1:4" x14ac:dyDescent="0.25">
      <c r="A71" s="10" t="s">
        <v>122</v>
      </c>
      <c r="B71" s="10" t="s">
        <v>123</v>
      </c>
      <c r="C71" s="11" t="s">
        <v>33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33</v>
      </c>
      <c r="D72" s="11">
        <v>0</v>
      </c>
    </row>
    <row r="73" spans="1:4" x14ac:dyDescent="0.25">
      <c r="A73" s="14" t="s">
        <v>126</v>
      </c>
      <c r="B73" s="14" t="s">
        <v>127</v>
      </c>
      <c r="C73" s="15" t="s">
        <v>30</v>
      </c>
      <c r="D73" s="15">
        <v>3</v>
      </c>
    </row>
    <row r="74" spans="1:4" x14ac:dyDescent="0.25">
      <c r="A74" s="14" t="s">
        <v>128</v>
      </c>
      <c r="B74" s="14" t="s">
        <v>129</v>
      </c>
      <c r="C74" s="15" t="s">
        <v>30</v>
      </c>
      <c r="D74" s="15">
        <v>2</v>
      </c>
    </row>
    <row r="75" spans="1:4" x14ac:dyDescent="0.25">
      <c r="A75" s="10" t="s">
        <v>130</v>
      </c>
      <c r="B75" s="10" t="s">
        <v>131</v>
      </c>
      <c r="C75" s="11" t="s">
        <v>33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33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33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33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33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33</v>
      </c>
      <c r="D80" s="11">
        <v>0</v>
      </c>
    </row>
    <row r="81" spans="1:4" x14ac:dyDescent="0.25">
      <c r="A81" s="10" t="s">
        <v>142</v>
      </c>
      <c r="B81" s="10" t="s">
        <v>143</v>
      </c>
      <c r="C81" s="11" t="s">
        <v>33</v>
      </c>
      <c r="D81" s="11">
        <v>0</v>
      </c>
    </row>
    <row r="82" spans="1:4" x14ac:dyDescent="0.25">
      <c r="A82" s="10" t="s">
        <v>144</v>
      </c>
      <c r="B82" s="10" t="s">
        <v>145</v>
      </c>
      <c r="C82" s="11" t="s">
        <v>33</v>
      </c>
      <c r="D82" s="11">
        <v>0</v>
      </c>
    </row>
    <row r="83" spans="1:4" x14ac:dyDescent="0.25">
      <c r="A83" s="14" t="s">
        <v>146</v>
      </c>
      <c r="B83" s="14" t="s">
        <v>147</v>
      </c>
      <c r="C83" s="15" t="s">
        <v>30</v>
      </c>
      <c r="D83" s="15">
        <v>1</v>
      </c>
    </row>
    <row r="84" spans="1:4" x14ac:dyDescent="0.25">
      <c r="A84" s="10" t="s">
        <v>148</v>
      </c>
      <c r="B84" s="10" t="s">
        <v>149</v>
      </c>
      <c r="C84" s="11" t="s">
        <v>33</v>
      </c>
      <c r="D84" s="11">
        <v>0</v>
      </c>
    </row>
    <row r="85" spans="1:4" x14ac:dyDescent="0.25">
      <c r="A85" s="10" t="s">
        <v>150</v>
      </c>
      <c r="B85" s="10" t="s">
        <v>151</v>
      </c>
      <c r="C85" s="11" t="s">
        <v>33</v>
      </c>
      <c r="D85" s="11">
        <v>0</v>
      </c>
    </row>
    <row r="86" spans="1:4" x14ac:dyDescent="0.25">
      <c r="A86" s="10" t="s">
        <v>152</v>
      </c>
      <c r="B86" s="10" t="s">
        <v>153</v>
      </c>
      <c r="C86" s="11" t="s">
        <v>33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33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33</v>
      </c>
      <c r="D88" s="11">
        <v>0</v>
      </c>
    </row>
    <row r="89" spans="1:4" x14ac:dyDescent="0.25">
      <c r="A89" s="10" t="s">
        <v>158</v>
      </c>
      <c r="B89" s="10" t="s">
        <v>159</v>
      </c>
      <c r="C89" s="11" t="s">
        <v>33</v>
      </c>
      <c r="D89" s="11">
        <v>0</v>
      </c>
    </row>
    <row r="90" spans="1:4" x14ac:dyDescent="0.25">
      <c r="A90" s="10" t="s">
        <v>160</v>
      </c>
      <c r="B90" s="10" t="s">
        <v>161</v>
      </c>
      <c r="C90" s="11" t="s">
        <v>33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33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33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33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33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28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4" t="s">
        <v>14</v>
      </c>
      <c r="B3" s="14" t="s">
        <v>78</v>
      </c>
      <c r="C3" s="14" t="s">
        <v>181</v>
      </c>
      <c r="D3" s="19" t="s">
        <v>182</v>
      </c>
      <c r="E3" s="14" t="s">
        <v>183</v>
      </c>
      <c r="F3" s="19" t="s">
        <v>184</v>
      </c>
      <c r="G3" s="20" t="s">
        <v>180</v>
      </c>
    </row>
    <row r="4" spans="1:7" x14ac:dyDescent="0.25">
      <c r="A4" s="14" t="s">
        <v>14</v>
      </c>
      <c r="B4" s="14" t="s">
        <v>92</v>
      </c>
      <c r="C4" s="14" t="s">
        <v>185</v>
      </c>
      <c r="D4" s="19" t="s">
        <v>186</v>
      </c>
      <c r="E4" s="14" t="s">
        <v>187</v>
      </c>
      <c r="F4" s="19" t="s">
        <v>188</v>
      </c>
      <c r="G4" s="20" t="s">
        <v>180</v>
      </c>
    </row>
    <row r="5" spans="1:7" x14ac:dyDescent="0.25">
      <c r="A5" s="14" t="s">
        <v>14</v>
      </c>
      <c r="B5" s="14" t="s">
        <v>96</v>
      </c>
      <c r="C5" s="14" t="s">
        <v>189</v>
      </c>
      <c r="D5" s="19" t="s">
        <v>190</v>
      </c>
      <c r="E5" s="14" t="s">
        <v>191</v>
      </c>
      <c r="F5" s="19" t="s">
        <v>192</v>
      </c>
      <c r="G5" s="14" t="s">
        <v>6</v>
      </c>
    </row>
    <row r="6" spans="1:7" x14ac:dyDescent="0.25">
      <c r="A6" s="14" t="s">
        <v>14</v>
      </c>
      <c r="B6" s="14" t="s">
        <v>96</v>
      </c>
      <c r="C6" s="14" t="s">
        <v>189</v>
      </c>
      <c r="D6" s="19" t="s">
        <v>193</v>
      </c>
      <c r="E6" s="14" t="s">
        <v>191</v>
      </c>
      <c r="F6" s="19" t="s">
        <v>194</v>
      </c>
      <c r="G6" s="14" t="s">
        <v>6</v>
      </c>
    </row>
    <row r="7" spans="1:7" x14ac:dyDescent="0.25">
      <c r="A7" s="14" t="s">
        <v>14</v>
      </c>
      <c r="B7" s="14" t="s">
        <v>102</v>
      </c>
      <c r="C7" s="14" t="s">
        <v>195</v>
      </c>
      <c r="D7" s="19" t="s">
        <v>196</v>
      </c>
      <c r="E7" s="14" t="s">
        <v>197</v>
      </c>
      <c r="F7" s="19" t="s">
        <v>198</v>
      </c>
      <c r="G7" s="20" t="s">
        <v>180</v>
      </c>
    </row>
    <row r="8" spans="1:7" x14ac:dyDescent="0.25">
      <c r="A8" s="14" t="s">
        <v>14</v>
      </c>
      <c r="B8" s="14" t="s">
        <v>102</v>
      </c>
      <c r="C8" s="14" t="s">
        <v>195</v>
      </c>
      <c r="D8" s="19" t="s">
        <v>199</v>
      </c>
      <c r="E8" s="14" t="s">
        <v>197</v>
      </c>
      <c r="F8" s="19" t="s">
        <v>198</v>
      </c>
      <c r="G8" s="20" t="s">
        <v>180</v>
      </c>
    </row>
    <row r="9" spans="1:7" x14ac:dyDescent="0.25">
      <c r="A9" s="14" t="s">
        <v>14</v>
      </c>
      <c r="B9" s="14" t="s">
        <v>112</v>
      </c>
      <c r="C9" s="14" t="s">
        <v>200</v>
      </c>
      <c r="D9" s="19" t="s">
        <v>201</v>
      </c>
      <c r="E9" s="14" t="s">
        <v>202</v>
      </c>
      <c r="F9" s="19" t="s">
        <v>203</v>
      </c>
      <c r="G9" s="20" t="s">
        <v>180</v>
      </c>
    </row>
    <row r="10" spans="1:7" x14ac:dyDescent="0.25">
      <c r="A10" s="21" t="s">
        <v>6</v>
      </c>
      <c r="B10" s="21" t="s">
        <v>6</v>
      </c>
      <c r="C10" s="21" t="s">
        <v>6</v>
      </c>
      <c r="D10" s="22" t="s">
        <v>204</v>
      </c>
      <c r="E10" s="21" t="s">
        <v>205</v>
      </c>
      <c r="F10" s="22" t="s">
        <v>6</v>
      </c>
      <c r="G10" s="23" t="s">
        <v>206</v>
      </c>
    </row>
    <row r="11" spans="1:7" x14ac:dyDescent="0.25">
      <c r="A11" s="21" t="s">
        <v>6</v>
      </c>
      <c r="B11" s="21" t="s">
        <v>6</v>
      </c>
      <c r="C11" s="21" t="s">
        <v>6</v>
      </c>
      <c r="D11" s="22" t="s">
        <v>207</v>
      </c>
      <c r="E11" s="21" t="s">
        <v>208</v>
      </c>
      <c r="F11" s="22" t="s">
        <v>6</v>
      </c>
      <c r="G11" s="23" t="s">
        <v>206</v>
      </c>
    </row>
    <row r="12" spans="1:7" x14ac:dyDescent="0.25">
      <c r="A12" s="21" t="s">
        <v>6</v>
      </c>
      <c r="B12" s="21" t="s">
        <v>6</v>
      </c>
      <c r="C12" s="21" t="s">
        <v>6</v>
      </c>
      <c r="D12" s="22" t="s">
        <v>209</v>
      </c>
      <c r="E12" s="21" t="s">
        <v>210</v>
      </c>
      <c r="F12" s="22" t="s">
        <v>6</v>
      </c>
      <c r="G12" s="23" t="s">
        <v>206</v>
      </c>
    </row>
    <row r="13" spans="1:7" x14ac:dyDescent="0.25">
      <c r="A13" s="21" t="s">
        <v>6</v>
      </c>
      <c r="B13" s="21" t="s">
        <v>6</v>
      </c>
      <c r="C13" s="21" t="s">
        <v>6</v>
      </c>
      <c r="D13" s="22" t="s">
        <v>211</v>
      </c>
      <c r="E13" s="21" t="s">
        <v>212</v>
      </c>
      <c r="F13" s="22" t="s">
        <v>6</v>
      </c>
      <c r="G13" s="23" t="s">
        <v>206</v>
      </c>
    </row>
    <row r="14" spans="1:7" x14ac:dyDescent="0.25">
      <c r="A14" s="21" t="s">
        <v>6</v>
      </c>
      <c r="B14" s="21" t="s">
        <v>6</v>
      </c>
      <c r="C14" s="21" t="s">
        <v>6</v>
      </c>
      <c r="D14" s="22" t="s">
        <v>213</v>
      </c>
      <c r="E14" s="21" t="s">
        <v>214</v>
      </c>
      <c r="F14" s="22" t="s">
        <v>6</v>
      </c>
      <c r="G14" s="23" t="s">
        <v>206</v>
      </c>
    </row>
    <row r="15" spans="1:7" x14ac:dyDescent="0.25">
      <c r="A15" s="14" t="s">
        <v>14</v>
      </c>
      <c r="B15" s="14" t="s">
        <v>116</v>
      </c>
      <c r="C15" s="14" t="s">
        <v>200</v>
      </c>
      <c r="D15" s="19" t="s">
        <v>215</v>
      </c>
      <c r="E15" s="14" t="s">
        <v>216</v>
      </c>
      <c r="F15" s="19" t="s">
        <v>217</v>
      </c>
      <c r="G15" s="20" t="s">
        <v>180</v>
      </c>
    </row>
    <row r="16" spans="1:7" x14ac:dyDescent="0.25">
      <c r="A16" s="14" t="s">
        <v>14</v>
      </c>
      <c r="B16" s="14" t="s">
        <v>126</v>
      </c>
      <c r="C16" s="14" t="s">
        <v>218</v>
      </c>
      <c r="D16" s="19" t="s">
        <v>219</v>
      </c>
      <c r="E16" s="14" t="s">
        <v>220</v>
      </c>
      <c r="F16" s="19" t="s">
        <v>221</v>
      </c>
      <c r="G16" s="20" t="s">
        <v>180</v>
      </c>
    </row>
    <row r="17" spans="1:7" x14ac:dyDescent="0.25">
      <c r="A17" s="14" t="s">
        <v>14</v>
      </c>
      <c r="B17" s="14" t="s">
        <v>126</v>
      </c>
      <c r="C17" s="14" t="s">
        <v>218</v>
      </c>
      <c r="D17" s="19" t="s">
        <v>222</v>
      </c>
      <c r="E17" s="14" t="s">
        <v>220</v>
      </c>
      <c r="F17" s="19" t="s">
        <v>223</v>
      </c>
      <c r="G17" s="20" t="s">
        <v>180</v>
      </c>
    </row>
    <row r="18" spans="1:7" x14ac:dyDescent="0.25">
      <c r="A18" s="14" t="s">
        <v>14</v>
      </c>
      <c r="B18" s="14" t="s">
        <v>126</v>
      </c>
      <c r="C18" s="14" t="s">
        <v>218</v>
      </c>
      <c r="D18" s="19" t="s">
        <v>224</v>
      </c>
      <c r="E18" s="14" t="s">
        <v>220</v>
      </c>
      <c r="F18" s="19" t="s">
        <v>225</v>
      </c>
      <c r="G18" s="20" t="s">
        <v>180</v>
      </c>
    </row>
    <row r="19" spans="1:7" x14ac:dyDescent="0.25">
      <c r="A19" s="14" t="s">
        <v>14</v>
      </c>
      <c r="B19" s="14" t="s">
        <v>146</v>
      </c>
      <c r="C19" s="14" t="s">
        <v>226</v>
      </c>
      <c r="D19" s="19" t="s">
        <v>227</v>
      </c>
      <c r="E19" s="14" t="s">
        <v>228</v>
      </c>
      <c r="F19" s="19" t="s">
        <v>229</v>
      </c>
      <c r="G19" s="20" t="s">
        <v>180</v>
      </c>
    </row>
    <row r="20" spans="1:7" x14ac:dyDescent="0.25">
      <c r="A20" s="21" t="s">
        <v>6</v>
      </c>
      <c r="B20" s="21" t="s">
        <v>6</v>
      </c>
      <c r="C20" s="21" t="s">
        <v>6</v>
      </c>
      <c r="D20" s="22" t="s">
        <v>230</v>
      </c>
      <c r="E20" s="21" t="s">
        <v>231</v>
      </c>
      <c r="F20" s="22" t="s">
        <v>6</v>
      </c>
      <c r="G20" s="23" t="s">
        <v>206</v>
      </c>
    </row>
    <row r="21" spans="1:7" x14ac:dyDescent="0.25">
      <c r="A21" s="21" t="s">
        <v>6</v>
      </c>
      <c r="B21" s="21" t="s">
        <v>6</v>
      </c>
      <c r="C21" s="21" t="s">
        <v>6</v>
      </c>
      <c r="D21" s="22" t="s">
        <v>232</v>
      </c>
      <c r="E21" s="21" t="s">
        <v>233</v>
      </c>
      <c r="F21" s="22" t="s">
        <v>6</v>
      </c>
      <c r="G21" s="23" t="s">
        <v>206</v>
      </c>
    </row>
    <row r="22" spans="1:7" x14ac:dyDescent="0.25">
      <c r="A22" s="24" t="s">
        <v>15</v>
      </c>
      <c r="B22" s="24" t="s">
        <v>54</v>
      </c>
      <c r="C22" s="24" t="s">
        <v>234</v>
      </c>
      <c r="D22" s="25" t="s">
        <v>235</v>
      </c>
      <c r="E22" s="24" t="s">
        <v>236</v>
      </c>
      <c r="F22" s="25" t="s">
        <v>237</v>
      </c>
      <c r="G22" s="26" t="s">
        <v>180</v>
      </c>
    </row>
    <row r="23" spans="1:7" x14ac:dyDescent="0.25">
      <c r="A23" s="24" t="s">
        <v>15</v>
      </c>
      <c r="B23" s="24" t="s">
        <v>56</v>
      </c>
      <c r="C23" s="24" t="s">
        <v>234</v>
      </c>
      <c r="D23" s="25" t="s">
        <v>238</v>
      </c>
      <c r="E23" s="24" t="s">
        <v>239</v>
      </c>
      <c r="F23" s="25" t="s">
        <v>240</v>
      </c>
      <c r="G23" s="24" t="s">
        <v>6</v>
      </c>
    </row>
    <row r="24" spans="1:7" x14ac:dyDescent="0.25">
      <c r="A24" s="24" t="s">
        <v>15</v>
      </c>
      <c r="B24" s="24" t="s">
        <v>108</v>
      </c>
      <c r="C24" s="24" t="s">
        <v>195</v>
      </c>
      <c r="D24" s="25" t="s">
        <v>241</v>
      </c>
      <c r="E24" s="24" t="s">
        <v>242</v>
      </c>
      <c r="F24" s="25" t="s">
        <v>243</v>
      </c>
      <c r="G24" s="26" t="s">
        <v>180</v>
      </c>
    </row>
    <row r="25" spans="1:7" x14ac:dyDescent="0.25">
      <c r="A25" s="24" t="s">
        <v>15</v>
      </c>
      <c r="B25" s="24" t="s">
        <v>108</v>
      </c>
      <c r="C25" s="24" t="s">
        <v>195</v>
      </c>
      <c r="D25" s="25" t="s">
        <v>244</v>
      </c>
      <c r="E25" s="24" t="s">
        <v>245</v>
      </c>
      <c r="F25" s="25" t="s">
        <v>243</v>
      </c>
      <c r="G25" s="26" t="s">
        <v>180</v>
      </c>
    </row>
    <row r="26" spans="1:7" x14ac:dyDescent="0.25">
      <c r="A26" s="24" t="s">
        <v>15</v>
      </c>
      <c r="B26" s="24" t="s">
        <v>108</v>
      </c>
      <c r="C26" s="24" t="s">
        <v>195</v>
      </c>
      <c r="D26" s="25" t="s">
        <v>246</v>
      </c>
      <c r="E26" s="24" t="s">
        <v>247</v>
      </c>
      <c r="F26" s="25" t="s">
        <v>243</v>
      </c>
      <c r="G26" s="26" t="s">
        <v>180</v>
      </c>
    </row>
    <row r="27" spans="1:7" x14ac:dyDescent="0.25">
      <c r="A27" s="24" t="s">
        <v>15</v>
      </c>
      <c r="B27" s="24" t="s">
        <v>108</v>
      </c>
      <c r="C27" s="24" t="s">
        <v>195</v>
      </c>
      <c r="D27" s="25" t="s">
        <v>248</v>
      </c>
      <c r="E27" s="24" t="s">
        <v>249</v>
      </c>
      <c r="F27" s="25" t="s">
        <v>243</v>
      </c>
      <c r="G27" s="26" t="s">
        <v>180</v>
      </c>
    </row>
    <row r="28" spans="1:7" x14ac:dyDescent="0.25">
      <c r="A28" s="24" t="s">
        <v>15</v>
      </c>
      <c r="B28" s="24" t="s">
        <v>128</v>
      </c>
      <c r="C28" s="24" t="s">
        <v>218</v>
      </c>
      <c r="D28" s="25" t="s">
        <v>250</v>
      </c>
      <c r="E28" s="24" t="s">
        <v>251</v>
      </c>
      <c r="F28" s="25" t="s">
        <v>252</v>
      </c>
      <c r="G28" s="26" t="s">
        <v>180</v>
      </c>
    </row>
    <row r="29" spans="1:7" x14ac:dyDescent="0.25">
      <c r="A29" s="24" t="s">
        <v>15</v>
      </c>
      <c r="B29" s="24" t="s">
        <v>128</v>
      </c>
      <c r="C29" s="24" t="s">
        <v>218</v>
      </c>
      <c r="D29" s="25" t="s">
        <v>253</v>
      </c>
      <c r="E29" s="24" t="s">
        <v>254</v>
      </c>
      <c r="F29" s="25" t="s">
        <v>252</v>
      </c>
      <c r="G29" s="26" t="s">
        <v>180</v>
      </c>
    </row>
  </sheetData>
  <autoFilter ref="A1:G29"/>
  <hyperlinks>
    <hyperlink ref="G2" r:id="rId1"/>
    <hyperlink ref="G3" r:id="rId2"/>
    <hyperlink ref="G4" r:id="rId3"/>
    <hyperlink ref="G7" r:id="rId4"/>
    <hyperlink ref="G8" r:id="rId5"/>
    <hyperlink ref="G9" r:id="rId6"/>
    <hyperlink ref="G10" r:id="rId7"/>
    <hyperlink ref="G11" r:id="rId8"/>
    <hyperlink ref="G12" r:id="rId9"/>
    <hyperlink ref="G13" r:id="rId10"/>
    <hyperlink ref="G14" r:id="rId11"/>
    <hyperlink ref="G15" r:id="rId12"/>
    <hyperlink ref="G16" r:id="rId13"/>
    <hyperlink ref="G17" r:id="rId14"/>
    <hyperlink ref="G18" r:id="rId15"/>
    <hyperlink ref="G19" r:id="rId16"/>
    <hyperlink ref="G20" r:id="rId17"/>
    <hyperlink ref="G21" r:id="rId18"/>
    <hyperlink ref="G22" r:id="rId19"/>
    <hyperlink ref="G24" r:id="rId20"/>
    <hyperlink ref="G25" r:id="rId21"/>
    <hyperlink ref="G26" r:id="rId22"/>
    <hyperlink ref="G27" r:id="rId23"/>
    <hyperlink ref="G28" r:id="rId24"/>
    <hyperlink ref="G29" r:id="rId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255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146</v>
      </c>
      <c r="C5" s="19" t="s">
        <v>227</v>
      </c>
      <c r="D5" s="14" t="s">
        <v>228</v>
      </c>
      <c r="E5" s="19" t="s">
        <v>229</v>
      </c>
      <c r="F5" s="20" t="s">
        <v>180</v>
      </c>
    </row>
    <row r="6" spans="1:6" x14ac:dyDescent="0.25">
      <c r="A6" s="21" t="s">
        <v>6</v>
      </c>
      <c r="B6" s="21" t="s">
        <v>6</v>
      </c>
      <c r="C6" s="22" t="s">
        <v>230</v>
      </c>
      <c r="D6" s="21" t="s">
        <v>231</v>
      </c>
      <c r="E6" s="22" t="s">
        <v>6</v>
      </c>
      <c r="F6" s="23" t="s">
        <v>206</v>
      </c>
    </row>
    <row r="7" spans="1:6" x14ac:dyDescent="0.25">
      <c r="A7" s="21" t="s">
        <v>6</v>
      </c>
      <c r="B7" s="21" t="s">
        <v>6</v>
      </c>
      <c r="C7" s="22" t="s">
        <v>232</v>
      </c>
      <c r="D7" s="21" t="s">
        <v>233</v>
      </c>
      <c r="E7" s="22" t="s">
        <v>6</v>
      </c>
      <c r="F7" s="23" t="s">
        <v>206</v>
      </c>
    </row>
  </sheetData>
  <autoFilter ref="A4:F7"/>
  <mergeCells count="1">
    <mergeCell ref="A1:F1"/>
  </mergeCells>
  <hyperlinks>
    <hyperlink ref="F5" r:id="rId1"/>
    <hyperlink ref="F6" r:id="rId2"/>
    <hyperlink ref="F7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19</v>
      </c>
      <c r="B1" s="27"/>
      <c r="C1" s="27"/>
      <c r="D1" s="27"/>
      <c r="E1" s="27"/>
      <c r="F1" s="27"/>
    </row>
    <row r="2" spans="1:1" x14ac:dyDescent="0.25">
      <c r="A2" s="28" t="s">
        <v>256</v>
      </c>
    </row>
    <row r="4" spans="1:1" x14ac:dyDescent="0.25">
      <c r="A4" s="29" t="s">
        <v>257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258</v>
      </c>
    </row>
    <row r="4" spans="1:1" x14ac:dyDescent="0.25">
      <c r="A4" s="29" t="s">
        <v>257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259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112</v>
      </c>
      <c r="C5" s="19" t="s">
        <v>201</v>
      </c>
      <c r="D5" s="14" t="s">
        <v>202</v>
      </c>
      <c r="E5" s="19" t="s">
        <v>203</v>
      </c>
      <c r="F5" s="20" t="s">
        <v>180</v>
      </c>
    </row>
    <row r="6" spans="1:6" x14ac:dyDescent="0.25">
      <c r="A6" s="21" t="s">
        <v>6</v>
      </c>
      <c r="B6" s="21" t="s">
        <v>6</v>
      </c>
      <c r="C6" s="22" t="s">
        <v>204</v>
      </c>
      <c r="D6" s="21" t="s">
        <v>205</v>
      </c>
      <c r="E6" s="22" t="s">
        <v>6</v>
      </c>
      <c r="F6" s="23" t="s">
        <v>206</v>
      </c>
    </row>
    <row r="7" spans="1:6" x14ac:dyDescent="0.25">
      <c r="A7" s="21" t="s">
        <v>6</v>
      </c>
      <c r="B7" s="21" t="s">
        <v>6</v>
      </c>
      <c r="C7" s="22" t="s">
        <v>207</v>
      </c>
      <c r="D7" s="21" t="s">
        <v>208</v>
      </c>
      <c r="E7" s="22" t="s">
        <v>6</v>
      </c>
      <c r="F7" s="23" t="s">
        <v>206</v>
      </c>
    </row>
    <row r="8" spans="1:6" x14ac:dyDescent="0.25">
      <c r="A8" s="21" t="s">
        <v>6</v>
      </c>
      <c r="B8" s="21" t="s">
        <v>6</v>
      </c>
      <c r="C8" s="22" t="s">
        <v>209</v>
      </c>
      <c r="D8" s="21" t="s">
        <v>210</v>
      </c>
      <c r="E8" s="22" t="s">
        <v>6</v>
      </c>
      <c r="F8" s="23" t="s">
        <v>206</v>
      </c>
    </row>
    <row r="9" spans="1:6" x14ac:dyDescent="0.25">
      <c r="A9" s="21" t="s">
        <v>6</v>
      </c>
      <c r="B9" s="21" t="s">
        <v>6</v>
      </c>
      <c r="C9" s="22" t="s">
        <v>211</v>
      </c>
      <c r="D9" s="21" t="s">
        <v>212</v>
      </c>
      <c r="E9" s="22" t="s">
        <v>6</v>
      </c>
      <c r="F9" s="23" t="s">
        <v>206</v>
      </c>
    </row>
    <row r="10" spans="1:6" x14ac:dyDescent="0.25">
      <c r="A10" s="21" t="s">
        <v>6</v>
      </c>
      <c r="B10" s="21" t="s">
        <v>6</v>
      </c>
      <c r="C10" s="22" t="s">
        <v>213</v>
      </c>
      <c r="D10" s="21" t="s">
        <v>214</v>
      </c>
      <c r="E10" s="22" t="s">
        <v>6</v>
      </c>
      <c r="F10" s="23" t="s">
        <v>206</v>
      </c>
    </row>
    <row r="11" spans="1:6" x14ac:dyDescent="0.25">
      <c r="A11" s="14" t="s">
        <v>14</v>
      </c>
      <c r="B11" s="14" t="s">
        <v>116</v>
      </c>
      <c r="C11" s="19" t="s">
        <v>215</v>
      </c>
      <c r="D11" s="14" t="s">
        <v>216</v>
      </c>
      <c r="E11" s="19" t="s">
        <v>217</v>
      </c>
      <c r="F11" s="20" t="s">
        <v>180</v>
      </c>
    </row>
  </sheetData>
  <autoFilter ref="A4:F11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260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78</v>
      </c>
      <c r="C5" s="19" t="s">
        <v>182</v>
      </c>
      <c r="D5" s="14" t="s">
        <v>183</v>
      </c>
      <c r="E5" s="19" t="s">
        <v>184</v>
      </c>
      <c r="F5" s="20" t="s">
        <v>180</v>
      </c>
    </row>
    <row r="6" spans="1:6" x14ac:dyDescent="0.25">
      <c r="A6" s="14" t="s">
        <v>14</v>
      </c>
      <c r="B6" s="14" t="s">
        <v>92</v>
      </c>
      <c r="C6" s="19" t="s">
        <v>186</v>
      </c>
      <c r="D6" s="14" t="s">
        <v>187</v>
      </c>
      <c r="E6" s="19" t="s">
        <v>188</v>
      </c>
      <c r="F6" s="20" t="s">
        <v>180</v>
      </c>
    </row>
    <row r="7" spans="1:6" x14ac:dyDescent="0.25">
      <c r="A7" s="14" t="s">
        <v>14</v>
      </c>
      <c r="B7" s="14" t="s">
        <v>96</v>
      </c>
      <c r="C7" s="19" t="s">
        <v>190</v>
      </c>
      <c r="D7" s="14" t="s">
        <v>191</v>
      </c>
      <c r="E7" s="19" t="s">
        <v>192</v>
      </c>
      <c r="F7" s="14" t="s">
        <v>6</v>
      </c>
    </row>
    <row r="8" spans="1:6" x14ac:dyDescent="0.25">
      <c r="A8" s="14" t="s">
        <v>14</v>
      </c>
      <c r="B8" s="14" t="s">
        <v>96</v>
      </c>
      <c r="C8" s="19" t="s">
        <v>193</v>
      </c>
      <c r="D8" s="14" t="s">
        <v>191</v>
      </c>
      <c r="E8" s="19" t="s">
        <v>194</v>
      </c>
      <c r="F8" s="14" t="s">
        <v>6</v>
      </c>
    </row>
    <row r="9" spans="1:6" x14ac:dyDescent="0.25">
      <c r="A9" s="14" t="s">
        <v>14</v>
      </c>
      <c r="B9" s="14" t="s">
        <v>102</v>
      </c>
      <c r="C9" s="19" t="s">
        <v>196</v>
      </c>
      <c r="D9" s="14" t="s">
        <v>197</v>
      </c>
      <c r="E9" s="19" t="s">
        <v>198</v>
      </c>
      <c r="F9" s="20" t="s">
        <v>180</v>
      </c>
    </row>
    <row r="10" spans="1:6" x14ac:dyDescent="0.25">
      <c r="A10" s="14" t="s">
        <v>14</v>
      </c>
      <c r="B10" s="14" t="s">
        <v>102</v>
      </c>
      <c r="C10" s="19" t="s">
        <v>199</v>
      </c>
      <c r="D10" s="14" t="s">
        <v>197</v>
      </c>
      <c r="E10" s="19" t="s">
        <v>198</v>
      </c>
      <c r="F10" s="20" t="s">
        <v>180</v>
      </c>
    </row>
    <row r="11" spans="1:6" x14ac:dyDescent="0.25">
      <c r="A11" s="14" t="s">
        <v>14</v>
      </c>
      <c r="B11" s="14" t="s">
        <v>126</v>
      </c>
      <c r="C11" s="19" t="s">
        <v>219</v>
      </c>
      <c r="D11" s="14" t="s">
        <v>220</v>
      </c>
      <c r="E11" s="19" t="s">
        <v>221</v>
      </c>
      <c r="F11" s="20" t="s">
        <v>180</v>
      </c>
    </row>
    <row r="12" spans="1:6" x14ac:dyDescent="0.25">
      <c r="A12" s="14" t="s">
        <v>14</v>
      </c>
      <c r="B12" s="14" t="s">
        <v>126</v>
      </c>
      <c r="C12" s="19" t="s">
        <v>222</v>
      </c>
      <c r="D12" s="14" t="s">
        <v>220</v>
      </c>
      <c r="E12" s="19" t="s">
        <v>223</v>
      </c>
      <c r="F12" s="20" t="s">
        <v>180</v>
      </c>
    </row>
    <row r="13" spans="1:6" x14ac:dyDescent="0.25">
      <c r="A13" s="14" t="s">
        <v>14</v>
      </c>
      <c r="B13" s="14" t="s">
        <v>126</v>
      </c>
      <c r="C13" s="19" t="s">
        <v>224</v>
      </c>
      <c r="D13" s="14" t="s">
        <v>220</v>
      </c>
      <c r="E13" s="19" t="s">
        <v>225</v>
      </c>
      <c r="F13" s="20" t="s">
        <v>180</v>
      </c>
    </row>
    <row r="14" spans="1:6" x14ac:dyDescent="0.25">
      <c r="A14" s="24" t="s">
        <v>15</v>
      </c>
      <c r="B14" s="24" t="s">
        <v>108</v>
      </c>
      <c r="C14" s="25" t="s">
        <v>241</v>
      </c>
      <c r="D14" s="24" t="s">
        <v>242</v>
      </c>
      <c r="E14" s="25" t="s">
        <v>243</v>
      </c>
      <c r="F14" s="26" t="s">
        <v>180</v>
      </c>
    </row>
    <row r="15" spans="1:6" x14ac:dyDescent="0.25">
      <c r="A15" s="24" t="s">
        <v>15</v>
      </c>
      <c r="B15" s="24" t="s">
        <v>108</v>
      </c>
      <c r="C15" s="25" t="s">
        <v>244</v>
      </c>
      <c r="D15" s="24" t="s">
        <v>245</v>
      </c>
      <c r="E15" s="25" t="s">
        <v>243</v>
      </c>
      <c r="F15" s="26" t="s">
        <v>180</v>
      </c>
    </row>
    <row r="16" spans="1:6" x14ac:dyDescent="0.25">
      <c r="A16" s="24" t="s">
        <v>15</v>
      </c>
      <c r="B16" s="24" t="s">
        <v>108</v>
      </c>
      <c r="C16" s="25" t="s">
        <v>246</v>
      </c>
      <c r="D16" s="24" t="s">
        <v>247</v>
      </c>
      <c r="E16" s="25" t="s">
        <v>243</v>
      </c>
      <c r="F16" s="26" t="s">
        <v>180</v>
      </c>
    </row>
    <row r="17" spans="1:6" x14ac:dyDescent="0.25">
      <c r="A17" s="24" t="s">
        <v>15</v>
      </c>
      <c r="B17" s="24" t="s">
        <v>108</v>
      </c>
      <c r="C17" s="25" t="s">
        <v>248</v>
      </c>
      <c r="D17" s="24" t="s">
        <v>249</v>
      </c>
      <c r="E17" s="25" t="s">
        <v>243</v>
      </c>
      <c r="F17" s="26" t="s">
        <v>180</v>
      </c>
    </row>
    <row r="18" spans="1:6" x14ac:dyDescent="0.25">
      <c r="A18" s="24" t="s">
        <v>15</v>
      </c>
      <c r="B18" s="24" t="s">
        <v>128</v>
      </c>
      <c r="C18" s="25" t="s">
        <v>250</v>
      </c>
      <c r="D18" s="24" t="s">
        <v>251</v>
      </c>
      <c r="E18" s="25" t="s">
        <v>252</v>
      </c>
      <c r="F18" s="26" t="s">
        <v>180</v>
      </c>
    </row>
    <row r="19" spans="1:6" x14ac:dyDescent="0.25">
      <c r="A19" s="24" t="s">
        <v>15</v>
      </c>
      <c r="B19" s="24" t="s">
        <v>128</v>
      </c>
      <c r="C19" s="25" t="s">
        <v>253</v>
      </c>
      <c r="D19" s="24" t="s">
        <v>254</v>
      </c>
      <c r="E19" s="25" t="s">
        <v>252</v>
      </c>
      <c r="F19" s="26" t="s">
        <v>180</v>
      </c>
    </row>
  </sheetData>
  <autoFilter ref="A4:F19"/>
  <mergeCells count="1">
    <mergeCell ref="A1:F1"/>
  </mergeCells>
  <hyperlinks>
    <hyperlink ref="F5" r:id="rId1"/>
    <hyperlink ref="F6" r:id="rId2"/>
    <hyperlink ref="F9" r:id="rId3"/>
    <hyperlink ref="F10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261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28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24" t="s">
        <v>15</v>
      </c>
      <c r="B6" s="24" t="s">
        <v>54</v>
      </c>
      <c r="C6" s="25" t="s">
        <v>235</v>
      </c>
      <c r="D6" s="24" t="s">
        <v>236</v>
      </c>
      <c r="E6" s="25" t="s">
        <v>237</v>
      </c>
      <c r="F6" s="26" t="s">
        <v>180</v>
      </c>
    </row>
    <row r="7" spans="1:6" x14ac:dyDescent="0.25">
      <c r="A7" s="24" t="s">
        <v>15</v>
      </c>
      <c r="B7" s="24" t="s">
        <v>56</v>
      </c>
      <c r="C7" s="25" t="s">
        <v>238</v>
      </c>
      <c r="D7" s="24" t="s">
        <v>239</v>
      </c>
      <c r="E7" s="25" t="s">
        <v>240</v>
      </c>
      <c r="F7" s="24" t="s">
        <v>6</v>
      </c>
    </row>
  </sheetData>
  <autoFilter ref="A4:F7"/>
  <mergeCells count="1">
    <mergeCell ref="A1:F1"/>
  </mergeCells>
  <hyperlinks>
    <hyperlink ref="F5" r:id="rId1"/>
    <hyperlink ref="F6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262</v>
      </c>
      <c r="B1" s="5" t="s">
        <v>263</v>
      </c>
      <c r="C1" s="5" t="s">
        <v>264</v>
      </c>
      <c r="D1" s="5" t="s">
        <v>265</v>
      </c>
      <c r="E1" s="5" t="s">
        <v>266</v>
      </c>
      <c r="F1" s="5" t="s">
        <v>267</v>
      </c>
      <c r="G1" s="5" t="s">
        <v>268</v>
      </c>
    </row>
    <row r="2" spans="1:7" x14ac:dyDescent="0.25">
      <c r="A2" s="10" t="s">
        <v>269</v>
      </c>
      <c r="B2" s="30">
        <v>2647450</v>
      </c>
      <c r="C2" s="30">
        <v>2647450</v>
      </c>
      <c r="D2" s="30">
        <v>0</v>
      </c>
      <c r="E2" s="31" t="s">
        <v>270</v>
      </c>
      <c r="F2" s="10" t="s">
        <v>6</v>
      </c>
      <c r="G2" s="32" t="s">
        <v>271</v>
      </c>
    </row>
    <row r="3" spans="1:7" x14ac:dyDescent="0.25">
      <c r="A3" s="10" t="s">
        <v>272</v>
      </c>
      <c r="B3" s="30">
        <v>1733510</v>
      </c>
      <c r="C3" s="30">
        <v>1947689</v>
      </c>
      <c r="D3" s="30">
        <v>-214179</v>
      </c>
      <c r="E3" s="31" t="s">
        <v>273</v>
      </c>
      <c r="F3" s="10" t="s">
        <v>6</v>
      </c>
      <c r="G3" s="32" t="s">
        <v>271</v>
      </c>
    </row>
    <row r="4" spans="1:7" x14ac:dyDescent="0.25">
      <c r="A4" s="10" t="s">
        <v>274</v>
      </c>
      <c r="B4" s="30">
        <v>70408</v>
      </c>
      <c r="C4" s="30">
        <v>145488</v>
      </c>
      <c r="D4" s="33">
        <v>-75080</v>
      </c>
      <c r="E4" s="31" t="s">
        <v>275</v>
      </c>
      <c r="F4" s="10" t="s">
        <v>276</v>
      </c>
      <c r="G4" s="32" t="s">
        <v>271</v>
      </c>
    </row>
    <row r="5" spans="1:7" x14ac:dyDescent="0.25">
      <c r="A5" s="10" t="s">
        <v>277</v>
      </c>
      <c r="B5" s="30">
        <v>197420</v>
      </c>
      <c r="C5" s="30">
        <v>162178</v>
      </c>
      <c r="D5" s="30">
        <v>35242</v>
      </c>
      <c r="E5" s="31" t="s">
        <v>278</v>
      </c>
      <c r="F5" s="10" t="s">
        <v>6</v>
      </c>
      <c r="G5" s="32" t="s">
        <v>271</v>
      </c>
    </row>
    <row r="6" spans="1:7" x14ac:dyDescent="0.25">
      <c r="A6" s="10" t="s">
        <v>279</v>
      </c>
      <c r="B6" s="30">
        <v>0</v>
      </c>
      <c r="C6" s="30">
        <v>0</v>
      </c>
      <c r="D6" s="30">
        <v>0</v>
      </c>
      <c r="E6" s="31" t="s">
        <v>6</v>
      </c>
      <c r="F6" s="10" t="s">
        <v>6</v>
      </c>
      <c r="G6" s="32" t="s">
        <v>271</v>
      </c>
    </row>
    <row r="7" spans="1:7" x14ac:dyDescent="0.25">
      <c r="A7" s="10" t="s">
        <v>280</v>
      </c>
      <c r="B7" s="30">
        <v>8490</v>
      </c>
      <c r="C7" s="30">
        <v>8490</v>
      </c>
      <c r="D7" s="30">
        <v>0</v>
      </c>
      <c r="E7" s="31" t="s">
        <v>270</v>
      </c>
      <c r="F7" s="10" t="s">
        <v>6</v>
      </c>
      <c r="G7" s="32" t="s">
        <v>271</v>
      </c>
    </row>
    <row r="8" spans="1:7" x14ac:dyDescent="0.25">
      <c r="A8" s="10" t="s">
        <v>281</v>
      </c>
      <c r="B8" s="30">
        <v>0</v>
      </c>
      <c r="C8" s="30">
        <v>0</v>
      </c>
      <c r="D8" s="30">
        <v>0</v>
      </c>
      <c r="E8" s="31" t="s">
        <v>6</v>
      </c>
      <c r="F8" s="10" t="s">
        <v>6</v>
      </c>
      <c r="G8" s="32" t="s">
        <v>271</v>
      </c>
    </row>
    <row r="9" spans="1:7" x14ac:dyDescent="0.25">
      <c r="A9" s="10" t="s">
        <v>282</v>
      </c>
      <c r="B9" s="30">
        <v>0</v>
      </c>
      <c r="C9" s="30">
        <v>16592</v>
      </c>
      <c r="D9" s="33">
        <v>-16592</v>
      </c>
      <c r="E9" s="31" t="s">
        <v>283</v>
      </c>
      <c r="F9" s="10" t="s">
        <v>276</v>
      </c>
      <c r="G9" s="32" t="s">
        <v>271</v>
      </c>
    </row>
    <row r="10" spans="1:7" x14ac:dyDescent="0.25">
      <c r="A10" s="10" t="s">
        <v>284</v>
      </c>
      <c r="B10" s="30">
        <v>168000</v>
      </c>
      <c r="C10" s="30">
        <v>168000</v>
      </c>
      <c r="D10" s="30">
        <v>0</v>
      </c>
      <c r="E10" s="31" t="s">
        <v>270</v>
      </c>
      <c r="F10" s="10" t="s">
        <v>6</v>
      </c>
      <c r="G10" s="32" t="s">
        <v>271</v>
      </c>
    </row>
    <row r="11" spans="1:7" x14ac:dyDescent="0.25">
      <c r="A11" s="10" t="s">
        <v>285</v>
      </c>
      <c r="B11" s="30">
        <v>299843</v>
      </c>
      <c r="C11" s="30">
        <v>313137</v>
      </c>
      <c r="D11" s="30">
        <v>-13294</v>
      </c>
      <c r="E11" s="31" t="s">
        <v>286</v>
      </c>
      <c r="F11" s="10" t="s">
        <v>6</v>
      </c>
      <c r="G11" s="32" t="s">
        <v>271</v>
      </c>
    </row>
    <row r="12" spans="1:7" x14ac:dyDescent="0.25">
      <c r="A12" s="10" t="s">
        <v>287</v>
      </c>
      <c r="B12" s="30">
        <v>6932875</v>
      </c>
      <c r="C12" s="30">
        <v>6921018</v>
      </c>
      <c r="D12" s="30">
        <v>11857</v>
      </c>
      <c r="E12" s="31" t="s">
        <v>288</v>
      </c>
      <c r="F12" s="10" t="s">
        <v>6</v>
      </c>
      <c r="G12" s="32" t="s">
        <v>271</v>
      </c>
    </row>
    <row r="13" spans="1:7" x14ac:dyDescent="0.25">
      <c r="A13" s="10" t="s">
        <v>289</v>
      </c>
      <c r="B13" s="30">
        <v>55000</v>
      </c>
      <c r="C13" s="30">
        <v>0</v>
      </c>
      <c r="D13" s="30">
        <v>55000</v>
      </c>
      <c r="E13" s="31" t="s">
        <v>6</v>
      </c>
      <c r="F13" s="10" t="s">
        <v>6</v>
      </c>
      <c r="G13" s="32" t="s">
        <v>271</v>
      </c>
    </row>
    <row r="14" spans="1:7" x14ac:dyDescent="0.25">
      <c r="A14" s="10" t="s">
        <v>290</v>
      </c>
      <c r="B14" s="30">
        <v>0</v>
      </c>
      <c r="C14" s="30">
        <v>1</v>
      </c>
      <c r="D14" s="33">
        <v>-1</v>
      </c>
      <c r="E14" s="31" t="s">
        <v>283</v>
      </c>
      <c r="F14" s="10" t="s">
        <v>276</v>
      </c>
      <c r="G14" s="32" t="s">
        <v>271</v>
      </c>
    </row>
    <row r="15" spans="1:7" x14ac:dyDescent="0.25">
      <c r="A15" s="10" t="s">
        <v>291</v>
      </c>
      <c r="B15" s="30">
        <v>0</v>
      </c>
      <c r="C15" s="30">
        <v>0</v>
      </c>
      <c r="D15" s="30">
        <v>0</v>
      </c>
      <c r="E15" s="31" t="s">
        <v>6</v>
      </c>
      <c r="F15" s="10" t="s">
        <v>6</v>
      </c>
      <c r="G15" s="32" t="s">
        <v>271</v>
      </c>
    </row>
    <row r="16" spans="1:7" x14ac:dyDescent="0.25">
      <c r="A16" s="10" t="s">
        <v>292</v>
      </c>
      <c r="B16" s="30">
        <v>0</v>
      </c>
      <c r="C16" s="30">
        <v>0</v>
      </c>
      <c r="D16" s="30">
        <v>0</v>
      </c>
      <c r="E16" s="31" t="s">
        <v>6</v>
      </c>
      <c r="F16" s="10" t="s">
        <v>6</v>
      </c>
      <c r="G16" s="32" t="s">
        <v>271</v>
      </c>
    </row>
    <row r="17" spans="1:7" x14ac:dyDescent="0.25">
      <c r="A17" s="10" t="s">
        <v>293</v>
      </c>
      <c r="B17" s="30">
        <v>1000000</v>
      </c>
      <c r="C17" s="30">
        <v>1000000</v>
      </c>
      <c r="D17" s="30">
        <v>0</v>
      </c>
      <c r="E17" s="31" t="s">
        <v>270</v>
      </c>
      <c r="F17" s="10" t="s">
        <v>6</v>
      </c>
      <c r="G17" s="32" t="s">
        <v>271</v>
      </c>
    </row>
    <row r="18" spans="1:7" x14ac:dyDescent="0.25">
      <c r="A18" s="10" t="s">
        <v>294</v>
      </c>
      <c r="B18" s="30">
        <v>405375</v>
      </c>
      <c r="C18" s="30">
        <v>405375</v>
      </c>
      <c r="D18" s="30">
        <v>0</v>
      </c>
      <c r="E18" s="31" t="s">
        <v>270</v>
      </c>
      <c r="F18" s="10" t="s">
        <v>6</v>
      </c>
      <c r="G18" s="32" t="s">
        <v>271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36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4" t="s">
        <v>295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ht="22" customHeight="1" spans="1:15" x14ac:dyDescent="0.25">
      <c r="A3" s="5" t="s">
        <v>262</v>
      </c>
      <c r="B3" s="5" t="s">
        <v>296</v>
      </c>
      <c r="C3" s="5" t="s">
        <v>297</v>
      </c>
      <c r="D3" s="5" t="s">
        <v>298</v>
      </c>
      <c r="E3" s="5" t="s">
        <v>299</v>
      </c>
      <c r="F3" s="5" t="s">
        <v>300</v>
      </c>
      <c r="G3" s="5" t="s">
        <v>301</v>
      </c>
      <c r="H3" s="5" t="s">
        <v>302</v>
      </c>
      <c r="I3" s="5" t="s">
        <v>303</v>
      </c>
      <c r="J3" s="5" t="s">
        <v>304</v>
      </c>
      <c r="K3" s="5" t="s">
        <v>305</v>
      </c>
      <c r="L3" s="5" t="s">
        <v>306</v>
      </c>
      <c r="M3" s="35" t="s">
        <v>307</v>
      </c>
      <c r="N3" s="5" t="s">
        <v>308</v>
      </c>
      <c r="O3" s="5" t="s">
        <v>268</v>
      </c>
    </row>
    <row r="4" spans="1:15" x14ac:dyDescent="0.25">
      <c r="A4" s="10" t="s">
        <v>309</v>
      </c>
      <c r="B4" s="30">
        <v>1316260</v>
      </c>
      <c r="C4" s="30">
        <v>1063840</v>
      </c>
      <c r="D4" s="30">
        <v>1134375</v>
      </c>
      <c r="E4" s="30">
        <v>667573</v>
      </c>
      <c r="F4" s="30">
        <v>248106</v>
      </c>
      <c r="G4" s="30">
        <v>221895</v>
      </c>
      <c r="H4" s="30">
        <v>284798</v>
      </c>
      <c r="I4" s="30">
        <v>250278</v>
      </c>
      <c r="J4" s="30">
        <v>275543</v>
      </c>
      <c r="K4" s="30">
        <v>327759</v>
      </c>
      <c r="L4" s="30">
        <v>77729</v>
      </c>
      <c r="M4" s="36">
        <v>70408</v>
      </c>
      <c r="N4" s="37">
        <f>SUM(B4:M4)</f>
        <v>5938564</v>
      </c>
      <c r="O4" s="38"/>
    </row>
    <row r="5" spans="1:15" x14ac:dyDescent="0.25">
      <c r="A5" s="10" t="s">
        <v>310</v>
      </c>
      <c r="B5" s="30">
        <v>795286</v>
      </c>
      <c r="C5" s="30">
        <v>563505</v>
      </c>
      <c r="D5" s="30">
        <v>581007</v>
      </c>
      <c r="E5" s="30">
        <v>327730</v>
      </c>
      <c r="F5" s="39">
        <v>0</v>
      </c>
      <c r="G5" s="39">
        <v>0</v>
      </c>
      <c r="H5" s="39">
        <v>0</v>
      </c>
      <c r="I5" s="39">
        <v>0</v>
      </c>
      <c r="J5" s="39">
        <v>0</v>
      </c>
      <c r="K5" s="39">
        <v>0</v>
      </c>
      <c r="L5" s="30">
        <v>1</v>
      </c>
      <c r="M5" s="40">
        <v>0</v>
      </c>
      <c r="N5" s="37">
        <f>SUM(B5:M5)</f>
        <v>2267529</v>
      </c>
      <c r="O5" s="38"/>
    </row>
    <row r="6" spans="1:15" x14ac:dyDescent="0.25">
      <c r="A6" s="41" t="s">
        <v>311</v>
      </c>
      <c r="B6" s="42">
        <v>520974</v>
      </c>
      <c r="C6" s="42">
        <v>500335</v>
      </c>
      <c r="D6" s="42">
        <v>553368</v>
      </c>
      <c r="E6" s="42">
        <v>339843</v>
      </c>
      <c r="F6" s="42">
        <v>248106</v>
      </c>
      <c r="G6" s="42">
        <v>221895</v>
      </c>
      <c r="H6" s="42">
        <v>284798</v>
      </c>
      <c r="I6" s="42">
        <v>250278</v>
      </c>
      <c r="J6" s="42">
        <v>275543</v>
      </c>
      <c r="K6" s="42">
        <v>327759</v>
      </c>
      <c r="L6" s="42">
        <v>77728</v>
      </c>
      <c r="M6" s="42">
        <v>70408</v>
      </c>
      <c r="N6" s="42">
        <f>SUM(B6:M6)</f>
        <v>3671035</v>
      </c>
      <c r="O6" s="43"/>
    </row>
    <row r="7" spans="1:15" x14ac:dyDescent="0.25">
      <c r="A7" s="10" t="s">
        <v>312</v>
      </c>
      <c r="B7" s="30">
        <f>HYPERLINK("https://secure.freee.co.jp/reports/general_ledgers/show?name=%E7%A6%8F%E5%88%A9%E5%8E%9A%E7%94%9F%E8%B2%BB&amp;start_date=2025-03-01&amp;end_date=2025-03-31&amp;fiscal_year_id=9837090",8826)</f>
        <v>8826</v>
      </c>
      <c r="C7" s="30">
        <f>HYPERLINK("https://secure.freee.co.jp/reports/general_ledgers/show?name=%E7%A6%8F%E5%88%A9%E5%8E%9A%E7%94%9F%E8%B2%BB&amp;start_date=2025-04-01&amp;end_date=2025-04-30&amp;fiscal_year_id=9837090",7971)</f>
        <v>7971</v>
      </c>
      <c r="D7" s="30">
        <f>HYPERLINK("https://secure.freee.co.jp/reports/general_ledgers/show?name=%E7%A6%8F%E5%88%A9%E5%8E%9A%E7%94%9F%E8%B2%BB&amp;start_date=2025-05-01&amp;end_date=2025-05-31&amp;fiscal_year_id=9837090",5093)</f>
        <v>5093</v>
      </c>
      <c r="E7" s="44">
        <v>0</v>
      </c>
      <c r="F7" s="39">
        <v>0</v>
      </c>
      <c r="G7" s="39">
        <v>0</v>
      </c>
      <c r="H7" s="39">
        <v>0</v>
      </c>
      <c r="I7" s="39">
        <v>0</v>
      </c>
      <c r="J7" s="39">
        <v>0</v>
      </c>
      <c r="K7" s="39">
        <v>0</v>
      </c>
      <c r="L7" s="39">
        <v>0</v>
      </c>
      <c r="M7" s="40">
        <v>0</v>
      </c>
      <c r="N7" s="37">
        <f>SUM(B7:M7)</f>
        <v>21890</v>
      </c>
      <c r="O7" s="32" t="s">
        <v>268</v>
      </c>
    </row>
    <row r="8" spans="1:15" x14ac:dyDescent="0.25">
      <c r="A8" s="10" t="s">
        <v>313</v>
      </c>
      <c r="B8" s="30">
        <f>HYPERLINK("https://secure.freee.co.jp/reports/general_ledgers/show?name=%E5%A4%96%E6%B3%A8%E8%B2%BB&amp;start_date=2025-03-01&amp;end_date=2025-03-31&amp;fiscal_year_id=9837090",25000)</f>
        <v>25000</v>
      </c>
      <c r="C8" s="33">
        <f>HYPERLINK("https://secure.freee.co.jp/reports/general_ledgers/show?name=%E5%A4%96%E6%B3%A8%E8%B2%BB&amp;start_date=2025-04-01&amp;end_date=2025-04-30&amp;fiscal_year_id=9837090",46132)</f>
        <v>46132</v>
      </c>
      <c r="D8" s="30">
        <f>HYPERLINK("https://secure.freee.co.jp/reports/general_ledgers/show?name=%E5%A4%96%E6%B3%A8%E8%B2%BB&amp;start_date=2025-05-01&amp;end_date=2025-05-31&amp;fiscal_year_id=9837090",36133)</f>
        <v>36133</v>
      </c>
      <c r="E8" s="30">
        <f>HYPERLINK("https://secure.freee.co.jp/reports/general_ledgers/show?name=%E5%A4%96%E6%B3%A8%E8%B2%BB&amp;start_date=2025-06-01&amp;end_date=2025-06-30&amp;fiscal_year_id=9837090",36133)</f>
        <v>36133</v>
      </c>
      <c r="F8" s="30">
        <f>HYPERLINK("https://secure.freee.co.jp/reports/general_ledgers/show?name=%E5%A4%96%E6%B3%A8%E8%B2%BB&amp;start_date=2025-07-01&amp;end_date=2025-07-31&amp;fiscal_year_id=9837090",36298)</f>
        <v>36298</v>
      </c>
      <c r="G8" s="44">
        <v>0</v>
      </c>
      <c r="H8" s="39">
        <v>0</v>
      </c>
      <c r="I8" s="39">
        <v>0</v>
      </c>
      <c r="J8" s="39">
        <v>0</v>
      </c>
      <c r="K8" s="39">
        <v>0</v>
      </c>
      <c r="L8" s="39">
        <v>0</v>
      </c>
      <c r="M8" s="40">
        <v>0</v>
      </c>
      <c r="N8" s="37">
        <f>SUM(B8:M8)</f>
        <v>179696</v>
      </c>
      <c r="O8" s="32" t="s">
        <v>268</v>
      </c>
    </row>
    <row r="9" spans="1:15" x14ac:dyDescent="0.25">
      <c r="A9" s="10" t="s">
        <v>314</v>
      </c>
      <c r="B9" s="30">
        <f>HYPERLINK("https://secure.freee.co.jp/reports/general_ledgers/show?name=%E5%BA%83%E5%91%8A%E5%AE%A3%E4%BC%9D%E8%B2%BB&amp;start_date=2025-03-01&amp;end_date=2025-03-31&amp;fiscal_year_id=9837090",96480)</f>
        <v>96480</v>
      </c>
      <c r="C9" s="30">
        <f>HYPERLINK("https://secure.freee.co.jp/reports/general_ledgers/show?name=%E5%BA%83%E5%91%8A%E5%AE%A3%E4%BC%9D%E8%B2%BB&amp;start_date=2025-04-01&amp;end_date=2025-04-30&amp;fiscal_year_id=9837090",49480)</f>
        <v>49480</v>
      </c>
      <c r="D9" s="33">
        <f>HYPERLINK("https://secure.freee.co.jp/reports/general_ledgers/show?name=%E5%BA%83%E5%91%8A%E5%AE%A3%E4%BC%9D%E8%B2%BB&amp;start_date=2025-05-01&amp;end_date=2025-05-31&amp;fiscal_year_id=9837090",2480)</f>
        <v>2480</v>
      </c>
      <c r="E9" s="33">
        <f>HYPERLINK("https://secure.freee.co.jp/reports/general_ledgers/show?name=%E5%BA%83%E5%91%8A%E5%AE%A3%E4%BC%9D%E8%B2%BB&amp;start_date=2025-06-01&amp;end_date=2025-06-30&amp;fiscal_year_id=9837090",49480)</f>
        <v>49480</v>
      </c>
      <c r="F9" s="33">
        <f>HYPERLINK("https://secure.freee.co.jp/reports/general_ledgers/show?name=%E5%BA%83%E5%91%8A%E5%AE%A3%E4%BC%9D%E8%B2%BB&amp;start_date=2025-07-01&amp;end_date=2025-07-31&amp;fiscal_year_id=9837090",2480)</f>
        <v>2480</v>
      </c>
      <c r="G9" s="30">
        <f>HYPERLINK("https://secure.freee.co.jp/reports/general_ledgers/show?name=%E5%BA%83%E5%91%8A%E5%AE%A3%E4%BC%9D%E8%B2%BB&amp;start_date=2025-08-01&amp;end_date=2025-08-31&amp;fiscal_year_id=9837090",2480)</f>
        <v>2480</v>
      </c>
      <c r="H9" s="30">
        <f>HYPERLINK("https://secure.freee.co.jp/reports/general_ledgers/show?name=%E5%BA%83%E5%91%8A%E5%AE%A3%E4%BC%9D%E8%B2%BB&amp;start_date=2025-09-01&amp;end_date=2025-09-30&amp;fiscal_year_id=9837090",2480)</f>
        <v>2480</v>
      </c>
      <c r="I9" s="30">
        <f>HYPERLINK("https://secure.freee.co.jp/reports/general_ledgers/show?name=%E5%BA%83%E5%91%8A%E5%AE%A3%E4%BC%9D%E8%B2%BB&amp;start_date=2025-10-01&amp;end_date=2025-10-31&amp;fiscal_year_id=9837090",2480)</f>
        <v>2480</v>
      </c>
      <c r="J9" s="30">
        <f>HYPERLINK("https://secure.freee.co.jp/reports/general_ledgers/show?name=%E5%BA%83%E5%91%8A%E5%AE%A3%E4%BC%9D%E8%B2%BB&amp;start_date=2025-11-01&amp;end_date=2025-11-30&amp;fiscal_year_id=9837090",2480)</f>
        <v>2480</v>
      </c>
      <c r="K9" s="30">
        <f>HYPERLINK("https://secure.freee.co.jp/reports/general_ledgers/show?name=%E5%BA%83%E5%91%8A%E5%AE%A3%E4%BC%9D%E8%B2%BB&amp;start_date=2025-12-01&amp;end_date=2025-12-31&amp;fiscal_year_id=9837090",2480)</f>
        <v>2480</v>
      </c>
      <c r="L9" s="30">
        <f>HYPERLINK("https://secure.freee.co.jp/reports/general_ledgers/show?name=%E5%BA%83%E5%91%8A%E5%AE%A3%E4%BC%9D%E8%B2%BB&amp;start_date=2026-01-01&amp;end_date=2026-01-31&amp;fiscal_year_id=9837090",2480)</f>
        <v>2480</v>
      </c>
      <c r="M9" s="36">
        <f>HYPERLINK("https://secure.freee.co.jp/reports/general_ledgers/show?name=%E5%BA%83%E5%91%8A%E5%AE%A3%E4%BC%9D%E8%B2%BB&amp;start_date=2026-02-01&amp;end_date=2026-02-28&amp;fiscal_year_id=9837090",2480)</f>
        <v>2480</v>
      </c>
      <c r="N9" s="37">
        <f>SUM(B9:M9)</f>
        <v>217760</v>
      </c>
      <c r="O9" s="32" t="s">
        <v>268</v>
      </c>
    </row>
    <row r="10" spans="1:15" x14ac:dyDescent="0.25">
      <c r="A10" s="10" t="s">
        <v>315</v>
      </c>
      <c r="B10" s="30">
        <f>HYPERLINK("https://secure.freee.co.jp/reports/general_ledgers/show?name=%E4%BC%9A%E8%AD%B0%E8%B2%BB&amp;start_date=2025-03-01&amp;end_date=2025-03-31&amp;fiscal_year_id=9837090",18000)</f>
        <v>18000</v>
      </c>
      <c r="C10" s="30">
        <f>HYPERLINK("https://secure.freee.co.jp/reports/general_ledgers/show?name=%E4%BC%9A%E8%AD%B0%E8%B2%BB&amp;start_date=2025-04-01&amp;end_date=2025-04-30&amp;fiscal_year_id=9837090",14102)</f>
        <v>14102</v>
      </c>
      <c r="D10" s="30">
        <f>HYPERLINK("https://secure.freee.co.jp/reports/general_ledgers/show?name=%E4%BC%9A%E8%AD%B0%E8%B2%BB&amp;start_date=2025-05-01&amp;end_date=2025-05-31&amp;fiscal_year_id=9837090",11000)</f>
        <v>11000</v>
      </c>
      <c r="E10" s="44">
        <v>0</v>
      </c>
      <c r="F10" s="30">
        <f>HYPERLINK("https://secure.freee.co.jp/reports/general_ledgers/show?name=%E4%BC%9A%E8%AD%B0%E8%B2%BB&amp;start_date=2025-07-01&amp;end_date=2025-07-31&amp;fiscal_year_id=9837090",14967)</f>
        <v>14967</v>
      </c>
      <c r="G10" s="44">
        <v>0</v>
      </c>
      <c r="H10" s="30">
        <f>HYPERLINK("https://secure.freee.co.jp/reports/general_ledgers/show?name=%E4%BC%9A%E8%AD%B0%E8%B2%BB&amp;start_date=2025-09-01&amp;end_date=2025-09-30&amp;fiscal_year_id=9837090",17)</f>
        <v>17</v>
      </c>
      <c r="I10" s="44">
        <v>0</v>
      </c>
      <c r="J10" s="39">
        <v>0</v>
      </c>
      <c r="K10" s="39">
        <v>0</v>
      </c>
      <c r="L10" s="39">
        <v>0</v>
      </c>
      <c r="M10" s="40">
        <v>0</v>
      </c>
      <c r="N10" s="37">
        <f>SUM(B10:M10)</f>
        <v>58086</v>
      </c>
      <c r="O10" s="32" t="s">
        <v>268</v>
      </c>
    </row>
    <row r="11" spans="1:15" x14ac:dyDescent="0.25">
      <c r="A11" s="10" t="s">
        <v>316</v>
      </c>
      <c r="B11" s="30">
        <f>HYPERLINK("https://secure.freee.co.jp/reports/general_ledgers/show?name=%E6%97%85%E8%B2%BB%E4%BA%A4%E9%80%9A%E8%B2%BB&amp;start_date=2025-03-01&amp;end_date=2025-03-31&amp;fiscal_year_id=9837090",39910)</f>
        <v>39910</v>
      </c>
      <c r="C11" s="30">
        <f>HYPERLINK("https://secure.freee.co.jp/reports/general_ledgers/show?name=%E6%97%85%E8%B2%BB%E4%BA%A4%E9%80%9A%E8%B2%BB&amp;start_date=2025-04-01&amp;end_date=2025-04-30&amp;fiscal_year_id=9837090",35460)</f>
        <v>35460</v>
      </c>
      <c r="D11" s="33">
        <f>HYPERLINK("https://secure.freee.co.jp/reports/general_ledgers/show?name=%E6%97%85%E8%B2%BB%E4%BA%A4%E9%80%9A%E8%B2%BB&amp;start_date=2025-05-01&amp;end_date=2025-05-31&amp;fiscal_year_id=9837090",1900)</f>
        <v>1900</v>
      </c>
      <c r="E11" s="44">
        <v>0</v>
      </c>
      <c r="F11" s="30">
        <f>HYPERLINK("https://secure.freee.co.jp/reports/general_ledgers/show?name=%E6%97%85%E8%B2%BB%E4%BA%A4%E9%80%9A%E8%B2%BB&amp;start_date=2025-07-01&amp;end_date=2025-07-31&amp;fiscal_year_id=9837090",33180)</f>
        <v>33180</v>
      </c>
      <c r="G11" s="44">
        <v>0</v>
      </c>
      <c r="H11" s="39">
        <v>0</v>
      </c>
      <c r="I11" s="39">
        <v>0</v>
      </c>
      <c r="J11" s="30">
        <f>HYPERLINK("https://secure.freee.co.jp/reports/general_ledgers/show?name=%E6%97%85%E8%B2%BB%E4%BA%A4%E9%80%9A%E8%B2%BB&amp;start_date=2025-11-01&amp;end_date=2025-11-30&amp;fiscal_year_id=9837090",1700)</f>
        <v>1700</v>
      </c>
      <c r="K11" s="33">
        <f>HYPERLINK("https://secure.freee.co.jp/reports/general_ledgers/show?name=%E6%97%85%E8%B2%BB%E4%BA%A4%E9%80%9A%E8%B2%BB&amp;start_date=2025-12-01&amp;end_date=2025-12-31&amp;fiscal_year_id=9837090",3700)</f>
        <v>3700</v>
      </c>
      <c r="L11" s="30">
        <f>HYPERLINK("https://secure.freee.co.jp/reports/general_ledgers/show?name=%E6%97%85%E8%B2%BB%E4%BA%A4%E9%80%9A%E8%B2%BB&amp;start_date=2026-01-01&amp;end_date=2026-01-31&amp;fiscal_year_id=9837090",2600)</f>
        <v>2600</v>
      </c>
      <c r="M11" s="44">
        <v>0</v>
      </c>
      <c r="N11" s="37">
        <f>SUM(B11:M11)</f>
        <v>118450</v>
      </c>
      <c r="O11" s="32" t="s">
        <v>268</v>
      </c>
    </row>
    <row r="12" spans="1:15" x14ac:dyDescent="0.25">
      <c r="A12" s="10" t="s">
        <v>317</v>
      </c>
      <c r="B12" s="30">
        <f>HYPERLINK("https://secure.freee.co.jp/reports/general_ledgers/show?name=%E9%80%9A%E4%BF%A1%E8%B2%BB&amp;start_date=2025-03-01&amp;end_date=2025-03-31&amp;fiscal_year_id=9837090",64097)</f>
        <v>64097</v>
      </c>
      <c r="C12" s="30">
        <f>HYPERLINK("https://secure.freee.co.jp/reports/general_ledgers/show?name=%E9%80%9A%E4%BF%A1%E8%B2%BB&amp;start_date=2025-04-01&amp;end_date=2025-04-30&amp;fiscal_year_id=9837090",61395)</f>
        <v>61395</v>
      </c>
      <c r="D12" s="30">
        <f>HYPERLINK("https://secure.freee.co.jp/reports/general_ledgers/show?name=%E9%80%9A%E4%BF%A1%E8%B2%BB&amp;start_date=2025-05-01&amp;end_date=2025-05-31&amp;fiscal_year_id=9837090",60963)</f>
        <v>60963</v>
      </c>
      <c r="E12" s="30">
        <f>HYPERLINK("https://secure.freee.co.jp/reports/general_ledgers/show?name=%E9%80%9A%E4%BF%A1%E8%B2%BB&amp;start_date=2025-06-01&amp;end_date=2025-06-30&amp;fiscal_year_id=9837090",55572)</f>
        <v>55572</v>
      </c>
      <c r="F12" s="33">
        <f>HYPERLINK("https://secure.freee.co.jp/reports/general_ledgers/show?name=%E9%80%9A%E4%BF%A1%E8%B2%BB&amp;start_date=2025-07-01&amp;end_date=2025-07-31&amp;fiscal_year_id=9837090",26499)</f>
        <v>26499</v>
      </c>
      <c r="G12" s="30">
        <f>HYPERLINK("https://secure.freee.co.jp/reports/general_ledgers/show?name=%E9%80%9A%E4%BF%A1%E8%B2%BB&amp;start_date=2025-08-01&amp;end_date=2025-08-31&amp;fiscal_year_id=9837090",20600)</f>
        <v>20600</v>
      </c>
      <c r="H12" s="30">
        <f>HYPERLINK("https://secure.freee.co.jp/reports/general_ledgers/show?name=%E9%80%9A%E4%BF%A1%E8%B2%BB&amp;start_date=2025-09-01&amp;end_date=2025-09-30&amp;fiscal_year_id=9837090",20939)</f>
        <v>20939</v>
      </c>
      <c r="I12" s="30">
        <f>HYPERLINK("https://secure.freee.co.jp/reports/general_ledgers/show?name=%E9%80%9A%E4%BF%A1%E8%B2%BB&amp;start_date=2025-10-01&amp;end_date=2025-10-31&amp;fiscal_year_id=9837090",23869)</f>
        <v>23869</v>
      </c>
      <c r="J12" s="30">
        <f>HYPERLINK("https://secure.freee.co.jp/reports/general_ledgers/show?name=%E9%80%9A%E4%BF%A1%E8%B2%BB&amp;start_date=2025-11-01&amp;end_date=2025-11-30&amp;fiscal_year_id=9837090",23427)</f>
        <v>23427</v>
      </c>
      <c r="K12" s="30">
        <f>HYPERLINK("https://secure.freee.co.jp/reports/general_ledgers/show?name=%E9%80%9A%E4%BF%A1%E8%B2%BB&amp;start_date=2025-12-01&amp;end_date=2025-12-31&amp;fiscal_year_id=9837090",23692)</f>
        <v>23692</v>
      </c>
      <c r="L12" s="33">
        <f>HYPERLINK("https://secure.freee.co.jp/reports/general_ledgers/show?name=%E9%80%9A%E4%BF%A1%E8%B2%BB&amp;start_date=2026-01-01&amp;end_date=2026-01-31&amp;fiscal_year_id=9837090",35971)</f>
        <v>35971</v>
      </c>
      <c r="M12" s="36">
        <f>HYPERLINK("https://secure.freee.co.jp/reports/general_ledgers/show?name=%E9%80%9A%E4%BF%A1%E8%B2%BB&amp;start_date=2026-02-01&amp;end_date=2026-02-28&amp;fiscal_year_id=9837090",22946)</f>
        <v>22946</v>
      </c>
      <c r="N12" s="37">
        <f>SUM(B12:M12)</f>
        <v>439970</v>
      </c>
      <c r="O12" s="32" t="s">
        <v>268</v>
      </c>
    </row>
    <row r="13" spans="1:15" x14ac:dyDescent="0.25">
      <c r="A13" s="10" t="s">
        <v>318</v>
      </c>
      <c r="B13" s="30">
        <f>HYPERLINK("https://secure.freee.co.jp/reports/general_ledgers/show?name=%E6%B6%88%E8%80%97%E5%93%81%E8%B2%BB&amp;start_date=2025-03-01&amp;end_date=2025-03-31&amp;fiscal_year_id=9837090",6160)</f>
        <v>6160</v>
      </c>
      <c r="C13" s="44">
        <v>0</v>
      </c>
      <c r="D13" s="30">
        <f>HYPERLINK("https://secure.freee.co.jp/reports/general_ledgers/show?name=%E6%B6%88%E8%80%97%E5%93%81%E8%B2%BB&amp;start_date=2025-05-01&amp;end_date=2025-05-31&amp;fiscal_year_id=9837090",13980)</f>
        <v>13980</v>
      </c>
      <c r="E13" s="30">
        <f>HYPERLINK("https://secure.freee.co.jp/reports/general_ledgers/show?name=%E6%B6%88%E8%80%97%E5%93%81%E8%B2%BB&amp;start_date=2025-06-01&amp;end_date=2025-06-30&amp;fiscal_year_id=9837090",11424)</f>
        <v>11424</v>
      </c>
      <c r="F13" s="44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40">
        <v>0</v>
      </c>
      <c r="N13" s="37">
        <f>SUM(B13:M13)</f>
        <v>31564</v>
      </c>
      <c r="O13" s="32" t="s">
        <v>268</v>
      </c>
    </row>
    <row r="14" spans="1:15" x14ac:dyDescent="0.25">
      <c r="A14" s="10" t="s">
        <v>319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0">
        <f>HYPERLINK("https://secure.freee.co.jp/reports/general_ledgers/show?name=%E4%BF%AE%E7%B9%95%E8%B2%BB&amp;start_date=2025-08-01&amp;end_date=2025-08-31&amp;fiscal_year_id=9837090",389180)</f>
        <v>389180</v>
      </c>
      <c r="H14" s="44">
        <v>0</v>
      </c>
      <c r="I14" s="39">
        <v>0</v>
      </c>
      <c r="J14" s="39">
        <v>0</v>
      </c>
      <c r="K14" s="39">
        <v>0</v>
      </c>
      <c r="L14" s="39">
        <v>0</v>
      </c>
      <c r="M14" s="40">
        <v>0</v>
      </c>
      <c r="N14" s="37">
        <f>SUM(B14:M14)</f>
        <v>389180</v>
      </c>
      <c r="O14" s="32" t="s">
        <v>268</v>
      </c>
    </row>
    <row r="15" spans="1:15" x14ac:dyDescent="0.25">
      <c r="A15" s="10" t="s">
        <v>320</v>
      </c>
      <c r="B15" s="30">
        <f>HYPERLINK("https://secure.freee.co.jp/reports/general_ledgers/show?name=%E6%B0%B4%E9%81%93%E5%85%89%E7%86%B1%E8%B2%BB&amp;start_date=2025-03-01&amp;end_date=2025-03-31&amp;fiscal_year_id=9837090",1611)</f>
        <v>1611</v>
      </c>
      <c r="C15" s="30">
        <f>HYPERLINK("https://secure.freee.co.jp/reports/general_ledgers/show?name=%E6%B0%B4%E9%81%93%E5%85%89%E7%86%B1%E8%B2%BB&amp;start_date=2025-04-01&amp;end_date=2025-04-30&amp;fiscal_year_id=9837090",923)</f>
        <v>923</v>
      </c>
      <c r="D15" s="30">
        <f>HYPERLINK("https://secure.freee.co.jp/reports/general_ledgers/show?name=%E6%B0%B4%E9%81%93%E5%85%89%E7%86%B1%E8%B2%BB&amp;start_date=2025-05-01&amp;end_date=2025-05-31&amp;fiscal_year_id=9837090",859)</f>
        <v>859</v>
      </c>
      <c r="E15" s="30">
        <f>HYPERLINK("https://secure.freee.co.jp/reports/general_ledgers/show?name=%E6%B0%B4%E9%81%93%E5%85%89%E7%86%B1%E8%B2%BB&amp;start_date=2025-06-01&amp;end_date=2025-06-30&amp;fiscal_year_id=9837090",906)</f>
        <v>906</v>
      </c>
      <c r="F15" s="33">
        <f>HYPERLINK("https://secure.freee.co.jp/reports/general_ledgers/show?name=%E6%B0%B4%E9%81%93%E5%85%89%E7%86%B1%E8%B2%BB&amp;start_date=2025-07-01&amp;end_date=2025-07-31&amp;fiscal_year_id=9837090",1571)</f>
        <v>1571</v>
      </c>
      <c r="G15" s="33">
        <f>HYPERLINK("https://secure.freee.co.jp/reports/general_ledgers/show?name=%E6%B0%B4%E9%81%93%E5%85%89%E7%86%B1%E8%B2%BB&amp;start_date=2025-08-01&amp;end_date=2025-08-31&amp;fiscal_year_id=9837090",2413)</f>
        <v>2413</v>
      </c>
      <c r="H15" s="30">
        <f>HYPERLINK("https://secure.freee.co.jp/reports/general_ledgers/show?name=%E6%B0%B4%E9%81%93%E5%85%89%E7%86%B1%E8%B2%BB&amp;start_date=2025-09-01&amp;end_date=2025-09-30&amp;fiscal_year_id=9837090",1337)</f>
        <v>1337</v>
      </c>
      <c r="I15" s="30">
        <f>HYPERLINK("https://secure.freee.co.jp/reports/general_ledgers/show?name=%E6%B0%B4%E9%81%93%E5%85%89%E7%86%B1%E8%B2%BB&amp;start_date=2025-10-01&amp;end_date=2025-10-31&amp;fiscal_year_id=9837090",909)</f>
        <v>909</v>
      </c>
      <c r="J15" s="30">
        <f>HYPERLINK("https://secure.freee.co.jp/reports/general_ledgers/show?name=%E6%B0%B4%E9%81%93%E5%85%89%E7%86%B1%E8%B2%BB&amp;start_date=2025-11-01&amp;end_date=2025-11-30&amp;fiscal_year_id=9837090",1046)</f>
        <v>1046</v>
      </c>
      <c r="K15" s="30">
        <f>HYPERLINK("https://secure.freee.co.jp/reports/general_ledgers/show?name=%E6%B0%B4%E9%81%93%E5%85%89%E7%86%B1%E8%B2%BB&amp;start_date=2025-12-01&amp;end_date=2025-12-31&amp;fiscal_year_id=9837090",1056)</f>
        <v>1056</v>
      </c>
      <c r="L15" s="44">
        <v>0</v>
      </c>
      <c r="M15" s="40">
        <v>0</v>
      </c>
      <c r="N15" s="37">
        <f>SUM(B15:M15)</f>
        <v>12631</v>
      </c>
      <c r="O15" s="32" t="s">
        <v>268</v>
      </c>
    </row>
    <row r="16" spans="1:15" x14ac:dyDescent="0.25">
      <c r="A16" s="10" t="s">
        <v>321</v>
      </c>
      <c r="B16" s="30">
        <f>HYPERLINK("https://secure.freee.co.jp/reports/general_ledgers/show?name=%E8%AB%B8%E4%BC%9A%E8%B2%BB&amp;start_date=2025-03-01&amp;end_date=2025-03-31&amp;fiscal_year_id=9837090",5500)</f>
        <v>5500</v>
      </c>
      <c r="C16" s="33">
        <f>HYPERLINK("https://secure.freee.co.jp/reports/general_ledgers/show?name=%E8%AB%B8%E4%BC%9A%E8%B2%BB&amp;start_date=2025-04-01&amp;end_date=2025-04-30&amp;fiscal_year_id=9837090",25500)</f>
        <v>25500</v>
      </c>
      <c r="D16" s="44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0">
        <f>HYPERLINK("https://secure.freee.co.jp/reports/general_ledgers/show?name=%E8%AB%B8%E4%BC%9A%E8%B2%BB&amp;start_date=2025-12-01&amp;end_date=2025-12-31&amp;fiscal_year_id=9837090",36300)</f>
        <v>36300</v>
      </c>
      <c r="L16" s="33">
        <f>HYPERLINK("https://secure.freee.co.jp/reports/general_ledgers/show?name=%E8%AB%B8%E4%BC%9A%E8%B2%BB&amp;start_date=2026-01-01&amp;end_date=2026-01-31&amp;fiscal_year_id=9837090",14980)</f>
        <v>14980</v>
      </c>
      <c r="M16" s="44">
        <v>0</v>
      </c>
      <c r="N16" s="37">
        <f>SUM(B16:M16)</f>
        <v>82280</v>
      </c>
      <c r="O16" s="32" t="s">
        <v>268</v>
      </c>
    </row>
    <row r="17" spans="1:15" x14ac:dyDescent="0.25">
      <c r="A17" s="10" t="s">
        <v>322</v>
      </c>
      <c r="B17" s="30">
        <f>HYPERLINK("https://secure.freee.co.jp/reports/general_ledgers/show?name=%E6%94%AF%E6%89%95%E6%89%8B%E6%95%B0%E6%96%99&amp;start_date=2025-03-01&amp;end_date=2025-03-31&amp;fiscal_year_id=9837090",67543)</f>
        <v>67543</v>
      </c>
      <c r="C17" s="33">
        <f>HYPERLINK("https://secure.freee.co.jp/reports/general_ledgers/show?name=%E6%94%AF%E6%89%95%E6%89%8B%E6%95%B0%E6%96%99&amp;start_date=2025-04-01&amp;end_date=2025-04-30&amp;fiscal_year_id=9837090",260235)</f>
        <v>260235</v>
      </c>
      <c r="D17" s="30">
        <f>HYPERLINK("https://secure.freee.co.jp/reports/general_ledgers/show?name=%E6%94%AF%E6%89%95%E6%89%8B%E6%95%B0%E6%96%99&amp;start_date=2025-05-01&amp;end_date=2025-05-31&amp;fiscal_year_id=9837090",212353)</f>
        <v>212353</v>
      </c>
      <c r="E17" s="33">
        <f>HYPERLINK("https://secure.freee.co.jp/reports/general_ledgers/show?name=%E6%94%AF%E6%89%95%E6%89%8B%E6%95%B0%E6%96%99&amp;start_date=2025-06-01&amp;end_date=2025-06-30&amp;fiscal_year_id=9837090",16724)</f>
        <v>16724</v>
      </c>
      <c r="F17" s="33">
        <f>HYPERLINK("https://secure.freee.co.jp/reports/general_ledgers/show?name=%E6%94%AF%E6%89%95%E6%89%8B%E6%95%B0%E6%96%99&amp;start_date=2025-07-01&amp;end_date=2025-07-31&amp;fiscal_year_id=9837090",55492)</f>
        <v>55492</v>
      </c>
      <c r="G17" s="30">
        <f>HYPERLINK("https://secure.freee.co.jp/reports/general_ledgers/show?name=%E6%94%AF%E6%89%95%E6%89%8B%E6%95%B0%E6%96%99&amp;start_date=2025-08-01&amp;end_date=2025-08-31&amp;fiscal_year_id=9837090",35611)</f>
        <v>35611</v>
      </c>
      <c r="H17" s="30">
        <f>HYPERLINK("https://secure.freee.co.jp/reports/general_ledgers/show?name=%E6%94%AF%E6%89%95%E6%89%8B%E6%95%B0%E6%96%99&amp;start_date=2025-09-01&amp;end_date=2025-09-30&amp;fiscal_year_id=9837090",34980)</f>
        <v>34980</v>
      </c>
      <c r="I17" s="30">
        <f>HYPERLINK("https://secure.freee.co.jp/reports/general_ledgers/show?name=%E6%94%AF%E6%89%95%E6%89%8B%E6%95%B0%E6%96%99&amp;start_date=2025-10-01&amp;end_date=2025-10-31&amp;fiscal_year_id=9837090",35442)</f>
        <v>35442</v>
      </c>
      <c r="J17" s="30">
        <f>HYPERLINK("https://secure.freee.co.jp/reports/general_ledgers/show?name=%E6%94%AF%E6%89%95%E6%89%8B%E6%95%B0%E6%96%99&amp;start_date=2025-11-01&amp;end_date=2025-11-30&amp;fiscal_year_id=9837090",34650)</f>
        <v>34650</v>
      </c>
      <c r="K17" s="30">
        <f>HYPERLINK("https://secure.freee.co.jp/reports/general_ledgers/show?name=%E6%94%AF%E6%89%95%E6%89%8B%E6%95%B0%E6%96%99&amp;start_date=2025-12-01&amp;end_date=2025-12-31&amp;fiscal_year_id=9837090",34941)</f>
        <v>34941</v>
      </c>
      <c r="L17" s="30">
        <f>HYPERLINK("https://secure.freee.co.jp/reports/general_ledgers/show?name=%E6%94%AF%E6%89%95%E6%89%8B%E6%95%B0%E6%96%99&amp;start_date=2026-01-01&amp;end_date=2026-01-31&amp;fiscal_year_id=9837090",34855)</f>
        <v>34855</v>
      </c>
      <c r="M17" s="33">
        <f>HYPERLINK("https://secure.freee.co.jp/reports/general_ledgers/show?name=%E6%94%AF%E6%89%95%E6%89%8B%E6%95%B0%E6%96%99&amp;start_date=2026-02-01&amp;end_date=2026-02-28&amp;fiscal_year_id=9837090",220726)</f>
        <v>220726</v>
      </c>
      <c r="N17" s="37">
        <f>SUM(B17:M17)</f>
        <v>1043552</v>
      </c>
      <c r="O17" s="32" t="s">
        <v>268</v>
      </c>
    </row>
    <row r="18" spans="1:15" x14ac:dyDescent="0.25">
      <c r="A18" s="10" t="s">
        <v>323</v>
      </c>
      <c r="B18" s="30">
        <f>HYPERLINK("https://secure.freee.co.jp/reports/general_ledgers/show?name=%E5%9C%B0%E4%BB%A3%E5%AE%B6%E8%B3%83&amp;start_date=2025-03-01&amp;end_date=2025-03-31&amp;fiscal_year_id=9837090",161710)</f>
        <v>161710</v>
      </c>
      <c r="C18" s="33">
        <f>HYPERLINK("https://secure.freee.co.jp/reports/general_ledgers/show?name=%E5%9C%B0%E4%BB%A3%E5%AE%B6%E8%B3%83&amp;start_date=2025-04-01&amp;end_date=2025-04-30&amp;fiscal_year_id=9837090",700812)</f>
        <v>700812</v>
      </c>
      <c r="D18" s="33">
        <f>HYPERLINK("https://secure.freee.co.jp/reports/general_ledgers/show?name=%E5%9C%B0%E4%BB%A3%E5%AE%B6%E8%B3%83&amp;start_date=2025-05-01&amp;end_date=2025-05-31&amp;fiscal_year_id=9837090",32786)</f>
        <v>32786</v>
      </c>
      <c r="E18" s="33">
        <f>HYPERLINK("https://secure.freee.co.jp/reports/general_ledgers/show?name=%E5%9C%B0%E4%BB%A3%E5%AE%B6%E8%B3%83&amp;start_date=2025-06-01&amp;end_date=2025-06-30&amp;fiscal_year_id=9837090",202024)</f>
        <v>202024</v>
      </c>
      <c r="F18" s="30">
        <f>HYPERLINK("https://secure.freee.co.jp/reports/general_ledgers/show?name=%E5%9C%B0%E4%BB%A3%E5%AE%B6%E8%B3%83&amp;start_date=2025-07-01&amp;end_date=2025-07-31&amp;fiscal_year_id=9837090",200852)</f>
        <v>200852</v>
      </c>
      <c r="G18" s="30">
        <f>HYPERLINK("https://secure.freee.co.jp/reports/general_ledgers/show?name=%E5%9C%B0%E4%BB%A3%E5%AE%B6%E8%B3%83&amp;start_date=2025-08-01&amp;end_date=2025-08-31&amp;fiscal_year_id=9837090",143133)</f>
        <v>143133</v>
      </c>
      <c r="H18" s="30">
        <f>HYPERLINK("https://secure.freee.co.jp/reports/general_ledgers/show?name=%E5%9C%B0%E4%BB%A3%E5%AE%B6%E8%B3%83&amp;start_date=2025-09-01&amp;end_date=2025-09-30&amp;fiscal_year_id=9837090",200764)</f>
        <v>200764</v>
      </c>
      <c r="I18" s="30">
        <f>HYPERLINK("https://secure.freee.co.jp/reports/general_ledgers/show?name=%E5%9C%B0%E4%BB%A3%E5%AE%B6%E8%B3%83&amp;start_date=2025-10-01&amp;end_date=2025-10-31&amp;fiscal_year_id=9837090",200786)</f>
        <v>200786</v>
      </c>
      <c r="J18" s="30">
        <f>HYPERLINK("https://secure.freee.co.jp/reports/general_ledgers/show?name=%E5%9C%B0%E4%BB%A3%E5%AE%B6%E8%B3%83&amp;start_date=2025-11-01&amp;end_date=2025-11-30&amp;fiscal_year_id=9837090",199774)</f>
        <v>199774</v>
      </c>
      <c r="K18" s="30">
        <f>HYPERLINK("https://secure.freee.co.jp/reports/general_ledgers/show?name=%E5%9C%B0%E4%BB%A3%E5%AE%B6%E8%B3%83&amp;start_date=2025-12-01&amp;end_date=2025-12-31&amp;fiscal_year_id=9837090",200159)</f>
        <v>200159</v>
      </c>
      <c r="L18" s="30">
        <f>HYPERLINK("https://secure.freee.co.jp/reports/general_ledgers/show?name=%E5%9C%B0%E4%BB%A3%E5%AE%B6%E8%B3%83&amp;start_date=2026-01-01&amp;end_date=2026-01-31&amp;fiscal_year_id=9837090",199147)</f>
        <v>199147</v>
      </c>
      <c r="M18" s="36">
        <f>HYPERLINK("https://secure.freee.co.jp/reports/general_ledgers/show?name=%E5%9C%B0%E4%BB%A3%E5%AE%B6%E8%B3%83&amp;start_date=2026-02-01&amp;end_date=2026-02-28&amp;fiscal_year_id=9837090",162178)</f>
        <v>162178</v>
      </c>
      <c r="N18" s="37">
        <f>SUM(B18:M18)</f>
        <v>2604125</v>
      </c>
      <c r="O18" s="32" t="s">
        <v>268</v>
      </c>
    </row>
    <row r="19" spans="1:15" x14ac:dyDescent="0.25">
      <c r="A19" s="10" t="s">
        <v>324</v>
      </c>
      <c r="B19" s="39">
        <v>0</v>
      </c>
      <c r="C19" s="30">
        <f>HYPERLINK("https://secure.freee.co.jp/reports/general_ledgers/show?name=%E4%BF%9D%E9%99%BA%E6%96%99&amp;start_date=2025-04-01&amp;end_date=2025-04-30&amp;fiscal_year_id=9837090",24000)</f>
        <v>24000</v>
      </c>
      <c r="D19" s="44">
        <v>0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40">
        <v>0</v>
      </c>
      <c r="N19" s="37">
        <f>SUM(B19:M19)</f>
        <v>24000</v>
      </c>
      <c r="O19" s="32" t="s">
        <v>268</v>
      </c>
    </row>
    <row r="20" spans="1:15" x14ac:dyDescent="0.25">
      <c r="A20" s="10" t="s">
        <v>325</v>
      </c>
      <c r="B20" s="30">
        <f>HYPERLINK("https://secure.freee.co.jp/reports/general_ledgers/show?name=%E7%A0%94%E4%BF%AE%E8%B2%BB&amp;start_date=2025-03-01&amp;end_date=2025-03-31&amp;fiscal_year_id=9837090",307943)</f>
        <v>307943</v>
      </c>
      <c r="C20" s="33">
        <f>HYPERLINK("https://secure.freee.co.jp/reports/general_ledgers/show?name=%E7%A0%94%E4%BF%AE%E8%B2%BB&amp;start_date=2025-04-01&amp;end_date=2025-04-30&amp;fiscal_year_id=9837090",1291583)</f>
        <v>1291583</v>
      </c>
      <c r="D20" s="33">
        <f>HYPERLINK("https://secure.freee.co.jp/reports/general_ledgers/show?name=%E7%A0%94%E4%BF%AE%E8%B2%BB&amp;start_date=2025-05-01&amp;end_date=2025-05-31&amp;fiscal_year_id=9837090",78194)</f>
        <v>78194</v>
      </c>
      <c r="E20" s="30">
        <f>HYPERLINK("https://secure.freee.co.jp/reports/general_ledgers/show?name=%E7%A0%94%E4%BF%AE%E8%B2%BB&amp;start_date=2025-06-01&amp;end_date=2025-06-30&amp;fiscal_year_id=9837090",72194)</f>
        <v>72194</v>
      </c>
      <c r="F20" s="30">
        <f>HYPERLINK("https://secure.freee.co.jp/reports/general_ledgers/show?name=%E7%A0%94%E4%BF%AE%E8%B2%BB&amp;start_date=2025-07-01&amp;end_date=2025-07-31&amp;fiscal_year_id=9837090",72194)</f>
        <v>72194</v>
      </c>
      <c r="G20" s="30">
        <f>HYPERLINK("https://secure.freee.co.jp/reports/general_ledgers/show?name=%E7%A0%94%E4%BF%AE%E8%B2%BB&amp;start_date=2025-08-01&amp;end_date=2025-08-31&amp;fiscal_year_id=9837090",72194)</f>
        <v>72194</v>
      </c>
      <c r="H20" s="30">
        <f>HYPERLINK("https://secure.freee.co.jp/reports/general_ledgers/show?name=%E7%A0%94%E4%BF%AE%E8%B2%BB&amp;start_date=2025-09-01&amp;end_date=2025-09-30&amp;fiscal_year_id=9837090",72194)</f>
        <v>72194</v>
      </c>
      <c r="I20" s="33">
        <f>HYPERLINK("https://secure.freee.co.jp/reports/general_ledgers/show?name=%E7%A0%94%E4%BF%AE%E8%B2%BB&amp;start_date=2025-10-01&amp;end_date=2025-10-31&amp;fiscal_year_id=9837090",134611)</f>
        <v>134611</v>
      </c>
      <c r="J20" s="33">
        <f>HYPERLINK("https://secure.freee.co.jp/reports/general_ledgers/show?name=%E7%A0%94%E4%BF%AE%E8%B2%BB&amp;start_date=2025-11-01&amp;end_date=2025-11-30&amp;fiscal_year_id=9837090",9777)</f>
        <v>9777</v>
      </c>
      <c r="K20" s="30">
        <f>HYPERLINK("https://secure.freee.co.jp/reports/general_ledgers/show?name=%E7%A0%94%E4%BF%AE%E8%B2%BB&amp;start_date=2025-12-01&amp;end_date=2025-12-31&amp;fiscal_year_id=9837090",9777)</f>
        <v>9777</v>
      </c>
      <c r="L20" s="30">
        <f>HYPERLINK("https://secure.freee.co.jp/reports/general_ledgers/show?name=%E7%A0%94%E4%BF%AE%E8%B2%BB&amp;start_date=2026-01-01&amp;end_date=2026-01-31&amp;fiscal_year_id=9837090",9777)</f>
        <v>9777</v>
      </c>
      <c r="M20" s="36">
        <f>HYPERLINK("https://secure.freee.co.jp/reports/general_ledgers/show?name=%E7%A0%94%E4%BF%AE%E8%B2%BB&amp;start_date=2026-02-01&amp;end_date=2026-02-28&amp;fiscal_year_id=9837090",9784)</f>
        <v>9784</v>
      </c>
      <c r="N20" s="37">
        <f>SUM(B20:M20)</f>
        <v>2140222</v>
      </c>
      <c r="O20" s="32" t="s">
        <v>268</v>
      </c>
    </row>
    <row r="21" spans="1:15" x14ac:dyDescent="0.25">
      <c r="A21" s="10" t="s">
        <v>326</v>
      </c>
      <c r="B21" s="39">
        <v>0</v>
      </c>
      <c r="C21" s="39">
        <v>0</v>
      </c>
      <c r="D21" s="39">
        <v>0</v>
      </c>
      <c r="E21" s="39">
        <v>0</v>
      </c>
      <c r="F21" s="39">
        <v>0</v>
      </c>
      <c r="G21" s="39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6">
        <f>HYPERLINK("https://secure.freee.co.jp/reports/general_ledgers/show?name=%E7%A7%9F%E7%A8%8E%E5%85%AC%E8%AA%B2&amp;start_date=2026-02-01&amp;end_date=2026-02-28&amp;fiscal_year_id=9837090",41000)</f>
        <v>41000</v>
      </c>
      <c r="N21" s="37">
        <f>SUM(B21:M21)</f>
        <v>41000</v>
      </c>
      <c r="O21" s="32" t="s">
        <v>268</v>
      </c>
    </row>
    <row r="22" spans="1:15" x14ac:dyDescent="0.25">
      <c r="A22" s="10" t="s">
        <v>327</v>
      </c>
      <c r="B22" s="39">
        <v>0</v>
      </c>
      <c r="C22" s="39">
        <v>0</v>
      </c>
      <c r="D22" s="39">
        <v>0</v>
      </c>
      <c r="E22" s="30">
        <f>HYPERLINK("https://secure.freee.co.jp/reports/general_ledgers/show?name=%E6%B8%9B%E4%BE%A1%E5%84%9F%E5%8D%B4%E8%B2%BB&amp;start_date=2025-06-01&amp;end_date=2025-06-30&amp;fiscal_year_id=9837090",16592)</f>
        <v>16592</v>
      </c>
      <c r="F22" s="30">
        <f>HYPERLINK("https://secure.freee.co.jp/reports/general_ledgers/show?name=%E6%B8%9B%E4%BE%A1%E5%84%9F%E5%8D%B4%E8%B2%BB&amp;start_date=2025-07-01&amp;end_date=2025-07-31&amp;fiscal_year_id=9837090",16592)</f>
        <v>16592</v>
      </c>
      <c r="G22" s="30">
        <f>HYPERLINK("https://secure.freee.co.jp/reports/general_ledgers/show?name=%E6%B8%9B%E4%BE%A1%E5%84%9F%E5%8D%B4%E8%B2%BB&amp;start_date=2025-08-01&amp;end_date=2025-08-31&amp;fiscal_year_id=9837090",16592)</f>
        <v>16592</v>
      </c>
      <c r="H22" s="30">
        <f>HYPERLINK("https://secure.freee.co.jp/reports/general_ledgers/show?name=%E6%B8%9B%E4%BE%A1%E5%84%9F%E5%8D%B4%E8%B2%BB&amp;start_date=2025-09-01&amp;end_date=2025-09-30&amp;fiscal_year_id=9837090",16592)</f>
        <v>16592</v>
      </c>
      <c r="I22" s="30">
        <f>HYPERLINK("https://secure.freee.co.jp/reports/general_ledgers/show?name=%E6%B8%9B%E4%BE%A1%E5%84%9F%E5%8D%B4%E8%B2%BB&amp;start_date=2025-10-01&amp;end_date=2025-10-31&amp;fiscal_year_id=9837090",16592)</f>
        <v>16592</v>
      </c>
      <c r="J22" s="30">
        <f>HYPERLINK("https://secure.freee.co.jp/reports/general_ledgers/show?name=%E6%B8%9B%E4%BE%A1%E5%84%9F%E5%8D%B4%E8%B2%BB&amp;start_date=2025-11-01&amp;end_date=2025-11-30&amp;fiscal_year_id=9837090",16592)</f>
        <v>16592</v>
      </c>
      <c r="K22" s="30">
        <f>HYPERLINK("https://secure.freee.co.jp/reports/general_ledgers/show?name=%E6%B8%9B%E4%BE%A1%E5%84%9F%E5%8D%B4%E8%B2%BB&amp;start_date=2025-12-01&amp;end_date=2025-12-31&amp;fiscal_year_id=9837090",16592)</f>
        <v>16592</v>
      </c>
      <c r="L22" s="30">
        <f>HYPERLINK("https://secure.freee.co.jp/reports/general_ledgers/show?name=%E6%B8%9B%E4%BE%A1%E5%84%9F%E5%8D%B4%E8%B2%BB&amp;start_date=2026-01-01&amp;end_date=2026-01-31&amp;fiscal_year_id=9837090",16592)</f>
        <v>16592</v>
      </c>
      <c r="M22" s="36">
        <f>HYPERLINK("https://secure.freee.co.jp/reports/general_ledgers/show?name=%E6%B8%9B%E4%BE%A1%E5%84%9F%E5%8D%B4%E8%B2%BB&amp;start_date=2026-02-01&amp;end_date=2026-02-28&amp;fiscal_year_id=9837090",16592)</f>
        <v>16592</v>
      </c>
      <c r="N22" s="37">
        <f>SUM(B22:M22)</f>
        <v>149328</v>
      </c>
      <c r="O22" s="32" t="s">
        <v>268</v>
      </c>
    </row>
    <row r="23" spans="1:15" x14ac:dyDescent="0.25">
      <c r="A23" s="41" t="s">
        <v>328</v>
      </c>
      <c r="B23" s="42">
        <v>802780</v>
      </c>
      <c r="C23" s="42">
        <v>2517593</v>
      </c>
      <c r="D23" s="42">
        <v>455741</v>
      </c>
      <c r="E23" s="42">
        <v>461049</v>
      </c>
      <c r="F23" s="42">
        <v>460125</v>
      </c>
      <c r="G23" s="42">
        <v>682203</v>
      </c>
      <c r="H23" s="42">
        <v>349303</v>
      </c>
      <c r="I23" s="42">
        <v>414689</v>
      </c>
      <c r="J23" s="42">
        <v>289446</v>
      </c>
      <c r="K23" s="42">
        <v>328697</v>
      </c>
      <c r="L23" s="42">
        <v>316402</v>
      </c>
      <c r="M23" s="42">
        <v>475706</v>
      </c>
      <c r="N23" s="42">
        <f>SUM(B23:M23)</f>
        <v>7553734</v>
      </c>
      <c r="O23" s="43"/>
    </row>
    <row r="24" spans="1:15" x14ac:dyDescent="0.25">
      <c r="A24" s="41" t="s">
        <v>329</v>
      </c>
      <c r="B24" s="42">
        <v>-281806</v>
      </c>
      <c r="C24" s="42">
        <v>-2017258</v>
      </c>
      <c r="D24" s="42">
        <v>97627</v>
      </c>
      <c r="E24" s="42">
        <v>-121206</v>
      </c>
      <c r="F24" s="42">
        <v>-212019</v>
      </c>
      <c r="G24" s="42">
        <v>-460308</v>
      </c>
      <c r="H24" s="42">
        <v>-64505</v>
      </c>
      <c r="I24" s="42">
        <v>-164411</v>
      </c>
      <c r="J24" s="42">
        <v>-13903</v>
      </c>
      <c r="K24" s="42">
        <v>-938</v>
      </c>
      <c r="L24" s="42">
        <v>-238674</v>
      </c>
      <c r="M24" s="42">
        <v>-405298</v>
      </c>
      <c r="N24" s="42">
        <f>SUM(B24:M24)</f>
        <v>-3882699</v>
      </c>
      <c r="O24" s="43"/>
    </row>
    <row r="25" spans="1:15" x14ac:dyDescent="0.25">
      <c r="A25" s="10" t="s">
        <v>330</v>
      </c>
      <c r="B25" s="30">
        <f>HYPERLINK("https://secure.freee.co.jp/reports/general_ledgers/show?name=%E5%8F%97%E5%8F%96%E5%88%A9%E6%81%AF&amp;start_date=2025-03-01&amp;end_date=2025-03-31&amp;fiscal_year_id=9837090",327)</f>
        <v>327</v>
      </c>
      <c r="C25" s="30">
        <f>HYPERLINK("https://secure.freee.co.jp/reports/general_ledgers/show?name=%E5%8F%97%E5%8F%96%E5%88%A9%E6%81%AF&amp;start_date=2025-04-01&amp;end_date=2025-04-30&amp;fiscal_year_id=9837090",468)</f>
        <v>468</v>
      </c>
      <c r="D25" s="30">
        <f>HYPERLINK("https://secure.freee.co.jp/reports/general_ledgers/show?name=%E5%8F%97%E5%8F%96%E5%88%A9%E6%81%AF&amp;start_date=2025-05-01&amp;end_date=2025-05-31&amp;fiscal_year_id=9837090",693)</f>
        <v>693</v>
      </c>
      <c r="E25" s="33">
        <f>HYPERLINK("https://secure.freee.co.jp/reports/general_ledgers/show?name=%E5%8F%97%E5%8F%96%E5%88%A9%E6%81%AF&amp;start_date=2025-06-01&amp;end_date=2025-06-30&amp;fiscal_year_id=9837090",249)</f>
        <v>249</v>
      </c>
      <c r="F25" s="33">
        <f>HYPERLINK("https://secure.freee.co.jp/reports/general_ledgers/show?name=%E5%8F%97%E5%8F%96%E5%88%A9%E6%81%AF&amp;start_date=2025-07-01&amp;end_date=2025-07-31&amp;fiscal_year_id=9837090",436)</f>
        <v>436</v>
      </c>
      <c r="G25" s="30">
        <f>HYPERLINK("https://secure.freee.co.jp/reports/general_ledgers/show?name=%E5%8F%97%E5%8F%96%E5%88%A9%E6%81%AF&amp;start_date=2025-08-01&amp;end_date=2025-08-31&amp;fiscal_year_id=9837090",388)</f>
        <v>388</v>
      </c>
      <c r="H25" s="44">
        <v>0</v>
      </c>
      <c r="I25" s="39">
        <v>0</v>
      </c>
      <c r="J25" s="39">
        <v>0</v>
      </c>
      <c r="K25" s="39">
        <v>0</v>
      </c>
      <c r="L25" s="39">
        <v>0</v>
      </c>
      <c r="M25" s="36">
        <f>HYPERLINK("https://secure.freee.co.jp/reports/general_ledgers/show?name=%E5%8F%97%E5%8F%96%E5%88%A9%E6%81%AF&amp;start_date=2026-02-01&amp;end_date=2026-02-28&amp;fiscal_year_id=9837090",1935)</f>
        <v>1935</v>
      </c>
      <c r="N25" s="37">
        <f>SUM(B25:M25)</f>
        <v>4496</v>
      </c>
      <c r="O25" s="32" t="s">
        <v>268</v>
      </c>
    </row>
    <row r="26" spans="1:15" x14ac:dyDescent="0.25">
      <c r="A26" s="10" t="s">
        <v>331</v>
      </c>
      <c r="B26" s="30">
        <f>HYPERLINK("https://secure.freee.co.jp/reports/general_ledgers/show?name=%E9%9B%91%E5%8F%8E%E5%85%A5&amp;start_date=2025-03-01&amp;end_date=2025-03-31&amp;fiscal_year_id=9837090",15405)</f>
        <v>15405</v>
      </c>
      <c r="C26" s="30">
        <f>HYPERLINK("https://secure.freee.co.jp/reports/general_ledgers/show?name=%E9%9B%91%E5%8F%8E%E5%85%A5&amp;start_date=2025-04-01&amp;end_date=2025-04-30&amp;fiscal_year_id=9837090",15405)</f>
        <v>15405</v>
      </c>
      <c r="D26" s="33">
        <f>HYPERLINK("https://secure.freee.co.jp/reports/general_ledgers/show?name=%E9%9B%91%E5%8F%8E%E5%85%A5&amp;start_date=2025-05-01&amp;end_date=2025-05-31&amp;fiscal_year_id=9837090",52900)</f>
        <v>52900</v>
      </c>
      <c r="E26" s="33">
        <f>HYPERLINK("https://secure.freee.co.jp/reports/general_ledgers/show?name=%E9%9B%91%E5%8F%8E%E5%85%A5&amp;start_date=2025-06-01&amp;end_date=2025-06-30&amp;fiscal_year_id=9837090",103850)</f>
        <v>103850</v>
      </c>
      <c r="F26" s="30">
        <f>HYPERLINK("https://secure.freee.co.jp/reports/general_ledgers/show?name=%E9%9B%91%E5%8F%8E%E5%85%A5&amp;start_date=2025-07-01&amp;end_date=2025-07-31&amp;fiscal_year_id=9837090",52900)</f>
        <v>52900</v>
      </c>
      <c r="G26" s="30">
        <f>HYPERLINK("https://secure.freee.co.jp/reports/general_ledgers/show?name=%E9%9B%91%E5%8F%8E%E5%85%A5&amp;start_date=2025-08-01&amp;end_date=2025-08-31&amp;fiscal_year_id=9837090",52900)</f>
        <v>52900</v>
      </c>
      <c r="H26" s="30">
        <f>HYPERLINK("https://secure.freee.co.jp/reports/general_ledgers/show?name=%E9%9B%91%E5%8F%8E%E5%85%A5&amp;start_date=2025-09-01&amp;end_date=2025-09-30&amp;fiscal_year_id=9837090",52900)</f>
        <v>52900</v>
      </c>
      <c r="I26" s="30">
        <f>HYPERLINK("https://secure.freee.co.jp/reports/general_ledgers/show?name=%E9%9B%91%E5%8F%8E%E5%85%A5&amp;start_date=2025-10-01&amp;end_date=2025-10-31&amp;fiscal_year_id=9837090",52900)</f>
        <v>52900</v>
      </c>
      <c r="J26" s="30">
        <f>HYPERLINK("https://secure.freee.co.jp/reports/general_ledgers/show?name=%E9%9B%91%E5%8F%8E%E5%85%A5&amp;start_date=2025-11-01&amp;end_date=2025-11-30&amp;fiscal_year_id=9837090",52900)</f>
        <v>52900</v>
      </c>
      <c r="K26" s="30">
        <f>HYPERLINK("https://secure.freee.co.jp/reports/general_ledgers/show?name=%E9%9B%91%E5%8F%8E%E5%85%A5&amp;start_date=2025-12-01&amp;end_date=2025-12-31&amp;fiscal_year_id=9837090",52900)</f>
        <v>52900</v>
      </c>
      <c r="L26" s="30">
        <f>HYPERLINK("https://secure.freee.co.jp/reports/general_ledgers/show?name=%E9%9B%91%E5%8F%8E%E5%85%A5&amp;start_date=2026-01-01&amp;end_date=2026-01-31&amp;fiscal_year_id=9837090",52900)</f>
        <v>52900</v>
      </c>
      <c r="M26" s="36">
        <f>HYPERLINK("https://secure.freee.co.jp/reports/general_ledgers/show?name=%E9%9B%91%E5%8F%8E%E5%85%A5&amp;start_date=2026-02-01&amp;end_date=2026-02-28&amp;fiscal_year_id=9837090",52900)</f>
        <v>52900</v>
      </c>
      <c r="N26" s="37">
        <f>SUM(B26:M26)</f>
        <v>610760</v>
      </c>
      <c r="O26" s="32" t="s">
        <v>268</v>
      </c>
    </row>
    <row r="27" spans="1:15" x14ac:dyDescent="0.25">
      <c r="A27" s="10" t="s">
        <v>332</v>
      </c>
      <c r="B27" s="30">
        <v>15732</v>
      </c>
      <c r="C27" s="30">
        <v>15873</v>
      </c>
      <c r="D27" s="30">
        <v>53593</v>
      </c>
      <c r="E27" s="30">
        <v>104099</v>
      </c>
      <c r="F27" s="30">
        <v>53336</v>
      </c>
      <c r="G27" s="30">
        <v>53288</v>
      </c>
      <c r="H27" s="30">
        <v>52900</v>
      </c>
      <c r="I27" s="30">
        <v>52900</v>
      </c>
      <c r="J27" s="30">
        <v>52900</v>
      </c>
      <c r="K27" s="30">
        <v>52900</v>
      </c>
      <c r="L27" s="30">
        <v>52900</v>
      </c>
      <c r="M27" s="36">
        <v>54835</v>
      </c>
      <c r="N27" s="37">
        <f>SUM(B27:M27)</f>
        <v>615256</v>
      </c>
      <c r="O27" s="38"/>
    </row>
    <row r="28" spans="1:15" x14ac:dyDescent="0.25">
      <c r="A28" s="10" t="s">
        <v>333</v>
      </c>
      <c r="B28" s="39">
        <v>0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40">
        <v>0</v>
      </c>
      <c r="N28" s="37">
        <f>SUM(B28:M28)</f>
        <v>0</v>
      </c>
      <c r="O28" s="38"/>
    </row>
    <row r="29" spans="1:15" x14ac:dyDescent="0.25">
      <c r="A29" s="41" t="s">
        <v>334</v>
      </c>
      <c r="B29" s="42">
        <v>-266074</v>
      </c>
      <c r="C29" s="42">
        <v>-2001385</v>
      </c>
      <c r="D29" s="42">
        <v>151220</v>
      </c>
      <c r="E29" s="42">
        <v>-17107</v>
      </c>
      <c r="F29" s="42">
        <v>-158683</v>
      </c>
      <c r="G29" s="42">
        <v>-407020</v>
      </c>
      <c r="H29" s="42">
        <v>-11605</v>
      </c>
      <c r="I29" s="42">
        <v>-111511</v>
      </c>
      <c r="J29" s="42">
        <v>38997</v>
      </c>
      <c r="K29" s="42">
        <v>51962</v>
      </c>
      <c r="L29" s="42">
        <v>-185774</v>
      </c>
      <c r="M29" s="42">
        <v>-350463</v>
      </c>
      <c r="N29" s="42">
        <f>SUM(B29:M29)</f>
        <v>-3267443</v>
      </c>
      <c r="O29" s="43"/>
    </row>
    <row r="30" spans="1:15" x14ac:dyDescent="0.25">
      <c r="A30" s="10" t="s">
        <v>335</v>
      </c>
      <c r="B30" s="39">
        <v>0</v>
      </c>
      <c r="C30" s="39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39">
        <v>0</v>
      </c>
      <c r="M30" s="40">
        <v>0</v>
      </c>
      <c r="N30" s="37">
        <f>SUM(B30:M30)</f>
        <v>0</v>
      </c>
      <c r="O30" s="38"/>
    </row>
    <row r="31" spans="1:15" x14ac:dyDescent="0.25">
      <c r="A31" s="10" t="s">
        <v>336</v>
      </c>
      <c r="B31" s="39">
        <v>0</v>
      </c>
      <c r="C31" s="39">
        <v>0</v>
      </c>
      <c r="D31" s="39">
        <v>0</v>
      </c>
      <c r="E31" s="39">
        <v>0</v>
      </c>
      <c r="F31" s="39">
        <v>0</v>
      </c>
      <c r="G31" s="39">
        <v>0</v>
      </c>
      <c r="H31" s="39">
        <v>0</v>
      </c>
      <c r="I31" s="39">
        <v>0</v>
      </c>
      <c r="J31" s="39">
        <v>0</v>
      </c>
      <c r="K31" s="39">
        <v>0</v>
      </c>
      <c r="L31" s="39">
        <v>0</v>
      </c>
      <c r="M31" s="40">
        <v>0</v>
      </c>
      <c r="N31" s="37">
        <f>SUM(B31:M31)</f>
        <v>0</v>
      </c>
      <c r="O31" s="38"/>
    </row>
    <row r="32" spans="1:15" x14ac:dyDescent="0.25">
      <c r="A32" s="41" t="s">
        <v>337</v>
      </c>
      <c r="B32" s="42">
        <v>-266074</v>
      </c>
      <c r="C32" s="42">
        <v>-2001385</v>
      </c>
      <c r="D32" s="42">
        <v>151220</v>
      </c>
      <c r="E32" s="42">
        <v>-17107</v>
      </c>
      <c r="F32" s="42">
        <v>-158683</v>
      </c>
      <c r="G32" s="42">
        <v>-407020</v>
      </c>
      <c r="H32" s="42">
        <v>-11605</v>
      </c>
      <c r="I32" s="42">
        <v>-111511</v>
      </c>
      <c r="J32" s="42">
        <v>38997</v>
      </c>
      <c r="K32" s="42">
        <v>51962</v>
      </c>
      <c r="L32" s="42">
        <v>-185774</v>
      </c>
      <c r="M32" s="42">
        <v>-350463</v>
      </c>
      <c r="N32" s="42">
        <f>SUM(B32:M32)</f>
        <v>-3267443</v>
      </c>
      <c r="O32" s="43"/>
    </row>
    <row r="33" spans="1:15" x14ac:dyDescent="0.25">
      <c r="A33" s="10" t="s">
        <v>338</v>
      </c>
      <c r="B33" s="30">
        <f>HYPERLINK("https://secure.freee.co.jp/reports/general_ledgers/show?name=%E6%B3%95%E4%BA%BA%E7%A8%8E%E3%83%BB%E4%BD%8F%E6%B0%91%E7%A8%8E%E5%8F%8A%E3%81%B3%E4%BA%8B%E6%A5%AD%E7%A8%8E&amp;start_date=2025-03-01&amp;end_date=2025-03-31&amp;fiscal_year_id=9837090",50)</f>
        <v>50</v>
      </c>
      <c r="C33" s="30">
        <f>HYPERLINK("https://secure.freee.co.jp/reports/general_ledgers/show?name=%E6%B3%95%E4%BA%BA%E7%A8%8E%E3%83%BB%E4%BD%8F%E6%B0%91%E7%A8%8E%E5%8F%8A%E3%81%B3%E4%BA%8B%E6%A5%AD%E7%A8%8E&amp;start_date=2025-04-01&amp;end_date=2025-04-30&amp;fiscal_year_id=9837090",71)</f>
        <v>71</v>
      </c>
      <c r="D33" s="30">
        <f>HYPERLINK("https://secure.freee.co.jp/reports/general_ledgers/show?name=%E6%B3%95%E4%BA%BA%E7%A8%8E%E3%83%BB%E4%BD%8F%E6%B0%91%E7%A8%8E%E5%8F%8A%E3%81%B3%E4%BA%8B%E6%A5%AD%E7%A8%8E&amp;start_date=2025-05-01&amp;end_date=2025-05-31&amp;fiscal_year_id=9837090",106)</f>
        <v>106</v>
      </c>
      <c r="E33" s="33">
        <f>HYPERLINK("https://secure.freee.co.jp/reports/general_ledgers/show?name=%E6%B3%95%E4%BA%BA%E7%A8%8E%E3%83%BB%E4%BD%8F%E6%B0%91%E7%A8%8E%E5%8F%8A%E3%81%B3%E4%BA%8B%E6%A5%AD%E7%A8%8E&amp;start_date=2025-06-01&amp;end_date=2025-06-30&amp;fiscal_year_id=9837090",38)</f>
        <v>38</v>
      </c>
      <c r="F33" s="33">
        <f>HYPERLINK("https://secure.freee.co.jp/reports/general_ledgers/show?name=%E6%B3%95%E4%BA%BA%E7%A8%8E%E3%83%BB%E4%BD%8F%E6%B0%91%E7%A8%8E%E5%8F%8A%E3%81%B3%E4%BA%8B%E6%A5%AD%E7%A8%8E&amp;start_date=2025-07-01&amp;end_date=2025-07-31&amp;fiscal_year_id=9837090",66)</f>
        <v>66</v>
      </c>
      <c r="G33" s="30">
        <f>HYPERLINK("https://secure.freee.co.jp/reports/general_ledgers/show?name=%E6%B3%95%E4%BA%BA%E7%A8%8E%E3%83%BB%E4%BD%8F%E6%B0%91%E7%A8%8E%E5%8F%8A%E3%81%B3%E4%BA%8B%E6%A5%AD%E7%A8%8E&amp;start_date=2025-08-01&amp;end_date=2025-08-31&amp;fiscal_year_id=9837090",59)</f>
        <v>59</v>
      </c>
      <c r="H33" s="44">
        <v>0</v>
      </c>
      <c r="I33" s="39">
        <v>0</v>
      </c>
      <c r="J33" s="39">
        <v>0</v>
      </c>
      <c r="K33" s="39">
        <v>0</v>
      </c>
      <c r="L33" s="39">
        <v>0</v>
      </c>
      <c r="M33" s="36">
        <f>HYPERLINK("https://secure.freee.co.jp/reports/general_ledgers/show?name=%E6%B3%95%E4%BA%BA%E7%A8%8E%E3%83%BB%E4%BD%8F%E6%B0%91%E7%A8%8E%E5%8F%8A%E3%81%B3%E4%BA%8B%E6%A5%AD%E7%A8%8E&amp;start_date=2026-02-01&amp;end_date=2026-02-28&amp;fiscal_year_id=9837090",296)</f>
        <v>296</v>
      </c>
      <c r="N33" s="37">
        <f>SUM(B33:M33)</f>
        <v>686</v>
      </c>
      <c r="O33" s="32" t="s">
        <v>268</v>
      </c>
    </row>
    <row r="34" spans="1:15" x14ac:dyDescent="0.25">
      <c r="A34" s="10" t="s">
        <v>339</v>
      </c>
      <c r="B34" s="30">
        <v>50</v>
      </c>
      <c r="C34" s="30">
        <v>71</v>
      </c>
      <c r="D34" s="30">
        <v>106</v>
      </c>
      <c r="E34" s="30">
        <v>38</v>
      </c>
      <c r="F34" s="30">
        <v>66</v>
      </c>
      <c r="G34" s="30">
        <v>59</v>
      </c>
      <c r="H34" s="39">
        <v>0</v>
      </c>
      <c r="I34" s="39">
        <v>0</v>
      </c>
      <c r="J34" s="39">
        <v>0</v>
      </c>
      <c r="K34" s="39">
        <v>0</v>
      </c>
      <c r="L34" s="39">
        <v>0</v>
      </c>
      <c r="M34" s="36">
        <v>296</v>
      </c>
      <c r="N34" s="37">
        <f>SUM(B34:M34)</f>
        <v>686</v>
      </c>
      <c r="O34" s="38"/>
    </row>
    <row r="35" spans="1:15" x14ac:dyDescent="0.25">
      <c r="A35" s="41" t="s">
        <v>340</v>
      </c>
      <c r="B35" s="42">
        <v>-266124</v>
      </c>
      <c r="C35" s="42">
        <v>-2001456</v>
      </c>
      <c r="D35" s="42">
        <v>151114</v>
      </c>
      <c r="E35" s="42">
        <v>-17145</v>
      </c>
      <c r="F35" s="42">
        <v>-158749</v>
      </c>
      <c r="G35" s="42">
        <v>-407079</v>
      </c>
      <c r="H35" s="42">
        <v>-11605</v>
      </c>
      <c r="I35" s="42">
        <v>-111511</v>
      </c>
      <c r="J35" s="42">
        <v>38997</v>
      </c>
      <c r="K35" s="42">
        <v>51962</v>
      </c>
      <c r="L35" s="42">
        <v>-185774</v>
      </c>
      <c r="M35" s="42">
        <v>-350759</v>
      </c>
      <c r="N35" s="42">
        <f>SUM(B35:M35)</f>
        <v>-3268129</v>
      </c>
      <c r="O35" s="43"/>
    </row>
    <row r="36" spans="1:15" x14ac:dyDescent="0.25">
      <c r="A36" s="10" t="s">
        <v>341</v>
      </c>
      <c r="B36" s="30">
        <f>HYPERLINK("https://secure.freee.co.jp/reports/general_ledgers/show?name=%E5%A4%96%E6%B3%A8%E8%B2%BB%EF%BC%88%E3%82%A2%E3%83%95%E3%82%A3%E3%83%AA%E3%82%A8%E3%82%A4%E3%83%88%E9%96%A2%E4%BF%82%EF%BC%89&amp;start_date=2025-03-01&amp;end_date=2025-03-31&amp;fiscal_year_id=9837090",795286)</f>
        <v>795286</v>
      </c>
      <c r="C36" s="30">
        <f>HYPERLINK("https://secure.freee.co.jp/reports/general_ledgers/show?name=%E5%A4%96%E6%B3%A8%E8%B2%BB%EF%BC%88%E3%82%A2%E3%83%95%E3%82%A3%E3%83%AA%E3%82%A8%E3%82%A4%E3%83%88%E9%96%A2%E4%BF%82%EF%BC%89&amp;start_date=2025-04-01&amp;end_date=2025-04-30&amp;fiscal_year_id=9837090",563505)</f>
        <v>563505</v>
      </c>
      <c r="D36" s="30">
        <f>HYPERLINK("https://secure.freee.co.jp/reports/general_ledgers/show?name=%E5%A4%96%E6%B3%A8%E8%B2%BB%EF%BC%88%E3%82%A2%E3%83%95%E3%82%A3%E3%83%AA%E3%82%A8%E3%82%A4%E3%83%88%E9%96%A2%E4%BF%82%EF%BC%89&amp;start_date=2025-05-01&amp;end_date=2025-05-31&amp;fiscal_year_id=9837090",581007)</f>
        <v>581007</v>
      </c>
      <c r="E36" s="30">
        <f>HYPERLINK("https://secure.freee.co.jp/reports/general_ledgers/show?name=%E5%A4%96%E6%B3%A8%E8%B2%BB%EF%BC%88%E3%82%A2%E3%83%95%E3%82%A3%E3%83%AA%E3%82%A8%E3%82%A4%E3%83%88%E9%96%A2%E4%BF%82%EF%BC%89&amp;start_date=2025-06-01&amp;end_date=2025-06-30&amp;fiscal_year_id=9837090",327730)</f>
        <v>327730</v>
      </c>
      <c r="F36" s="44">
        <v>0</v>
      </c>
      <c r="G36" s="39">
        <v>0</v>
      </c>
      <c r="H36" s="39">
        <v>0</v>
      </c>
      <c r="I36" s="39">
        <v>0</v>
      </c>
      <c r="J36" s="39">
        <v>0</v>
      </c>
      <c r="K36" s="39">
        <v>0</v>
      </c>
      <c r="L36" s="30">
        <f>HYPERLINK("https://secure.freee.co.jp/reports/general_ledgers/show?name=%E5%A4%96%E6%B3%A8%E8%B2%BB%EF%BC%88%E3%82%A2%E3%83%95%E3%82%A3%E3%83%AA%E3%82%A8%E3%82%A4%E3%83%88%E9%96%A2%E4%BF%82%EF%BC%89&amp;start_date=2026-01-01&amp;end_date=2026-01-31&amp;fiscal_year_id=9837090",1)</f>
        <v>1</v>
      </c>
      <c r="M36" s="44">
        <v>0</v>
      </c>
      <c r="N36" s="37">
        <f>SUM(B36:M36)</f>
        <v>2267529</v>
      </c>
      <c r="O36" s="32" t="s">
        <v>268</v>
      </c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5" r:id="rId17"/>
    <hyperlink ref="O26" r:id="rId18"/>
    <hyperlink ref="O33" r:id="rId19"/>
    <hyperlink ref="O36" r:id="rId2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262</v>
      </c>
      <c r="B1" s="5" t="s">
        <v>342</v>
      </c>
      <c r="C1" s="5" t="s">
        <v>343</v>
      </c>
      <c r="D1" s="5" t="s">
        <v>344</v>
      </c>
    </row>
    <row r="2" spans="1:4" x14ac:dyDescent="0.25">
      <c r="A2" s="10" t="s">
        <v>274</v>
      </c>
      <c r="B2" s="10" t="s">
        <v>345</v>
      </c>
      <c r="C2" s="30">
        <v>70408</v>
      </c>
      <c r="D2" s="10" t="s">
        <v>6</v>
      </c>
    </row>
    <row r="3" spans="1:4" x14ac:dyDescent="0.25">
      <c r="A3" s="10" t="s">
        <v>289</v>
      </c>
      <c r="B3" s="10" t="s">
        <v>346</v>
      </c>
      <c r="C3" s="30">
        <v>55000</v>
      </c>
      <c r="D3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2026-04-07T07:21:35Z</dcterms:created>
  <dcterms:modified xsi:type="dcterms:W3CDTF">2026-04-07T07:21:35Z</dcterms:modified>
</cp:coreProperties>
</file>