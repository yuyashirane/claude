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<sst xmlns="http://schemas.openxmlformats.org/spreadsheetml/2006/main" count="1490" uniqueCount="490">
  <si>
    <t>株式会社 　ALIVE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</si>
  <si>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</si>
  <si>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</si>
  <si>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</si>
  <si>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</si>
  <si>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</si>
  <si>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</si>
  <si>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</si>
  <si>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</si>
  <si>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</si>
  <si>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</si>
  <si>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</si>
  <si>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</si>
  <si>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</si>
  <si>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</si>
  <si>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</si>
  <si>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</si>
  <si>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</si>
  <si>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源泉所得税チェック</t>
  </si>
  <si>
    <t>-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</si>
  <si>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</si>
  <si>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</si>
  <si>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</si>
  <si>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</si>
  <si>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</si>
  <si>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</si>
  <si>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</si>
  <si>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</si>
  <si>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</si>
  <si>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</si>
  <si>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✅</t>
  </si>
  <si>
    <t>DQ-02</t>
  </si>
  <si>
    <t>重複計上の疑い</t>
  </si>
  <si>
    <t>⚠️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</si>
  <si>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</si>
  <si>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</si>
  <si>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</si>
  <si>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</si>
  <si>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</si>
  <si>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</si>
  <si>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</si>
  <si>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</si>
  <si>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</si>
  <si>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</si>
  <si>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</si>
  <si>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</si>
  <si>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</si>
  <si>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</si>
  <si>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</si>
  <si>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</si>
  <si>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</si>
  <si>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</si>
  <si>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</si>
  <si>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</si>
  <si>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</si>
  <si>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</si>
  <si>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</si>
  <si>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</si>
  <si>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</si>
  <si>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</si>
  <si>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</si>
  <si>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</si>
  <si>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</si>
  <si>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</si>
  <si>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</si>
  <si>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</si>
  <si>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</si>
  <si>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</si>
  <si>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</si>
  <si>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</si>
  <si>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</si>
  <si>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</si>
  <si>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</si>
  <si>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</si>
  <si>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</si>
  <si>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</si>
  <si>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</si>
  <si>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</si>
  <si>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</si>
  <si>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</si>
  <si>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</si>
  <si>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</si>
  <si>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</si>
  <si>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</si>
  <si>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</si>
  <si>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</si>
  <si>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</si>
  <si>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</si>
  <si>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</si>
  <si>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</si>
  <si>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</si>
  <si>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</si>
  <si>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</si>
  <si>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</si>
  <si>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</si>
  <si>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</si>
  <si>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</si>
  <si>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</si>
  <si>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</si>
  <si>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</si>
  <si>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</si>
  <si>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</si>
  <si>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</si>
  <si>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</si>
  <si>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</si>
  <si>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</si>
  <si>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</si>
  <si>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</si>
  <si>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</si>
  <si>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</si>
  <si>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</si>
  <si>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</si>
  <si>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</si>
  <si>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</si>
  <si>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</si>
  <si>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</si>
  <si>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</si>
  <si>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</si>
  <si>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</si>
  <si>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</si>
  <si>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</si>
  <si>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</si>
  <si>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</si>
  <si>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</si>
  <si>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</si>
  <si>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</si>
  <si>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</si>
  <si>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</si>
  <si>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</si>
  <si>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</si>
  <si>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</si>
  <si>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</si>
  <si>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</si>
  <si>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</si>
  <si>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</si>
  <si>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</si>
  <si>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</si>
  <si>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</si>
  <si>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</si>
  <si>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</si>
  <si>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</si>
  <si>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</si>
  <si>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</si>
  <si>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</si>
  <si>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</si>
  <si>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</si>
  <si>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</si>
  <si>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</si>
  <si>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</si>
  <si>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</si>
  <si>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</si>
  <si>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</si>
  <si>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</si>
  <si>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</si>
  <si>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</si>
  <si>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</si>
  <si>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</si>
  <si>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</si>
  <si>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</si>
  <si>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</si>
  <si>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</si>
  <si>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</si>
  <si>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</si>
  <si>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</si>
  <si>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</si>
  <si>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</si>
  <si>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</si>
  <si>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</si>
  <si>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</si>
  <si>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</si>
  <si>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</si>
  <si>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</si>
  <si>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</si>
  <si>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</si>
  <si>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</si>
  <si>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</si>
  <si>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消費税区分</t>
  </si>
  <si>
    <t>海外サービス「Apple（App Store等）」（インボイス未登録）の税区分が不適切です。1件（1,200円）。</t>
  </si>
  <si>
    <t>課対仕入10%</t>
  </si>
  <si>
    <t>対象外（インボイス未登録の国外事業者）</t>
  </si>
  <si>
    <t>freeeで確認</t>
  </si>
  <si>
    <t xml:space="preserve">　　2026-02-09  freeeVISAカード　APPLE　COⅯ　BILL </t>
  </si>
  <si>
    <t>1,200円</t>
  </si>
  <si>
    <t>明細を開く</t>
  </si>
  <si>
    <t>データ品質</t>
  </si>
  <si>
    <t>2026-02-28 に同日・同額（35,200円）・同科目(ID:288790408)の取引が 2 件あります。重複計上の可能性があります。</t>
  </si>
  <si>
    <t>deal_id: 3329649996, 3319392219</t>
  </si>
  <si>
    <t>重複していないか確認してください</t>
  </si>
  <si>
    <t>現金・預金</t>
  </si>
  <si>
    <t>「瀧野川信金」の残高が前月比64%増加しています（前月: 18,336,630円 → 当月: 30,139,045円）。</t>
  </si>
  <si>
    <t>30,139,045円</t>
  </si>
  <si>
    <t>大型入出金の内容を確認してください</t>
  </si>
  <si>
    <t>人件費</t>
  </si>
  <si>
    <t>法定福利費の比率が高すぎます。給与合計 1,636,000円 に対し 法定福利費 500,214円（30.6%）。正常値は概ね14〜15%です。</t>
  </si>
  <si>
    <t>30.6%（給与合計: 1,636,000円、法定福利費: 500,214円）</t>
  </si>
  <si>
    <t>法定福利費は社会保険対象の給与合計の14〜15%程度が正常です</t>
  </si>
  <si>
    <t>外注費</t>
  </si>
  <si>
    <t>「支払報酬料」で士業取引先「あしたの会計事務所税理士法人」への支払 82,280円があります。「預り金（源泉所得税（士業））」残高がゼロのため、未計上の可能性があります。源泉徴収（推定 8,400円 / 10.21%）の計上・納付を確認してください。</t>
  </si>
  <si>
    <t>支払額: 82,280円</t>
  </si>
  <si>
    <t>源泉所得税 約8,400円 を「預り金（源泉所得税（士業））」として計上し、翌月10日までに納付してください</t>
  </si>
  <si>
    <t>「支払報酬」で士業取引先「あしたの会計事務所税理士法人」への支払 82,280円があります。「預り金（源泉所得税（士業））」残高がゼロのため、未計上の可能性があります。源泉徴収（推定 8,400円 / 10.21%）の計上・納付を確認してください。</t>
  </si>
  <si>
    <t>売上・売掛金</t>
  </si>
  <si>
    <t>売上高が前月平均比 65%減少しています（当月: 3,410,614円、前月平均: 9,752,882円）。</t>
  </si>
  <si>
    <t>当月: 3,410,614円</t>
  </si>
  <si>
    <t>季節要因・受注ピーク等の理由がなければ、売上の計上漏れや二重計上を確認してください</t>
  </si>
  <si>
    <t>売上高が前年同月比 67%減少しています（当月: 3,410,614円、前年同月推定: 10,211,486円）。</t>
  </si>
  <si>
    <t>顧客増減・単価変更・業務構成の変化等の背景を確認してください</t>
  </si>
  <si>
    <t>「売掛金」の「DーＦＬＹ」残高が2ヶ月連続で同額（19,800円）です。回収が滞留している可能性があります。</t>
  </si>
  <si>
    <t>19,800円（前月比変動なし）</t>
  </si>
  <si>
    <t>回収期日を確認し、顧客に入金を依頼してください。回収不能の場合は貸倒引当金の計上を検討してください</t>
  </si>
  <si>
    <t>「売掛金」の「スリーセブン　ニューみやこ」残高が2ヶ月連続で同額（35,200円）です。回収が滞留している可能性があります。</t>
  </si>
  <si>
    <t>35,200円（前月比変動なし）</t>
  </si>
  <si>
    <t>「売掛金」の「セブンスター」残高が2ヶ月連続で同額（216,302円）です。回収が滞留している可能性があります。</t>
  </si>
  <si>
    <t>216,302円（前月比変動なし）</t>
  </si>
  <si>
    <t>「売掛金」の「有限会社　サンユウプロセス」残高が2ヶ月連続で同額（70,400円）です。回収が滞留している可能性があります。</t>
  </si>
  <si>
    <t>70,400円（前月比変動なし）</t>
  </si>
  <si>
    <t>仕入・買掛金</t>
  </si>
  <si>
    <t>「仕入高」が前月平均比 54%減少しています（当月: 27,885円、前月平均: 60,108円）。</t>
  </si>
  <si>
    <t>当月: 27,885円</t>
  </si>
  <si>
    <t>季節変動・大口発注以外の原因がなければ、計上漏れや二重計上を確認してください</t>
  </si>
  <si>
    <t>「売上原価」が前月平均比 76%減少しています（当月: 1,185,460円、前月平均: 5,021,052円）。</t>
  </si>
  <si>
    <t>当月: 1,185,460円</t>
  </si>
  <si>
    <t>「未払金」の「NECキャピタルソリーション　株式会社」残高が2ヶ月連続で同額（5,832円）です。支払が滞留している可能性があります。</t>
  </si>
  <si>
    <t>5,832円（前月比変動なし）</t>
  </si>
  <si>
    <t>支払期日を確認し、消込処理または支払を実施してください</t>
  </si>
  <si>
    <t>「未払金」の「NTTファイナンス　株式会社」残高が2ヶ月連続で同額（11,715円）です。支払が滞留している可能性があります。</t>
  </si>
  <si>
    <t>11,715円（前月比変動なし）</t>
  </si>
  <si>
    <t>残高異常</t>
  </si>
  <si>
    <t>「前払費用」の残高 230,000円が前月から変動ありません（滞留の可能性）。</t>
  </si>
  <si>
    <t>230,000円（前月同額）</t>
  </si>
  <si>
    <t>回収・支払状況を確認し、必要に応じて貸倒処理や振替を検討してください</t>
  </si>
  <si>
    <t xml:space="preserve">　　取引先「小島　良」で滞留</t>
  </si>
  <si>
    <t>230,000円</t>
  </si>
  <si>
    <t>「出資金」の残高 25,000円が前月から変動ありません（滞留の可能性）。</t>
  </si>
  <si>
    <t>25,000円（前月同額）</t>
  </si>
  <si>
    <t xml:space="preserve">　　取引先「瀧野川信用金庫　五反野支店」で滞留</t>
  </si>
  <si>
    <t>10,000円</t>
  </si>
  <si>
    <t xml:space="preserve">　　取引先「高速情報協同組合　㈱未来」で滞留</t>
  </si>
  <si>
    <t>「預託金」の残高 35,470円が前月から変動ありません（滞留の可能性）。</t>
  </si>
  <si>
    <t>35,470円（前月同額）</t>
  </si>
  <si>
    <t xml:space="preserve">　　取引先「トヨタモビリティ東京 株式会社」で滞留</t>
  </si>
  <si>
    <t>9,550円</t>
  </si>
  <si>
    <t xml:space="preserve">　　取引先「オートリリーフ 長谷川　陽一」で滞留</t>
  </si>
  <si>
    <t>9,370円</t>
  </si>
  <si>
    <t>「瀧野川信金」が前月比 64% 変動（18,336,630円 → 30,139,045円）。</t>
  </si>
  <si>
    <t>30,139,045円（前月: 18,336,630円、変動率: 64%）</t>
  </si>
  <si>
    <t>変動原因を確認してください</t>
  </si>
  <si>
    <t>「売掛金」が前月比 77% 変動（27,081,266円 → 6,169,667円）。</t>
  </si>
  <si>
    <t>6,169,667円（前月: 27,081,266円、変動率: 77%）</t>
  </si>
  <si>
    <t>「買掛金」が前月比 90% 変動（265,760円 → 27,885円）。</t>
  </si>
  <si>
    <t>27,885円（前月: 265,760円、変動率: 90%）</t>
  </si>
  <si>
    <t>「freeeVISAカード」が前月比 55% 変動（344,599円 → 155,437円）。</t>
  </si>
  <si>
    <t>155,437円（前月: 344,599円、変動率: 55%）</t>
  </si>
  <si>
    <t>「預り金」が前月比 129% 変動（-225,775円 → 66,419円）。 主な取引: 2026-02-15 208,529円 役員賞与、2026-02-15 137,250円 法定福利費、2026-02-15 137,250円 役員賞与 （他15件の取引あり）。</t>
  </si>
  <si>
    <t>66,419円（前月: -225,775円、変動率: 129%）</t>
  </si>
  <si>
    <t xml:space="preserve">　　2026-02-15  源泉所得税</t>
  </si>
  <si>
    <t>208,529円</t>
  </si>
  <si>
    <t>役員賞与</t>
  </si>
  <si>
    <t xml:space="preserve">　　2026-02-15  厚生年金保険料（預り分）</t>
  </si>
  <si>
    <t>137,250円</t>
  </si>
  <si>
    <t>法定福利費</t>
  </si>
  <si>
    <t>115,290円</t>
  </si>
  <si>
    <t>給料手当</t>
  </si>
  <si>
    <t>期間配分</t>
  </si>
  <si>
    <t>「前払費用」の残高 230,000円が前月から変動していません。月割償却が行われていない可能性があります。</t>
  </si>
  <si>
    <t>月割で前払費用を取り崩す仕訳を確認してください</t>
  </si>
  <si>
    <t xml:space="preserve">　　[品目] 小島　良（事務所家主）</t>
  </si>
  <si>
    <t>食品系キーワードを含む取引3件に標準税率10%が設定されています。軽減税率8%の可能性があります。</t>
  </si>
  <si>
    <t>課対仕入10% × 3件</t>
  </si>
  <si>
    <t>課対仕入8%（軽減）に修正</t>
  </si>
  <si>
    <t xml:space="preserve">　　2026-02-28  富士フィルムビジネスイノベーションジャパン㈱（T1011101015050）</t>
  </si>
  <si>
    <t>5,131円</t>
  </si>
  <si>
    <t xml:space="preserve">　　2026-02-25  当月ガス代/水道料金　2月分</t>
  </si>
  <si>
    <t>13,000円</t>
  </si>
  <si>
    <t>地代家賃</t>
  </si>
  <si>
    <t xml:space="preserve">　　2026-02-17  アマゾンジャパン合同会社（T3040001028447）</t>
  </si>
  <si>
    <t>340円</t>
  </si>
  <si>
    <t>「水道光熱費」に2種類の税区分が混在しています（課対仕入10%: 1件、課対仕入(控80)10%: 1件）。</t>
  </si>
  <si>
    <t>2種類混在</t>
  </si>
  <si>
    <t>税区分ごとの内訳を確認してください</t>
  </si>
  <si>
    <t xml:space="preserve">　　課対仕入10%（1件・計22,208円）</t>
  </si>
  <si>
    <t>22,208円</t>
  </si>
  <si>
    <t xml:space="preserve">　　課対仕入(控80)10%（1件・計13,000円）</t>
  </si>
  <si>
    <t>「リース料」に2種類の税区分が混在しています（課対仕入8%: 1件、課対仕入10%: 1件）。</t>
  </si>
  <si>
    <t xml:space="preserve">　　課対仕入8%（1件・計5,832円）</t>
  </si>
  <si>
    <t>5,832円</t>
  </si>
  <si>
    <t xml:space="preserve">　　課対仕入10%（1件・計17,710円）</t>
  </si>
  <si>
    <t>17,710円</t>
  </si>
  <si>
    <t>「外注費」に2種類の税区分が混在しています（課対仕入10%: 21件、課対仕入(控80)10%: 1件）。</t>
  </si>
  <si>
    <t xml:space="preserve">　　課対仕入10%（21件・計3,342,845円）</t>
  </si>
  <si>
    <t>3,342,845円</t>
  </si>
  <si>
    <t xml:space="preserve">　　課対仕入(控80)10%（1件・計30,000円）</t>
  </si>
  <si>
    <t>30,000円</t>
  </si>
  <si>
    <t>「支払手数料」に2種類の税区分が混在しています（課対仕入10%: 9件、課対仕入(控80)10%: 1件）。</t>
  </si>
  <si>
    <t xml:space="preserve">　　課対仕入10%（9件・計24,267円）</t>
  </si>
  <si>
    <t>24,267円</t>
  </si>
  <si>
    <t xml:space="preserve">　　課対仕入(控80)10%（1件・計220円）</t>
  </si>
  <si>
    <t>220円</t>
  </si>
  <si>
    <t>「交際費」に2種類の税区分が混在しています（課対仕入10%: 6件、対象外: 3件）。</t>
  </si>
  <si>
    <t xml:space="preserve">　　課対仕入10%（6件・計86,012円）</t>
  </si>
  <si>
    <t>86,012円</t>
  </si>
  <si>
    <t xml:space="preserve">　　対象外（3件・計1,300円）</t>
  </si>
  <si>
    <t>1,300円</t>
  </si>
  <si>
    <t>源泉所得税</t>
  </si>
  <si>
    <t>預り金の残高が前月比で大幅に増加しています（-225,775円 → 66,419円、増加292,194円）。源泉税の納付漏れの可能性があります。</t>
  </si>
  <si>
    <t>66,419円（前月: -225,775円）</t>
  </si>
  <si>
    <t>源泉所得税の納付状況を確認してください</t>
  </si>
  <si>
    <t>営業外・税金</t>
  </si>
  <si>
    <t>受取利息26,476円に対する源泉所得税（15.315%）の計上を確認してください。</t>
  </si>
  <si>
    <t>受取利息: 26,476円</t>
  </si>
  <si>
    <t>源泉税 約4,054円を「法人税・住民税及び事業税」または「仮払法人税等」で処理してください</t>
  </si>
  <si>
    <t>「役員賞与」が今月新たに計上されています（1,500,000円）。</t>
  </si>
  <si>
    <t>当月: 1,500,000円</t>
  </si>
  <si>
    <t>計上内容と金額の妥当性を確認してください</t>
  </si>
  <si>
    <t>「賞与」が前月平均比 1275%変動しています（当月: 1,300,000円、前月平均: 94,545円）。</t>
  </si>
  <si>
    <t>当月: 1,300,000円</t>
  </si>
  <si>
    <t>「支払報酬料」が前月平均比 106%変動しています（当月: 82,280円、前月平均: 39,880円）。</t>
  </si>
  <si>
    <t>当月: 82,280円</t>
  </si>
  <si>
    <t>「租税公課」が前月平均比 98%変動しています（当月: 3,300円、前月平均: 149,727円）。</t>
  </si>
  <si>
    <t>当月: 3,300円</t>
  </si>
  <si>
    <t>「荷造運賃」が前月平均比 95%変動しています（当月: 3,641円、前月平均: 71,078円）。</t>
  </si>
  <si>
    <t>当月: 3,641円</t>
  </si>
  <si>
    <t>「支払報酬料」の取引先「あしたの会計事務所税理士法人」が前月平均比 106% 変動しています（前月平均: 39,880円 → 当月: 82,280円）。期間配分の観点から確認を推奨します。</t>
  </si>
  <si>
    <t>当月: 82,280円（前月平均: 39,880円）</t>
  </si>
  <si>
    <t>一時的な金額増減か、契約変更等によるものか確認してください</t>
  </si>
  <si>
    <t>100万円以上の課税仕入取引が2件（2,300,887円）あります。税区分の正確性を確認してください。</t>
  </si>
  <si>
    <t>2件（2,300,887円）</t>
  </si>
  <si>
    <t>税区分の正確性を確認</t>
  </si>
  <si>
    <t xml:space="preserve">　　2026-02-28  ㈱ハラマチサイン東京（T2030001153197）</t>
  </si>
  <si>
    <t>1,094,940円</t>
  </si>
  <si>
    <t xml:space="preserve">　　2026-02-28  ㈱パック(T8010601007765）</t>
  </si>
  <si>
    <t>1,205,947円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</si>
  <si>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</si>
  <si>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</si>
  <si>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</si>
  <si>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</si>
  <si>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</si>
  <si>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</si>
  <si>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</si>
  <si>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</si>
  <si>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</si>
  <si>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</si>
  <si>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</si>
  <si>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</si>
  <si>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</si>
  <si>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</si>
  <si>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</si>
  <si>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-42.9%</t>
  </si>
  <si>
    <t>元帳を開く</t>
  </si>
  <si>
    <t>瀧野川信金</t>
  </si>
  <si>
    <t>64.4%</t>
  </si>
  <si>
    <t>△</t>
  </si>
  <si>
    <t>小口現金（営業）</t>
  </si>
  <si>
    <t>-100.0%</t>
  </si>
  <si>
    <t>小口現金（社長仮払金）</t>
  </si>
  <si>
    <t>売掛金</t>
  </si>
  <si>
    <t>-77.2%</t>
  </si>
  <si>
    <t>商品</t>
  </si>
  <si>
    <t>前渡金</t>
  </si>
  <si>
    <t>前払費用</t>
  </si>
  <si>
    <t>0.0%</t>
  </si>
  <si>
    <t>仮払金</t>
  </si>
  <si>
    <t>機械装置</t>
  </si>
  <si>
    <t>-5.3%</t>
  </si>
  <si>
    <t>車両運搬具</t>
  </si>
  <si>
    <t>-44.8%</t>
  </si>
  <si>
    <t>工具器具備品</t>
  </si>
  <si>
    <t>-8.5%</t>
  </si>
  <si>
    <t>出資金</t>
  </si>
  <si>
    <t>積立保証金</t>
  </si>
  <si>
    <t>1.1%</t>
  </si>
  <si>
    <t>敷金</t>
  </si>
  <si>
    <t>長期前払費用</t>
  </si>
  <si>
    <t>-3.0%</t>
  </si>
  <si>
    <t>預託金</t>
  </si>
  <si>
    <t>権利金</t>
  </si>
  <si>
    <t>-4.5%</t>
  </si>
  <si>
    <t>買掛金</t>
  </si>
  <si>
    <t>-89.5%</t>
  </si>
  <si>
    <t>未払金</t>
  </si>
  <si>
    <t>-30.6%</t>
  </si>
  <si>
    <t>freeeVISAカード</t>
  </si>
  <si>
    <t>-54.9%</t>
  </si>
  <si>
    <t>ガソリンカード</t>
  </si>
  <si>
    <t>-12.0%</t>
  </si>
  <si>
    <t>未払法人税等</t>
  </si>
  <si>
    <t>未払消費税等</t>
  </si>
  <si>
    <t>預り金</t>
  </si>
  <si>
    <t>129.4%</t>
  </si>
  <si>
    <t>長期借入金</t>
  </si>
  <si>
    <t>-2.2%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</si>
  <si>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</si>
  <si>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</si>
  <si>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</si>
  <si>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</si>
  <si>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</si>
  <si>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</si>
  <si>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</si>
  <si>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</si>
  <si>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</si>
  <si>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</si>
  <si>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</si>
  <si>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</si>
  <si>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</si>
  <si>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</si>
  <si>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</si>
  <si>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</si>
  <si>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</si>
  <si>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</si>
  <si>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</si>
  <si>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</si>
  <si>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</si>
  <si>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</si>
  <si>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</si>
  <si>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</si>
  <si>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支払報酬料</t>
  </si>
  <si>
    <t xml:space="preserve">  福利厚生費</t>
  </si>
  <si>
    <t xml:space="preserve">  消耗品費</t>
  </si>
  <si>
    <t xml:space="preserve">  旅費交通費</t>
  </si>
  <si>
    <t xml:space="preserve">  車両費</t>
  </si>
  <si>
    <t xml:space="preserve">  保険料</t>
  </si>
  <si>
    <t xml:space="preserve">  通信費</t>
  </si>
  <si>
    <t xml:space="preserve">  交際費</t>
  </si>
  <si>
    <t xml:space="preserve">  水道光熱費</t>
  </si>
  <si>
    <t xml:space="preserve">  支払手数料</t>
  </si>
  <si>
    <t xml:space="preserve">  会議費</t>
  </si>
  <si>
    <t xml:space="preserve">  広告宣伝費</t>
  </si>
  <si>
    <t xml:space="preserve">  地代家賃</t>
  </si>
  <si>
    <t xml:space="preserve">  租税公課</t>
  </si>
  <si>
    <t xml:space="preserve">  荷造運賃</t>
  </si>
  <si>
    <t xml:space="preserve">  新聞図書費</t>
  </si>
  <si>
    <t xml:space="preserve">  諸会費</t>
  </si>
  <si>
    <t xml:space="preserve">  保守料</t>
  </si>
  <si>
    <t xml:space="preserve">  リース料</t>
  </si>
  <si>
    <t xml:space="preserve">  減価償却費</t>
  </si>
  <si>
    <t>販売管理費 計</t>
  </si>
  <si>
    <t>営業利益</t>
  </si>
  <si>
    <t xml:space="preserve">  受取利息</t>
  </si>
  <si>
    <t xml:space="preserve">  受取配当金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</si>
  <si>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</si>
  <si>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</si>
  <si>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</si>
  <si>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</si>
  <si>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</si>
  <si>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</si>
  <si>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</si>
  <si>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</si>
  <si>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</si>
  <si>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</si>
  <si>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期首商品棚卸高</t>
  </si>
  <si>
    <t xml:space="preserve">  仕入高</t>
  </si>
  <si>
    <t xml:space="preserve">  外注費</t>
  </si>
  <si>
    <t xml:space="preserve">  期末商品棚卸高</t>
  </si>
  <si>
    <t>取引先名</t>
  </si>
  <si>
    <t>残高</t>
  </si>
  <si>
    <t>滞留判定</t>
  </si>
  <si>
    <t>未選択</t>
  </si>
  <si>
    <t>株式会社　インターコスモス大阪本社</t>
  </si>
  <si>
    <t>株式会社　ジョイパック</t>
  </si>
  <si>
    <t>株式会社　ヤマテ・サイン</t>
  </si>
  <si>
    <t>あすか俱楽部　ナビ上尾店</t>
  </si>
  <si>
    <t>将軍田端店</t>
  </si>
  <si>
    <t>株式会社　サクセ　ナビ羽生店</t>
  </si>
  <si>
    <t>鶴岡　京介</t>
  </si>
  <si>
    <t>原田　涼太</t>
  </si>
  <si>
    <t>高速情報協同組合　㈱未来</t>
  </si>
  <si>
    <t>セブンスター</t>
  </si>
  <si>
    <t>滞留</t>
  </si>
  <si>
    <t>株式会社　埼玉遊楽　ガーデン川口北原台</t>
  </si>
  <si>
    <t>株式会社　埼玉遊楽　新！ガーデン春日部</t>
  </si>
  <si>
    <t>将軍葛西店</t>
  </si>
  <si>
    <t>（株）丸福商事　本社</t>
  </si>
  <si>
    <t>あしたの会計事務所税理士法人</t>
  </si>
  <si>
    <t>株式会社　インテグラル電子</t>
  </si>
  <si>
    <t>富士フィルムイメージングシステムズ株式会社</t>
  </si>
  <si>
    <t>有限会社　サンユウプロセス</t>
  </si>
  <si>
    <t>東京電力エナジーパートナー　株式会社</t>
  </si>
  <si>
    <t>ピラミッド</t>
  </si>
  <si>
    <t>ビーム高倉店</t>
  </si>
  <si>
    <t>スリーセブン　ニューみやこ</t>
  </si>
  <si>
    <t>株式会社 あすかインターナショナル　アスカ薮塚店</t>
  </si>
  <si>
    <t>DーＦＬＹ</t>
  </si>
  <si>
    <t>株式会社　ヤカ</t>
  </si>
  <si>
    <t>ソフトバンク（（株）</t>
  </si>
  <si>
    <t>NTTファイナンス　株式会社</t>
  </si>
  <si>
    <t>NECキャピタルソリーション　株式会社</t>
  </si>
  <si>
    <t>ヤマト運輸　株式会社</t>
  </si>
  <si>
    <t>将軍下赤塚店</t>
  </si>
  <si>
    <t>株式会社　あじゅうん</t>
  </si>
  <si>
    <t>株式会社　グランマーチホテルズ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</si>
</sst>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0" borderId="1" xfId="0" applyNumberFormat="1" applyFont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Apple%EF%BC%88App+Store%E7%AD%89%EF%BC%89&amp;start_date=2026-02-01&amp;end_date=2026-02-28" TargetMode="External"/><Relationship Id="rId2" Type="http://schemas.openxmlformats.org/officeDocument/2006/relationships/hyperlink" Target="https://secure.freee.co.jp/reports/journals?deal_id=3368733102" TargetMode="External"/><Relationship Id="rId3" Type="http://schemas.openxmlformats.org/officeDocument/2006/relationships/hyperlink" Target="https://secure.freee.co.jp/reports/general_ledgers/show?name=%E7%80%A7%E9%87%8E%E5%B7%9D%E4%BF%A1%E9%87%91&amp;start_date=2026-02-01&amp;end_date=2026-02-28" TargetMode="External"/><Relationship Id="rId4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6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3%B2%E6%8E%9B%E9%87%91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2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3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4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5" Type="http://schemas.openxmlformats.org/officeDocument/2006/relationships/hyperlink" Target="https://secure.freee.co.jp/reports/journals?start_date=2022-03-01&amp;end_date=2026-02-28&amp;name=%E5%89%8D%E6%89%95%E8%B2%BB%E7%94%A8" TargetMode="External"/><Relationship Id="rId16" Type="http://schemas.openxmlformats.org/officeDocument/2006/relationships/hyperlink" Target="https://secure.freee.co.jp/reports/journals?start_date=2022-03-01&amp;end_date=2026-02-28&amp;name=%E5%89%8D%E6%89%95%E8%B2%BB%E7%94%A8&amp;partner_id=60265853" TargetMode="External"/><Relationship Id="rId17" Type="http://schemas.openxmlformats.org/officeDocument/2006/relationships/hyperlink" Target="https://secure.freee.co.jp/reports/journals?start_date=2020-03-01&amp;end_date=2026-02-28&amp;name=%E5%87%BA%E8%B3%87%E9%87%91" TargetMode="External"/><Relationship Id="rId18" Type="http://schemas.openxmlformats.org/officeDocument/2006/relationships/hyperlink" Target="https://secure.freee.co.jp/reports/journals?start_date=2020-03-01&amp;end_date=2026-02-28&amp;name=%E5%87%BA%E8%B3%87%E9%87%91&amp;partner_id=17376797" TargetMode="External"/><Relationship Id="rId19" Type="http://schemas.openxmlformats.org/officeDocument/2006/relationships/hyperlink" Target="https://secure.freee.co.jp/reports/journals?start_date=2020-03-01&amp;end_date=2026-02-28&amp;name=%E5%87%BA%E8%B3%87%E9%87%91&amp;partner_id=17480946" TargetMode="External"/><Relationship Id="rId20" Type="http://schemas.openxmlformats.org/officeDocument/2006/relationships/hyperlink" Target="https://secure.freee.co.jp/reports/journals?start_date=2023-03-01&amp;end_date=2026-02-28&amp;name=%E9%A0%90%E8%A8%97%E9%87%91" TargetMode="External"/><Relationship Id="rId21" Type="http://schemas.openxmlformats.org/officeDocument/2006/relationships/hyperlink" Target="https://secure.freee.co.jp/reports/journals?start_date=2023-03-01&amp;end_date=2026-02-28&amp;name=%E9%A0%90%E8%A8%97%E9%87%91&amp;partner_id=95778801" TargetMode="External"/><Relationship Id="rId22" Type="http://schemas.openxmlformats.org/officeDocument/2006/relationships/hyperlink" Target="https://secure.freee.co.jp/reports/journals?start_date=2023-03-01&amp;end_date=2026-02-28&amp;name=%E9%A0%90%E8%A8%97%E9%87%91&amp;partner_id=17344818" TargetMode="External"/><Relationship Id="rId23" Type="http://schemas.openxmlformats.org/officeDocument/2006/relationships/hyperlink" Target="https://secure.freee.co.jp/reports/general_ledgers/show?name=%E7%80%A7%E9%87%8E%E5%B7%9D%E4%BF%A1%E9%87%91&amp;start_date=2026-02-01&amp;end_date=2026-02-28&amp;fiscal_year_id=9725180" TargetMode="External"/><Relationship Id="rId24" Type="http://schemas.openxmlformats.org/officeDocument/2006/relationships/hyperlink" Target="https://secure.freee.co.jp/reports/general_ledgers/show?name=%E5%A3%B2%E6%8E%9B%E9%87%91&amp;start_date=2026-02-01&amp;end_date=2026-02-28&amp;fiscal_year_id=9725180" TargetMode="External"/><Relationship Id="rId25" Type="http://schemas.openxmlformats.org/officeDocument/2006/relationships/hyperlink" Target="https://secure.freee.co.jp/reports/general_ledgers/show?name=%E8%B2%B7%E6%8E%9B%E9%87%91&amp;start_date=2026-02-01&amp;end_date=2026-02-28&amp;fiscal_year_id=9725180" TargetMode="External"/><Relationship Id="rId26" Type="http://schemas.openxmlformats.org/officeDocument/2006/relationships/hyperlink" Target="https://secure.freee.co.jp/reports/general_ledgers/show?name=freeeVISA%E3%82%AB%E3%83%BC%E3%83%89&amp;start_date=2026-02-01&amp;end_date=2026-02-28&amp;fiscal_year_id=9725180" TargetMode="External"/><Relationship Id="rId27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Relationship Id="rId28" Type="http://schemas.openxmlformats.org/officeDocument/2006/relationships/hyperlink" Target="https://secure.freee.co.jp/reports/journals?deal_id=3305090855" TargetMode="External"/><Relationship Id="rId29" Type="http://schemas.openxmlformats.org/officeDocument/2006/relationships/hyperlink" Target="https://secure.freee.co.jp/reports/journals?deal_id=3305090870" TargetMode="External"/><Relationship Id="rId30" Type="http://schemas.openxmlformats.org/officeDocument/2006/relationships/hyperlink" Target="https://secure.freee.co.jp/reports/journals?deal_id=3305090855" TargetMode="External"/><Relationship Id="rId31" Type="http://schemas.openxmlformats.org/officeDocument/2006/relationships/hyperlink" Target="https://secure.freee.co.jp/reports/journals?deal_id=3289366382" TargetMode="External"/><Relationship Id="rId32" Type="http://schemas.openxmlformats.org/officeDocument/2006/relationships/hyperlink" Target="https://secure.freee.co.jp/reports/journals?deal_id=3289366363" TargetMode="External"/><Relationship Id="rId33" Type="http://schemas.openxmlformats.org/officeDocument/2006/relationships/hyperlink" Target="https://secure.freee.co.jp/reports/journals?start_date=2022-03-01&amp;end_date=2026-02-28&amp;name=%E5%89%8D%E6%89%95%E8%B2%BB%E7%94%A8" TargetMode="External"/><Relationship Id="rId34" Type="http://schemas.openxmlformats.org/officeDocument/2006/relationships/hyperlink" Target="https://secure.freee.co.jp/reports/journals?start_date=2022-03-01&amp;end_date=2026-02-28&amp;name=%E5%89%8D%E6%89%95%E8%B2%BB%E7%94%A8" TargetMode="External"/><Relationship Id="rId35" Type="http://schemas.openxmlformats.org/officeDocument/2006/relationships/hyperlink" Target="https://secure.freee.co.jp/reports/journals?deal_id=3371366747" TargetMode="External"/><Relationship Id="rId36" Type="http://schemas.openxmlformats.org/officeDocument/2006/relationships/hyperlink" Target="https://secure.freee.co.jp/reports/journals?deal_id=3259159452" TargetMode="External"/><Relationship Id="rId37" Type="http://schemas.openxmlformats.org/officeDocument/2006/relationships/hyperlink" Target="https://secure.freee.co.jp/reports/journals?deal_id=3432332285" TargetMode="External"/><Relationship Id="rId38" Type="http://schemas.openxmlformats.org/officeDocument/2006/relationships/hyperlink" Target="https://secure.freee.co.jp/reports/general_ledgers/show?name=%E6%B0%B4%E9%81%93%E5%85%89%E7%86%B1%E8%B2%BB&amp;start_date=2026-02-01&amp;end_date=2026-02-28&amp;fiscal_year_id=9725180" TargetMode="External"/><Relationship Id="rId39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reduced=false" TargetMode="External"/><Relationship Id="rId40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deduction_rate=80&amp;tax_reduced=false" TargetMode="External"/><Relationship Id="rId41" Type="http://schemas.openxmlformats.org/officeDocument/2006/relationships/hyperlink" Target="https://secure.freee.co.jp/reports/general_ledgers/show?name=%E3%83%AA%E3%83%BC%E3%82%B9%E6%96%99&amp;start_date=2026-02-01&amp;end_date=2026-02-28&amp;fiscal_year_id=9725180" TargetMode="External"/><Relationship Id="rId42" Type="http://schemas.openxmlformats.org/officeDocument/2006/relationships/hyperlink" Target="https://secure.freee.co.jp/reports/general_ledgers/show?name=%E3%83%AA%E3%83%BC%E3%82%B9%E6%96%99&amp;start_date=2026-02-01&amp;end_date=2026-02-28&amp;fiscal_year_id=9725180&amp;tax_group_codes=34&amp;tax_rate=10&amp;tax_reduced=false" TargetMode="External"/><Relationship Id="rId43" Type="http://schemas.openxmlformats.org/officeDocument/2006/relationships/hyperlink" Target="https://secure.freee.co.jp/reports/general_ledgers/show?name=%E5%A4%96%E6%B3%A8%E8%B2%BB&amp;start_date=2026-02-01&amp;end_date=2026-02-28&amp;fiscal_year_id=9725180" TargetMode="External"/><Relationship Id="rId44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reduced=false" TargetMode="External"/><Relationship Id="rId45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deduction_rate=80&amp;tax_reduced=false" TargetMode="External"/><Relationship Id="rId46" Type="http://schemas.openxmlformats.org/officeDocument/2006/relationships/hyperlink" Target="https://secure.freee.co.jp/reports/general_ledgers/show?name=%E6%94%AF%E6%89%95%E6%89%8B%E6%95%B0%E6%96%99&amp;start_date=2026-02-01&amp;end_date=2026-02-28&amp;fiscal_year_id=9725180" TargetMode="External"/><Relationship Id="rId47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reduced=false" TargetMode="External"/><Relationship Id="rId48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deduction_rate=80&amp;tax_reduced=false" TargetMode="External"/><Relationship Id="rId49" Type="http://schemas.openxmlformats.org/officeDocument/2006/relationships/hyperlink" Target="https://secure.freee.co.jp/reports/general_ledgers/show?name=%E4%BA%A4%E9%9A%9B%E8%B2%BB&amp;start_date=2026-02-01&amp;end_date=2026-02-28&amp;fiscal_year_id=9725180" TargetMode="External"/><Relationship Id="rId50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34&amp;tax_rate=10&amp;tax_reduced=false" TargetMode="External"/><Relationship Id="rId51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0" TargetMode="External"/><Relationship Id="rId52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Relationship Id="rId53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54" Type="http://schemas.openxmlformats.org/officeDocument/2006/relationships/hyperlink" Target="https://secure.freee.co.jp/reports/general_ledgers/show?name=%E8%B3%9E%E4%B8%8E&amp;start_date=2026-02-01&amp;end_date=2026-02-28" TargetMode="External"/><Relationship Id="rId5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56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57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58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59" Type="http://schemas.openxmlformats.org/officeDocument/2006/relationships/hyperlink" Target="https://secure.freee.co.jp/reports/journals?deal_id=3330245117" TargetMode="External"/><Relationship Id="rId60" Type="http://schemas.openxmlformats.org/officeDocument/2006/relationships/hyperlink" Target="https://secure.freee.co.jp/reports/journals?deal_id=333024511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Apple%EF%BC%88App+Store%E7%AD%89%EF%BC%89&amp;start_date=2026-02-01&amp;end_date=2026-02-28" TargetMode="External"/><Relationship Id="rId2" Type="http://schemas.openxmlformats.org/officeDocument/2006/relationships/hyperlink" Target="https://secure.freee.co.jp/reports/journals?deal_id=3368733102" TargetMode="External"/><Relationship Id="rId3" Type="http://schemas.openxmlformats.org/officeDocument/2006/relationships/hyperlink" Target="https://secure.freee.co.jp/reports/journals?deal_id=3371366747" TargetMode="External"/><Relationship Id="rId4" Type="http://schemas.openxmlformats.org/officeDocument/2006/relationships/hyperlink" Target="https://secure.freee.co.jp/reports/journals?deal_id=3259159452" TargetMode="External"/><Relationship Id="rId5" Type="http://schemas.openxmlformats.org/officeDocument/2006/relationships/hyperlink" Target="https://secure.freee.co.jp/reports/journals?deal_id=3432332285" TargetMode="External"/><Relationship Id="rId6" Type="http://schemas.openxmlformats.org/officeDocument/2006/relationships/hyperlink" Target="https://secure.freee.co.jp/reports/general_ledgers/show?name=%E6%B0%B4%E9%81%93%E5%85%89%E7%86%B1%E8%B2%BB&amp;start_date=2026-02-01&amp;end_date=2026-02-28&amp;fiscal_year_id=9725180" TargetMode="External"/><Relationship Id="rId7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reduced=false" TargetMode="External"/><Relationship Id="rId8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deduction_rate=80&amp;tax_reduced=false" TargetMode="External"/><Relationship Id="rId9" Type="http://schemas.openxmlformats.org/officeDocument/2006/relationships/hyperlink" Target="https://secure.freee.co.jp/reports/general_ledgers/show?name=%E3%83%AA%E3%83%BC%E3%82%B9%E6%96%99&amp;start_date=2026-02-01&amp;end_date=2026-02-28&amp;fiscal_year_id=9725180" TargetMode="External"/><Relationship Id="rId10" Type="http://schemas.openxmlformats.org/officeDocument/2006/relationships/hyperlink" Target="https://secure.freee.co.jp/reports/general_ledgers/show?name=%E3%83%AA%E3%83%BC%E3%82%B9%E6%96%99&amp;start_date=2026-02-01&amp;end_date=2026-02-28&amp;fiscal_year_id=9725180&amp;tax_group_codes=34&amp;tax_rate=10&amp;tax_reduced=false" TargetMode="External"/><Relationship Id="rId11" Type="http://schemas.openxmlformats.org/officeDocument/2006/relationships/hyperlink" Target="https://secure.freee.co.jp/reports/general_ledgers/show?name=%E5%A4%96%E6%B3%A8%E8%B2%BB&amp;start_date=2026-02-01&amp;end_date=2026-02-28&amp;fiscal_year_id=9725180" TargetMode="External"/><Relationship Id="rId12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reduced=false" TargetMode="External"/><Relationship Id="rId13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deduction_rate=80&amp;tax_reduced=false" TargetMode="External"/><Relationship Id="rId14" Type="http://schemas.openxmlformats.org/officeDocument/2006/relationships/hyperlink" Target="https://secure.freee.co.jp/reports/general_ledgers/show?name=%E6%94%AF%E6%89%95%E6%89%8B%E6%95%B0%E6%96%99&amp;start_date=2026-02-01&amp;end_date=2026-02-28&amp;fiscal_year_id=9725180" TargetMode="External"/><Relationship Id="rId15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reduced=false" TargetMode="External"/><Relationship Id="rId16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deduction_rate=80&amp;tax_reduced=false" TargetMode="External"/><Relationship Id="rId17" Type="http://schemas.openxmlformats.org/officeDocument/2006/relationships/hyperlink" Target="https://secure.freee.co.jp/reports/general_ledgers/show?name=%E4%BA%A4%E9%9A%9B%E8%B2%BB&amp;start_date=2026-02-01&amp;end_date=2026-02-28&amp;fiscal_year_id=9725180" TargetMode="External"/><Relationship Id="rId18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34&amp;tax_rate=10&amp;tax_reduced=false" TargetMode="External"/><Relationship Id="rId19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0" TargetMode="External"/><Relationship Id="rId20" Type="http://schemas.openxmlformats.org/officeDocument/2006/relationships/hyperlink" Target="https://secure.freee.co.jp/reports/journals?deal_id=3330245117" TargetMode="External"/><Relationship Id="rId21" Type="http://schemas.openxmlformats.org/officeDocument/2006/relationships/hyperlink" Target="https://secure.freee.co.jp/reports/journals?deal_id=333024511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0%A7%E9%87%8E%E5%B7%9D%E4%BF%A1%E9%87%91&amp;start_date=2026-02-01&amp;end_date=2026-02-28" TargetMode="External"/><Relationship Id="rId2" Type="http://schemas.openxmlformats.org/officeDocument/2006/relationships/hyperlink" Target="https://secure.freee.co.jp/reports/journals?start_date=2022-03-01&amp;end_date=2026-02-28&amp;name=%E5%89%8D%E6%89%95%E8%B2%BB%E7%94%A8" TargetMode="External"/><Relationship Id="rId3" Type="http://schemas.openxmlformats.org/officeDocument/2006/relationships/hyperlink" Target="https://secure.freee.co.jp/reports/journals?start_date=2022-03-01&amp;end_date=2026-02-28&amp;name=%E5%89%8D%E6%89%95%E8%B2%BB%E7%94%A8&amp;partner_id=60265853" TargetMode="External"/><Relationship Id="rId4" Type="http://schemas.openxmlformats.org/officeDocument/2006/relationships/hyperlink" Target="https://secure.freee.co.jp/reports/journals?start_date=2020-03-01&amp;end_date=2026-02-28&amp;name=%E5%87%BA%E8%B3%87%E9%87%91" TargetMode="External"/><Relationship Id="rId5" Type="http://schemas.openxmlformats.org/officeDocument/2006/relationships/hyperlink" Target="https://secure.freee.co.jp/reports/journals?start_date=2020-03-01&amp;end_date=2026-02-28&amp;name=%E5%87%BA%E8%B3%87%E9%87%91&amp;partner_id=17376797" TargetMode="External"/><Relationship Id="rId6" Type="http://schemas.openxmlformats.org/officeDocument/2006/relationships/hyperlink" Target="https://secure.freee.co.jp/reports/journals?start_date=2020-03-01&amp;end_date=2026-02-28&amp;name=%E5%87%BA%E8%B3%87%E9%87%91&amp;partner_id=17480946" TargetMode="External"/><Relationship Id="rId7" Type="http://schemas.openxmlformats.org/officeDocument/2006/relationships/hyperlink" Target="https://secure.freee.co.jp/reports/journals?start_date=2023-03-01&amp;end_date=2026-02-28&amp;name=%E9%A0%90%E8%A8%97%E9%87%91" TargetMode="External"/><Relationship Id="rId8" Type="http://schemas.openxmlformats.org/officeDocument/2006/relationships/hyperlink" Target="https://secure.freee.co.jp/reports/journals?start_date=2023-03-01&amp;end_date=2026-02-28&amp;name=%E9%A0%90%E8%A8%97%E9%87%91&amp;partner_id=95778801" TargetMode="External"/><Relationship Id="rId9" Type="http://schemas.openxmlformats.org/officeDocument/2006/relationships/hyperlink" Target="https://secure.freee.co.jp/reports/journals?start_date=2023-03-01&amp;end_date=2026-02-28&amp;name=%E9%A0%90%E8%A8%97%E9%87%91&amp;partner_id=17344818" TargetMode="External"/><Relationship Id="rId10" Type="http://schemas.openxmlformats.org/officeDocument/2006/relationships/hyperlink" Target="https://secure.freee.co.jp/reports/general_ledgers/show?name=%E7%80%A7%E9%87%8E%E5%B7%9D%E4%BF%A1%E9%87%91&amp;start_date=2026-02-01&amp;end_date=2026-02-28&amp;fiscal_year_id=9725180" TargetMode="External"/><Relationship Id="rId11" Type="http://schemas.openxmlformats.org/officeDocument/2006/relationships/hyperlink" Target="https://secure.freee.co.jp/reports/general_ledgers/show?name=%E5%A3%B2%E6%8E%9B%E9%87%91&amp;start_date=2026-02-01&amp;end_date=2026-02-28&amp;fiscal_year_id=9725180" TargetMode="External"/><Relationship Id="rId12" Type="http://schemas.openxmlformats.org/officeDocument/2006/relationships/hyperlink" Target="https://secure.freee.co.jp/reports/general_ledgers/show?name=%E8%B2%B7%E6%8E%9B%E9%87%91&amp;start_date=2026-02-01&amp;end_date=2026-02-28&amp;fiscal_year_id=9725180" TargetMode="External"/><Relationship Id="rId13" Type="http://schemas.openxmlformats.org/officeDocument/2006/relationships/hyperlink" Target="https://secure.freee.co.jp/reports/general_ledgers/show?name=freeeVISA%E3%82%AB%E3%83%BC%E3%83%89&amp;start_date=2026-02-01&amp;end_date=2026-02-28&amp;fiscal_year_id=9725180" TargetMode="External"/><Relationship Id="rId14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Relationship Id="rId15" Type="http://schemas.openxmlformats.org/officeDocument/2006/relationships/hyperlink" Target="https://secure.freee.co.jp/reports/journals?deal_id=3305090855" TargetMode="External"/><Relationship Id="rId16" Type="http://schemas.openxmlformats.org/officeDocument/2006/relationships/hyperlink" Target="https://secure.freee.co.jp/reports/journals?deal_id=3305090870" TargetMode="External"/><Relationship Id="rId17" Type="http://schemas.openxmlformats.org/officeDocument/2006/relationships/hyperlink" Target="https://secure.freee.co.jp/reports/journals?deal_id=3305090855" TargetMode="External"/><Relationship Id="rId18" Type="http://schemas.openxmlformats.org/officeDocument/2006/relationships/hyperlink" Target="https://secure.freee.co.jp/reports/journals?deal_id=3289366382" TargetMode="External"/><Relationship Id="rId19" Type="http://schemas.openxmlformats.org/officeDocument/2006/relationships/hyperlink" Target="https://secure.freee.co.jp/reports/journals?deal_id=328936636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3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4" Type="http://schemas.openxmlformats.org/officeDocument/2006/relationships/hyperlink" Target="https://secure.freee.co.jp/reports/general_ledgers/show?name=%E5%A3%B2%E6%8E%9B%E9%87%91&amp;start_date=2026-02-01&amp;end_date=2026-02-28" TargetMode="External"/><Relationship Id="rId5" Type="http://schemas.openxmlformats.org/officeDocument/2006/relationships/hyperlink" Target="https://secure.freee.co.jp/reports/general_ledgers/show?name=%E5%A3%B2%E6%8E%9B%E9%87%91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4%BB%95%E5%85%A5%E9%AB%98&amp;start_date=2026-02-01&amp;end_date=2026-02-28" TargetMode="External"/><Relationship Id="rId9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1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2" Type="http://schemas.openxmlformats.org/officeDocument/2006/relationships/hyperlink" Target="https://secure.freee.co.jp/reports/journals?start_date=2022-03-01&amp;end_date=2026-02-28&amp;name=%E5%89%8D%E6%89%95%E8%B2%BB%E7%94%A8" TargetMode="External"/><Relationship Id="rId13" Type="http://schemas.openxmlformats.org/officeDocument/2006/relationships/hyperlink" Target="https://secure.freee.co.jp/reports/journals?start_date=2022-03-01&amp;end_date=2026-02-28&amp;name=%E5%89%8D%E6%89%95%E8%B2%BB%E7%94%A8" TargetMode="External"/><Relationship Id="rId14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15" Type="http://schemas.openxmlformats.org/officeDocument/2006/relationships/hyperlink" Target="https://secure.freee.co.jp/reports/general_ledgers/show?name=%E8%B3%9E%E4%B8%8E&amp;start_date=2026-02-01&amp;end_date=2026-02-28" TargetMode="External"/><Relationship Id="rId16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7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8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19" Type="http://schemas.openxmlformats.org/officeDocument/2006/relationships/hyperlink" Target="https://secure.freee.co.jp/reports/journals?start_date=2025-03-01&amp;end_date=2026-02-28&amp;name=%E6%94%AF%E6%89%95%E5%A0%B1%E9%85%AC%E6%96%99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F%BE%E9%87%91&amp;start_date=2025-03-01&amp;end_date=2026-02-28&amp;fiscal_year_id=9725180" TargetMode="External"/><Relationship Id="rId2" Type="http://schemas.openxmlformats.org/officeDocument/2006/relationships/hyperlink" Target="https://secure.freee.co.jp/reports/general_ledgers/show?name=%E7%80%A7%E9%87%8E%E5%B7%9D%E4%BF%A1%E9%87%91&amp;start_date=2025-03-01&amp;end_date=2026-02-28&amp;fiscal_year_id=9725180" TargetMode="External"/><Relationship Id="rId3" Type="http://schemas.openxmlformats.org/officeDocument/2006/relationships/hyperlink" Target="https://secure.freee.co.jp/reports/general_ledgers/show?name=%E5%B0%8F%E5%8F%A3%E7%8F%BE%E9%87%91%EF%BC%88%E5%96%B6%E6%A5%AD%EF%BC%89&amp;start_date=2025-03-01&amp;end_date=2026-02-28&amp;fiscal_year_id=9725180" TargetMode="External"/><Relationship Id="rId4" Type="http://schemas.openxmlformats.org/officeDocument/2006/relationships/hyperlink" Target="https://secure.freee.co.jp/reports/journals?start_date=2024-03-01&amp;end_date=2026-02-28&amp;name=%E5%B0%8F%E5%8F%A3%E7%8F%BE%E9%87%91%EF%BC%88%E7%A4%BE%E9%95%B7%E4%BB%AE%E6%89%95%E9%87%91%EF%BC%89" TargetMode="External"/><Relationship Id="rId5" Type="http://schemas.openxmlformats.org/officeDocument/2006/relationships/hyperlink" Target="https://secure.freee.co.jp/reports/general_ledgers/show?name=%E5%A3%B2%E6%8E%9B%E9%87%91&amp;start_date=2025-03-01&amp;end_date=2026-02-28&amp;fiscal_year_id=9725180" TargetMode="External"/><Relationship Id="rId6" Type="http://schemas.openxmlformats.org/officeDocument/2006/relationships/hyperlink" Target="https://secure.freee.co.jp/reports/general_ledgers/show?name=%E5%95%86%E5%93%81&amp;start_date=2025-03-01&amp;end_date=2026-02-28&amp;fiscal_year_id=9725180" TargetMode="External"/><Relationship Id="rId7" Type="http://schemas.openxmlformats.org/officeDocument/2006/relationships/hyperlink" Target="https://secure.freee.co.jp/reports/journals?start_date=2024-03-01&amp;end_date=2026-02-28&amp;name=%E5%89%8D%E6%B8%A1%E9%87%91" TargetMode="External"/><Relationship Id="rId8" Type="http://schemas.openxmlformats.org/officeDocument/2006/relationships/hyperlink" Target="https://secure.freee.co.jp/reports/journals?start_date=2022-03-01&amp;end_date=2026-02-28&amp;name=%E5%89%8D%E6%89%95%E8%B2%BB%E7%94%A8" TargetMode="External"/><Relationship Id="rId9" Type="http://schemas.openxmlformats.org/officeDocument/2006/relationships/hyperlink" Target="https://secure.freee.co.jp/reports/journals?start_date=2024-03-01&amp;end_date=2026-02-28&amp;name=%E4%BB%AE%E6%89%95%E9%87%91" TargetMode="External"/><Relationship Id="rId10" Type="http://schemas.openxmlformats.org/officeDocument/2006/relationships/hyperlink" Target="https://secure.freee.co.jp/reports/general_ledgers/show?name=%E6%A9%9F%E6%A2%B0%E8%A3%85%E7%BD%AE&amp;start_date=2025-03-01&amp;end_date=2026-02-28&amp;fiscal_year_id=9725180" TargetMode="External"/><Relationship Id="rId11" Type="http://schemas.openxmlformats.org/officeDocument/2006/relationships/hyperlink" Target="https://secure.freee.co.jp/reports/general_ledgers/show?name=%E8%BB%8A%E4%B8%A1%E9%81%8B%E6%90%AC%E5%85%B7&amp;start_date=2025-03-01&amp;end_date=2026-02-28&amp;fiscal_year_id=9725180" TargetMode="External"/><Relationship Id="rId12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25180" TargetMode="External"/><Relationship Id="rId13" Type="http://schemas.openxmlformats.org/officeDocument/2006/relationships/hyperlink" Target="https://secure.freee.co.jp/reports/journals?start_date=2020-03-01&amp;end_date=2026-02-28&amp;name=%E5%87%BA%E8%B3%87%E9%87%91" TargetMode="External"/><Relationship Id="rId14" Type="http://schemas.openxmlformats.org/officeDocument/2006/relationships/hyperlink" Target="https://secure.freee.co.jp/reports/general_ledgers/show?name=%E7%A9%8D%E7%AB%8B%E4%BF%9D%E8%A8%BC%E9%87%91&amp;start_date=2025-03-01&amp;end_date=2026-02-28&amp;fiscal_year_id=9725180" TargetMode="External"/><Relationship Id="rId15" Type="http://schemas.openxmlformats.org/officeDocument/2006/relationships/hyperlink" Target="https://secure.freee.co.jp/reports/journals?start_date=2022-03-01&amp;end_date=2026-02-28&amp;name=%E6%95%B7%E9%87%91" TargetMode="External"/><Relationship Id="rId16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25180" TargetMode="External"/><Relationship Id="rId17" Type="http://schemas.openxmlformats.org/officeDocument/2006/relationships/hyperlink" Target="https://secure.freee.co.jp/reports/journals?start_date=2023-03-01&amp;end_date=2026-02-28&amp;name=%E9%A0%90%E8%A8%97%E9%87%91" TargetMode="External"/><Relationship Id="rId18" Type="http://schemas.openxmlformats.org/officeDocument/2006/relationships/hyperlink" Target="https://secure.freee.co.jp/reports/general_ledgers/show?name=%E6%A8%A9%E5%88%A9%E9%87%91&amp;start_date=2025-03-01&amp;end_date=2026-02-28&amp;fiscal_year_id=9725180" TargetMode="External"/><Relationship Id="rId19" Type="http://schemas.openxmlformats.org/officeDocument/2006/relationships/hyperlink" Target="https://secure.freee.co.jp/reports/general_ledgers/show?name=%E8%B2%B7%E6%8E%9B%E9%87%91&amp;start_date=2025-03-01&amp;end_date=2026-02-28&amp;fiscal_year_id=9725180" TargetMode="External"/><Relationship Id="rId20" Type="http://schemas.openxmlformats.org/officeDocument/2006/relationships/hyperlink" Target="https://secure.freee.co.jp/reports/general_ledgers/show?name=%E6%9C%AA%E6%89%95%E9%87%91&amp;start_date=2025-03-01&amp;end_date=2026-02-28&amp;fiscal_year_id=9725180" TargetMode="External"/><Relationship Id="rId21" Type="http://schemas.openxmlformats.org/officeDocument/2006/relationships/hyperlink" Target="https://secure.freee.co.jp/reports/general_ledgers/show?name=freeeVISA%E3%82%AB%E3%83%BC%E3%83%89&amp;start_date=2025-03-01&amp;end_date=2026-02-28&amp;fiscal_year_id=9725180" TargetMode="External"/><Relationship Id="rId22" Type="http://schemas.openxmlformats.org/officeDocument/2006/relationships/hyperlink" Target="https://secure.freee.co.jp/reports/general_ledgers/show?name=%E3%82%AC%E3%82%BD%E3%83%AA%E3%83%B3%E3%82%AB%E3%83%BC%E3%83%89&amp;start_date=2025-03-01&amp;end_date=2026-02-28&amp;fiscal_year_id=9725180" TargetMode="External"/><Relationship Id="rId23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5" Type="http://schemas.openxmlformats.org/officeDocument/2006/relationships/hyperlink" Target="https://secure.freee.co.jp/reports/general_ledgers/show?name=%E9%A0%90%E3%82%8A%E9%87%91&amp;start_date=2025-03-01&amp;end_date=2026-02-28&amp;fiscal_year_id=9725180" TargetMode="External"/><Relationship Id="rId26" Type="http://schemas.openxmlformats.org/officeDocument/2006/relationships/hyperlink" Target="https://secure.freee.co.jp/reports/general_ledgers/show?name=%E9%95%B7%E6%9C%9F%E5%80%9F%E5%85%A5%E9%87%91&amp;start_date=2025-03-01&amp;end_date=2026-02-28&amp;fiscal_year_id=9725180" TargetMode="External"/><Relationship Id="rId27" Type="http://schemas.openxmlformats.org/officeDocument/2006/relationships/hyperlink" Target="https://secure.freee.co.jp/reports/journals?start_date=2020-03-01&amp;end_date=2026-02-28&amp;name=%E8%B3%87%E6%9C%AC%E9%87%91" TargetMode="External"/><Relationship Id="rId28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25180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25180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25180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25180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25180" TargetMode="External"/><Relationship Id="rId6" Type="http://schemas.openxmlformats.org/officeDocument/2006/relationships/hyperlink" Target="https://secure.freee.co.jp/reports/general_ledgers/show?name=%E6%94%AF%E6%89%95%E5%A0%B1%E9%85%AC%E6%96%99&amp;start_date=2025-03-01&amp;end_date=2026-02-28&amp;fiscal_year_id=9725180" TargetMode="External"/><Relationship Id="rId7" Type="http://schemas.openxmlformats.org/officeDocument/2006/relationships/hyperlink" Target="https://secure.freee.co.jp/reports/general_ledgers/show?name=%E7%A6%8F%E5%88%A9%E5%8E%9A%E7%94%9F%E8%B2%BB&amp;start_date=2025-03-01&amp;end_date=2026-02-28&amp;fiscal_year_id=9725180" TargetMode="External"/><Relationship Id="rId8" Type="http://schemas.openxmlformats.org/officeDocument/2006/relationships/hyperlink" Target="https://secure.freee.co.jp/reports/general_ledgers/show?name=%E6%B6%88%E8%80%97%E5%93%81%E8%B2%BB&amp;start_date=2025-03-01&amp;end_date=2026-02-28&amp;fiscal_year_id=9725180" TargetMode="External"/><Relationship Id="rId9" Type="http://schemas.openxmlformats.org/officeDocument/2006/relationships/hyperlink" Target="https://secure.freee.co.jp/reports/general_ledgers/show?name=%E6%97%85%E8%B2%BB%E4%BA%A4%E9%80%9A%E8%B2%BB&amp;start_date=2025-03-01&amp;end_date=2026-02-28&amp;fiscal_year_id=9725180" TargetMode="External"/><Relationship Id="rId10" Type="http://schemas.openxmlformats.org/officeDocument/2006/relationships/hyperlink" Target="https://secure.freee.co.jp/reports/general_ledgers/show?name=%E8%BB%8A%E4%B8%A1%E8%B2%BB&amp;start_date=2025-03-01&amp;end_date=2026-02-28&amp;fiscal_year_id=9725180" TargetMode="External"/><Relationship Id="rId11" Type="http://schemas.openxmlformats.org/officeDocument/2006/relationships/hyperlink" Target="https://secure.freee.co.jp/reports/general_ledgers/show?name=%E4%BF%9D%E9%99%BA%E6%96%99&amp;start_date=2025-03-01&amp;end_date=2026-02-28&amp;fiscal_year_id=9725180" TargetMode="External"/><Relationship Id="rId12" Type="http://schemas.openxmlformats.org/officeDocument/2006/relationships/hyperlink" Target="https://secure.freee.co.jp/reports/general_ledgers/show?name=%E9%80%9A%E4%BF%A1%E8%B2%BB&amp;start_date=2025-03-01&amp;end_date=2026-02-28&amp;fiscal_year_id=9725180" TargetMode="External"/><Relationship Id="rId13" Type="http://schemas.openxmlformats.org/officeDocument/2006/relationships/hyperlink" Target="https://secure.freee.co.jp/reports/general_ledgers/show?name=%E4%BA%A4%E9%9A%9B%E8%B2%BB&amp;start_date=2025-03-01&amp;end_date=2026-02-28&amp;fiscal_year_id=9725180" TargetMode="External"/><Relationship Id="rId14" Type="http://schemas.openxmlformats.org/officeDocument/2006/relationships/hyperlink" Target="https://secure.freee.co.jp/reports/general_ledgers/show?name=%E6%B0%B4%E9%81%93%E5%85%89%E7%86%B1%E8%B2%BB&amp;start_date=2025-03-01&amp;end_date=2026-02-28&amp;fiscal_year_id=9725180" TargetMode="External"/><Relationship Id="rId15" Type="http://schemas.openxmlformats.org/officeDocument/2006/relationships/hyperlink" Target="https://secure.freee.co.jp/reports/general_ledgers/show?name=%E6%94%AF%E6%89%95%E6%89%8B%E6%95%B0%E6%96%99&amp;start_date=2025-03-01&amp;end_date=2026-02-28&amp;fiscal_year_id=9725180" TargetMode="External"/><Relationship Id="rId16" Type="http://schemas.openxmlformats.org/officeDocument/2006/relationships/hyperlink" Target="https://secure.freee.co.jp/reports/general_ledgers/show?name=%E4%BC%9A%E8%AD%B0%E8%B2%BB&amp;start_date=2025-03-01&amp;end_date=2026-02-28&amp;fiscal_year_id=9725180" TargetMode="External"/><Relationship Id="rId17" Type="http://schemas.openxmlformats.org/officeDocument/2006/relationships/hyperlink" Target="https://secure.freee.co.jp/reports/general_ledgers/show?name=%E5%BA%83%E5%91%8A%E5%AE%A3%E4%BC%9D%E8%B2%BB&amp;start_date=2025-03-01&amp;end_date=2026-02-28&amp;fiscal_year_id=9725180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25180" TargetMode="External"/><Relationship Id="rId19" Type="http://schemas.openxmlformats.org/officeDocument/2006/relationships/hyperlink" Target="https://secure.freee.co.jp/reports/general_ledgers/show?name=%E7%A7%9F%E7%A8%8E%E5%85%AC%E8%AA%B2&amp;start_date=2025-03-01&amp;end_date=2026-02-28&amp;fiscal_year_id=9725180" TargetMode="External"/><Relationship Id="rId20" Type="http://schemas.openxmlformats.org/officeDocument/2006/relationships/hyperlink" Target="https://secure.freee.co.jp/reports/general_ledgers/show?name=%E8%8D%B7%E9%80%A0%E9%81%8B%E8%B3%83&amp;start_date=2025-03-01&amp;end_date=2026-02-28&amp;fiscal_year_id=9725180" TargetMode="External"/><Relationship Id="rId21" Type="http://schemas.openxmlformats.org/officeDocument/2006/relationships/hyperlink" Target="https://secure.freee.co.jp/reports/general_ledgers/show?name=%E6%96%B0%E8%81%9E%E5%9B%B3%E6%9B%B8%E8%B2%BB&amp;start_date=2025-03-01&amp;end_date=2026-02-28&amp;fiscal_year_id=9725180" TargetMode="External"/><Relationship Id="rId22" Type="http://schemas.openxmlformats.org/officeDocument/2006/relationships/hyperlink" Target="https://secure.freee.co.jp/reports/general_ledgers/show?name=%E8%AB%B8%E4%BC%9A%E8%B2%BB&amp;start_date=2025-03-01&amp;end_date=2026-02-28&amp;fiscal_year_id=9725180" TargetMode="External"/><Relationship Id="rId23" Type="http://schemas.openxmlformats.org/officeDocument/2006/relationships/hyperlink" Target="https://secure.freee.co.jp/reports/general_ledgers/show?name=%E4%BF%9D%E5%AE%88%E6%96%99&amp;start_date=2025-03-01&amp;end_date=2026-02-28&amp;fiscal_year_id=9725180" TargetMode="External"/><Relationship Id="rId24" Type="http://schemas.openxmlformats.org/officeDocument/2006/relationships/hyperlink" Target="https://secure.freee.co.jp/reports/general_ledgers/show?name=%E3%83%AA%E3%83%BC%E3%82%B9%E6%96%99&amp;start_date=2025-03-01&amp;end_date=2026-02-28&amp;fiscal_year_id=9725180" TargetMode="External"/><Relationship Id="rId25" Type="http://schemas.openxmlformats.org/officeDocument/2006/relationships/hyperlink" Target="https://secure.freee.co.jp/reports/general_ledgers/show?name=%E6%B8%9B%E4%BE%A1%E5%84%9F%E5%8D%B4%E8%B2%BB&amp;start_date=2025-03-01&amp;end_date=2026-02-28&amp;fiscal_year_id=9725180" TargetMode="External"/><Relationship Id="rId26" Type="http://schemas.openxmlformats.org/officeDocument/2006/relationships/hyperlink" Target="https://secure.freee.co.jp/reports/general_ledgers/show?name=%E5%8F%97%E5%8F%96%E5%88%A9%E6%81%AF&amp;start_date=2025-03-01&amp;end_date=2026-02-28&amp;fiscal_year_id=9725180" TargetMode="External"/><Relationship Id="rId27" Type="http://schemas.openxmlformats.org/officeDocument/2006/relationships/hyperlink" Target="https://secure.freee.co.jp/reports/general_ledgers/show?name=%E5%8F%97%E5%8F%96%E9%85%8D%E5%BD%93%E9%87%91&amp;start_date=2025-03-01&amp;end_date=2026-02-28&amp;fiscal_year_id=9725180" TargetMode="External"/><Relationship Id="rId28" Type="http://schemas.openxmlformats.org/officeDocument/2006/relationships/hyperlink" Target="https://secure.freee.co.jp/reports/general_ledgers/show?name=%E6%94%AF%E6%89%95%E5%88%A9%E6%81%AF&amp;start_date=2025-03-01&amp;end_date=2026-02-28&amp;fiscal_year_id=9725180" TargetMode="External"/><Relationship Id="rId29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25180" TargetMode="External"/><Relationship Id="rId30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25180" TargetMode="External"/><Relationship Id="rId31" Type="http://schemas.openxmlformats.org/officeDocument/2006/relationships/hyperlink" Target="https://secure.freee.co.jp/reports/general_ledgers/show?name=%E4%BB%95%E5%85%A5%E9%AB%98&amp;start_date=2025-03-01&amp;end_date=2026-02-28&amp;fiscal_year_id=9725180" TargetMode="External"/><Relationship Id="rId32" Type="http://schemas.openxmlformats.org/officeDocument/2006/relationships/hyperlink" Target="https://secure.freee.co.jp/reports/general_ledgers/show?name=%E5%A4%96%E6%B3%A8%E8%B2%BB&amp;start_date=2025-03-01&amp;end_date=2026-02-28&amp;fiscal_year_id=9725180" TargetMode="External"/><Relationship Id="rId33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25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31</v>
      </c>
      <c r="D9" s="9">
        <v>8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6</v>
      </c>
      <c r="D14" s="11">
        <v>1</v>
      </c>
      <c r="E14" s="11">
        <v>8</v>
      </c>
    </row>
    <row r="15" spans="1:5" x14ac:dyDescent="0.25">
      <c r="A15" s="10" t="s">
        <v>18</v>
      </c>
      <c r="B15" s="11" t="s">
        <v>19</v>
      </c>
      <c r="C15" s="11">
        <v>1</v>
      </c>
      <c r="D15" s="11" t="s">
        <v>19</v>
      </c>
      <c r="E15" s="11">
        <v>1</v>
      </c>
    </row>
    <row r="16" spans="1:5" x14ac:dyDescent="0.25">
      <c r="A16" s="10" t="s">
        <v>20</v>
      </c>
      <c r="B16" s="11" t="s">
        <v>19</v>
      </c>
      <c r="C16" s="11" t="s">
        <v>19</v>
      </c>
      <c r="D16" s="11" t="s">
        <v>19</v>
      </c>
      <c r="E16" s="11" t="s">
        <v>19</v>
      </c>
    </row>
    <row r="17" spans="1:5" x14ac:dyDescent="0.25">
      <c r="A17" s="10" t="s">
        <v>21</v>
      </c>
      <c r="B17" s="11" t="s">
        <v>19</v>
      </c>
      <c r="C17" s="11">
        <v>9</v>
      </c>
      <c r="D17" s="11" t="s">
        <v>19</v>
      </c>
      <c r="E17" s="11">
        <v>9</v>
      </c>
    </row>
    <row r="18" spans="1:5" x14ac:dyDescent="0.25">
      <c r="A18" s="10" t="s">
        <v>22</v>
      </c>
      <c r="B18" s="11" t="s">
        <v>19</v>
      </c>
      <c r="C18" s="11">
        <v>14</v>
      </c>
      <c r="D18" s="11">
        <v>6</v>
      </c>
      <c r="E18" s="11">
        <v>20</v>
      </c>
    </row>
    <row r="19" spans="1:5" x14ac:dyDescent="0.25">
      <c r="A19" s="10" t="s">
        <v>23</v>
      </c>
      <c r="B19" s="11" t="s">
        <v>19</v>
      </c>
      <c r="C19" s="11">
        <v>1</v>
      </c>
      <c r="D19" s="11">
        <v>1</v>
      </c>
      <c r="E19" s="11">
        <v>2</v>
      </c>
    </row>
    <row r="20" spans="1:5" x14ac:dyDescent="0.25">
      <c r="A20" s="12" t="s">
        <v>16</v>
      </c>
      <c r="B20" s="13">
        <v>1</v>
      </c>
      <c r="C20" s="13">
        <v>31</v>
      </c>
      <c r="D20" s="13">
        <v>8</v>
      </c>
      <c r="E20" s="13">
        <v>40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0" t="s">
        <v>28</v>
      </c>
      <c r="B25" s="10" t="s">
        <v>29</v>
      </c>
      <c r="C25" s="11" t="s">
        <v>30</v>
      </c>
      <c r="D25" s="11">
        <v>0</v>
      </c>
    </row>
    <row r="26" spans="1:4" x14ac:dyDescent="0.25">
      <c r="A26" s="14" t="s">
        <v>31</v>
      </c>
      <c r="B26" s="14" t="s">
        <v>32</v>
      </c>
      <c r="C26" s="15" t="s">
        <v>33</v>
      </c>
      <c r="D26" s="15">
        <v>1</v>
      </c>
    </row>
    <row r="27" spans="1:4" x14ac:dyDescent="0.25">
      <c r="A27" s="10" t="s">
        <v>34</v>
      </c>
      <c r="B27" s="10" t="s">
        <v>35</v>
      </c>
      <c r="C27" s="11" t="s">
        <v>30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30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30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30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33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30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30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30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30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30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30</v>
      </c>
      <c r="D37" s="11">
        <v>0</v>
      </c>
    </row>
    <row r="38" spans="1:4" x14ac:dyDescent="0.25">
      <c r="A38" s="14" t="s">
        <v>56</v>
      </c>
      <c r="B38" s="14" t="s">
        <v>57</v>
      </c>
      <c r="C38" s="15" t="s">
        <v>33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30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30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30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30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30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30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30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30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30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30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30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30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30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30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33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30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30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33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30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33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33</v>
      </c>
      <c r="D59" s="15">
        <v>4</v>
      </c>
    </row>
    <row r="60" spans="1:4" x14ac:dyDescent="0.25">
      <c r="A60" s="10" t="s">
        <v>100</v>
      </c>
      <c r="B60" s="10" t="s">
        <v>101</v>
      </c>
      <c r="C60" s="11" t="s">
        <v>30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33</v>
      </c>
      <c r="D61" s="15">
        <v>2</v>
      </c>
    </row>
    <row r="62" spans="1:4" x14ac:dyDescent="0.25">
      <c r="A62" s="14" t="s">
        <v>104</v>
      </c>
      <c r="B62" s="14" t="s">
        <v>105</v>
      </c>
      <c r="C62" s="15" t="s">
        <v>33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30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33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30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33</v>
      </c>
      <c r="D66" s="15">
        <v>3</v>
      </c>
    </row>
    <row r="67" spans="1:4" x14ac:dyDescent="0.25">
      <c r="A67" s="10" t="s">
        <v>114</v>
      </c>
      <c r="B67" s="10" t="s">
        <v>115</v>
      </c>
      <c r="C67" s="11" t="s">
        <v>30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33</v>
      </c>
      <c r="D68" s="15">
        <v>5</v>
      </c>
    </row>
    <row r="69" spans="1:4" x14ac:dyDescent="0.25">
      <c r="A69" s="10" t="s">
        <v>118</v>
      </c>
      <c r="B69" s="10" t="s">
        <v>119</v>
      </c>
      <c r="C69" s="11" t="s">
        <v>30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33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30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30</v>
      </c>
      <c r="D72" s="11">
        <v>0</v>
      </c>
    </row>
    <row r="73" spans="1:4" x14ac:dyDescent="0.25">
      <c r="A73" s="10" t="s">
        <v>126</v>
      </c>
      <c r="B73" s="10" t="s">
        <v>127</v>
      </c>
      <c r="C73" s="11" t="s">
        <v>30</v>
      </c>
      <c r="D73" s="11">
        <v>0</v>
      </c>
    </row>
    <row r="74" spans="1:4" x14ac:dyDescent="0.25">
      <c r="A74" s="14" t="s">
        <v>128</v>
      </c>
      <c r="B74" s="14" t="s">
        <v>129</v>
      </c>
      <c r="C74" s="15" t="s">
        <v>33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30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30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30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30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30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30</v>
      </c>
      <c r="D80" s="11">
        <v>0</v>
      </c>
    </row>
    <row r="81" spans="1:4" x14ac:dyDescent="0.25">
      <c r="A81" s="14" t="s">
        <v>142</v>
      </c>
      <c r="B81" s="14" t="s">
        <v>143</v>
      </c>
      <c r="C81" s="15" t="s">
        <v>33</v>
      </c>
      <c r="D81" s="15">
        <v>1</v>
      </c>
    </row>
    <row r="82" spans="1:4" x14ac:dyDescent="0.25">
      <c r="A82" s="14" t="s">
        <v>144</v>
      </c>
      <c r="B82" s="14" t="s">
        <v>145</v>
      </c>
      <c r="C82" s="15" t="s">
        <v>33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33</v>
      </c>
      <c r="D83" s="15">
        <v>5</v>
      </c>
    </row>
    <row r="84" spans="1:4" x14ac:dyDescent="0.25">
      <c r="A84" s="10" t="s">
        <v>148</v>
      </c>
      <c r="B84" s="10" t="s">
        <v>149</v>
      </c>
      <c r="C84" s="11" t="s">
        <v>30</v>
      </c>
      <c r="D84" s="11">
        <v>0</v>
      </c>
    </row>
    <row r="85" spans="1:4" x14ac:dyDescent="0.25">
      <c r="A85" s="14" t="s">
        <v>150</v>
      </c>
      <c r="B85" s="14" t="s">
        <v>151</v>
      </c>
      <c r="C85" s="15" t="s">
        <v>33</v>
      </c>
      <c r="D85" s="15">
        <v>1</v>
      </c>
    </row>
    <row r="86" spans="1:4" x14ac:dyDescent="0.25">
      <c r="A86" s="10" t="s">
        <v>152</v>
      </c>
      <c r="B86" s="10" t="s">
        <v>153</v>
      </c>
      <c r="C86" s="11" t="s">
        <v>30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30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30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33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30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30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30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30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30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142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9" t="s">
        <v>6</v>
      </c>
      <c r="B3" s="19" t="s">
        <v>6</v>
      </c>
      <c r="C3" s="19" t="s">
        <v>6</v>
      </c>
      <c r="D3" s="20" t="s">
        <v>181</v>
      </c>
      <c r="E3" s="19" t="s">
        <v>182</v>
      </c>
      <c r="F3" s="20" t="s">
        <v>6</v>
      </c>
      <c r="G3" s="21" t="s">
        <v>183</v>
      </c>
    </row>
    <row r="4" spans="1:7" x14ac:dyDescent="0.25">
      <c r="A4" s="14" t="s">
        <v>14</v>
      </c>
      <c r="B4" s="14" t="s">
        <v>31</v>
      </c>
      <c r="C4" s="14" t="s">
        <v>184</v>
      </c>
      <c r="D4" s="22" t="s">
        <v>185</v>
      </c>
      <c r="E4" s="14" t="s">
        <v>186</v>
      </c>
      <c r="F4" s="22" t="s">
        <v>187</v>
      </c>
      <c r="G4" s="14" t="s">
        <v>6</v>
      </c>
    </row>
    <row r="5" spans="1:7" x14ac:dyDescent="0.25">
      <c r="A5" s="14" t="s">
        <v>14</v>
      </c>
      <c r="B5" s="14" t="s">
        <v>42</v>
      </c>
      <c r="C5" s="14" t="s">
        <v>188</v>
      </c>
      <c r="D5" s="22" t="s">
        <v>189</v>
      </c>
      <c r="E5" s="14" t="s">
        <v>190</v>
      </c>
      <c r="F5" s="22" t="s">
        <v>191</v>
      </c>
      <c r="G5" s="23" t="s">
        <v>180</v>
      </c>
    </row>
    <row r="6" spans="1:7" x14ac:dyDescent="0.25">
      <c r="A6" s="14" t="s">
        <v>14</v>
      </c>
      <c r="B6" s="14" t="s">
        <v>86</v>
      </c>
      <c r="C6" s="14" t="s">
        <v>192</v>
      </c>
      <c r="D6" s="22" t="s">
        <v>193</v>
      </c>
      <c r="E6" s="14" t="s">
        <v>194</v>
      </c>
      <c r="F6" s="22" t="s">
        <v>195</v>
      </c>
      <c r="G6" s="23" t="s">
        <v>180</v>
      </c>
    </row>
    <row r="7" spans="1:7" x14ac:dyDescent="0.25">
      <c r="A7" s="14" t="s">
        <v>14</v>
      </c>
      <c r="B7" s="14" t="s">
        <v>92</v>
      </c>
      <c r="C7" s="14" t="s">
        <v>196</v>
      </c>
      <c r="D7" s="22" t="s">
        <v>197</v>
      </c>
      <c r="E7" s="14" t="s">
        <v>198</v>
      </c>
      <c r="F7" s="22" t="s">
        <v>199</v>
      </c>
      <c r="G7" s="23" t="s">
        <v>180</v>
      </c>
    </row>
    <row r="8" spans="1:7" x14ac:dyDescent="0.25">
      <c r="A8" s="14" t="s">
        <v>14</v>
      </c>
      <c r="B8" s="14" t="s">
        <v>92</v>
      </c>
      <c r="C8" s="14" t="s">
        <v>196</v>
      </c>
      <c r="D8" s="22" t="s">
        <v>200</v>
      </c>
      <c r="E8" s="14" t="s">
        <v>198</v>
      </c>
      <c r="F8" s="22" t="s">
        <v>199</v>
      </c>
      <c r="G8" s="23" t="s">
        <v>180</v>
      </c>
    </row>
    <row r="9" spans="1:7" x14ac:dyDescent="0.25">
      <c r="A9" s="14" t="s">
        <v>14</v>
      </c>
      <c r="B9" s="14" t="s">
        <v>96</v>
      </c>
      <c r="C9" s="14" t="s">
        <v>201</v>
      </c>
      <c r="D9" s="22" t="s">
        <v>202</v>
      </c>
      <c r="E9" s="14" t="s">
        <v>203</v>
      </c>
      <c r="F9" s="22" t="s">
        <v>204</v>
      </c>
      <c r="G9" s="14" t="s">
        <v>6</v>
      </c>
    </row>
    <row r="10" spans="1:7" x14ac:dyDescent="0.25">
      <c r="A10" s="14" t="s">
        <v>14</v>
      </c>
      <c r="B10" s="14" t="s">
        <v>96</v>
      </c>
      <c r="C10" s="14" t="s">
        <v>201</v>
      </c>
      <c r="D10" s="22" t="s">
        <v>205</v>
      </c>
      <c r="E10" s="14" t="s">
        <v>203</v>
      </c>
      <c r="F10" s="22" t="s">
        <v>206</v>
      </c>
      <c r="G10" s="14" t="s">
        <v>6</v>
      </c>
    </row>
    <row r="11" spans="1:7" x14ac:dyDescent="0.25">
      <c r="A11" s="14" t="s">
        <v>14</v>
      </c>
      <c r="B11" s="14" t="s">
        <v>98</v>
      </c>
      <c r="C11" s="14" t="s">
        <v>201</v>
      </c>
      <c r="D11" s="22" t="s">
        <v>207</v>
      </c>
      <c r="E11" s="14" t="s">
        <v>208</v>
      </c>
      <c r="F11" s="22" t="s">
        <v>209</v>
      </c>
      <c r="G11" s="23" t="s">
        <v>180</v>
      </c>
    </row>
    <row r="12" spans="1:7" x14ac:dyDescent="0.25">
      <c r="A12" s="14" t="s">
        <v>14</v>
      </c>
      <c r="B12" s="14" t="s">
        <v>98</v>
      </c>
      <c r="C12" s="14" t="s">
        <v>201</v>
      </c>
      <c r="D12" s="22" t="s">
        <v>210</v>
      </c>
      <c r="E12" s="14" t="s">
        <v>211</v>
      </c>
      <c r="F12" s="22" t="s">
        <v>209</v>
      </c>
      <c r="G12" s="23" t="s">
        <v>180</v>
      </c>
    </row>
    <row r="13" spans="1:7" x14ac:dyDescent="0.25">
      <c r="A13" s="14" t="s">
        <v>14</v>
      </c>
      <c r="B13" s="14" t="s">
        <v>98</v>
      </c>
      <c r="C13" s="14" t="s">
        <v>201</v>
      </c>
      <c r="D13" s="22" t="s">
        <v>212</v>
      </c>
      <c r="E13" s="14" t="s">
        <v>213</v>
      </c>
      <c r="F13" s="22" t="s">
        <v>209</v>
      </c>
      <c r="G13" s="23" t="s">
        <v>180</v>
      </c>
    </row>
    <row r="14" spans="1:7" x14ac:dyDescent="0.25">
      <c r="A14" s="14" t="s">
        <v>14</v>
      </c>
      <c r="B14" s="14" t="s">
        <v>98</v>
      </c>
      <c r="C14" s="14" t="s">
        <v>201</v>
      </c>
      <c r="D14" s="22" t="s">
        <v>214</v>
      </c>
      <c r="E14" s="14" t="s">
        <v>215</v>
      </c>
      <c r="F14" s="22" t="s">
        <v>209</v>
      </c>
      <c r="G14" s="23" t="s">
        <v>180</v>
      </c>
    </row>
    <row r="15" spans="1:7" x14ac:dyDescent="0.25">
      <c r="A15" s="14" t="s">
        <v>14</v>
      </c>
      <c r="B15" s="14" t="s">
        <v>102</v>
      </c>
      <c r="C15" s="14" t="s">
        <v>216</v>
      </c>
      <c r="D15" s="22" t="s">
        <v>217</v>
      </c>
      <c r="E15" s="14" t="s">
        <v>218</v>
      </c>
      <c r="F15" s="22" t="s">
        <v>219</v>
      </c>
      <c r="G15" s="23" t="s">
        <v>180</v>
      </c>
    </row>
    <row r="16" spans="1:7" x14ac:dyDescent="0.25">
      <c r="A16" s="14" t="s">
        <v>14</v>
      </c>
      <c r="B16" s="14" t="s">
        <v>102</v>
      </c>
      <c r="C16" s="14" t="s">
        <v>216</v>
      </c>
      <c r="D16" s="22" t="s">
        <v>220</v>
      </c>
      <c r="E16" s="14" t="s">
        <v>221</v>
      </c>
      <c r="F16" s="22" t="s">
        <v>219</v>
      </c>
      <c r="G16" s="23" t="s">
        <v>180</v>
      </c>
    </row>
    <row r="17" spans="1:7" x14ac:dyDescent="0.25">
      <c r="A17" s="14" t="s">
        <v>14</v>
      </c>
      <c r="B17" s="14" t="s">
        <v>104</v>
      </c>
      <c r="C17" s="14" t="s">
        <v>216</v>
      </c>
      <c r="D17" s="22" t="s">
        <v>222</v>
      </c>
      <c r="E17" s="14" t="s">
        <v>223</v>
      </c>
      <c r="F17" s="22" t="s">
        <v>224</v>
      </c>
      <c r="G17" s="23" t="s">
        <v>180</v>
      </c>
    </row>
    <row r="18" spans="1:7" x14ac:dyDescent="0.25">
      <c r="A18" s="14" t="s">
        <v>14</v>
      </c>
      <c r="B18" s="14" t="s">
        <v>104</v>
      </c>
      <c r="C18" s="14" t="s">
        <v>216</v>
      </c>
      <c r="D18" s="22" t="s">
        <v>225</v>
      </c>
      <c r="E18" s="14" t="s">
        <v>226</v>
      </c>
      <c r="F18" s="22" t="s">
        <v>224</v>
      </c>
      <c r="G18" s="23" t="s">
        <v>180</v>
      </c>
    </row>
    <row r="19" spans="1:7" x14ac:dyDescent="0.25">
      <c r="A19" s="14" t="s">
        <v>14</v>
      </c>
      <c r="B19" s="14" t="s">
        <v>112</v>
      </c>
      <c r="C19" s="14" t="s">
        <v>227</v>
      </c>
      <c r="D19" s="22" t="s">
        <v>228</v>
      </c>
      <c r="E19" s="14" t="s">
        <v>229</v>
      </c>
      <c r="F19" s="22" t="s">
        <v>230</v>
      </c>
      <c r="G19" s="23" t="s">
        <v>180</v>
      </c>
    </row>
    <row r="20" spans="1:7" x14ac:dyDescent="0.25">
      <c r="A20" s="19" t="s">
        <v>6</v>
      </c>
      <c r="B20" s="19" t="s">
        <v>6</v>
      </c>
      <c r="C20" s="19" t="s">
        <v>6</v>
      </c>
      <c r="D20" s="20" t="s">
        <v>231</v>
      </c>
      <c r="E20" s="19" t="s">
        <v>232</v>
      </c>
      <c r="F20" s="20" t="s">
        <v>6</v>
      </c>
      <c r="G20" s="21" t="s">
        <v>183</v>
      </c>
    </row>
    <row r="21" spans="1:7" x14ac:dyDescent="0.25">
      <c r="A21" s="14" t="s">
        <v>14</v>
      </c>
      <c r="B21" s="14" t="s">
        <v>112</v>
      </c>
      <c r="C21" s="14" t="s">
        <v>227</v>
      </c>
      <c r="D21" s="22" t="s">
        <v>233</v>
      </c>
      <c r="E21" s="14" t="s">
        <v>234</v>
      </c>
      <c r="F21" s="22" t="s">
        <v>230</v>
      </c>
      <c r="G21" s="23" t="s">
        <v>180</v>
      </c>
    </row>
    <row r="22" spans="1:7" x14ac:dyDescent="0.25">
      <c r="A22" s="19" t="s">
        <v>6</v>
      </c>
      <c r="B22" s="19" t="s">
        <v>6</v>
      </c>
      <c r="C22" s="19" t="s">
        <v>6</v>
      </c>
      <c r="D22" s="20" t="s">
        <v>235</v>
      </c>
      <c r="E22" s="19" t="s">
        <v>236</v>
      </c>
      <c r="F22" s="20" t="s">
        <v>6</v>
      </c>
      <c r="G22" s="21" t="s">
        <v>183</v>
      </c>
    </row>
    <row r="23" spans="1:7" x14ac:dyDescent="0.25">
      <c r="A23" s="19" t="s">
        <v>6</v>
      </c>
      <c r="B23" s="19" t="s">
        <v>6</v>
      </c>
      <c r="C23" s="19" t="s">
        <v>6</v>
      </c>
      <c r="D23" s="20" t="s">
        <v>237</v>
      </c>
      <c r="E23" s="19" t="s">
        <v>236</v>
      </c>
      <c r="F23" s="20" t="s">
        <v>6</v>
      </c>
      <c r="G23" s="21" t="s">
        <v>183</v>
      </c>
    </row>
    <row r="24" spans="1:7" x14ac:dyDescent="0.25">
      <c r="A24" s="14" t="s">
        <v>14</v>
      </c>
      <c r="B24" s="14" t="s">
        <v>112</v>
      </c>
      <c r="C24" s="14" t="s">
        <v>227</v>
      </c>
      <c r="D24" s="22" t="s">
        <v>238</v>
      </c>
      <c r="E24" s="14" t="s">
        <v>239</v>
      </c>
      <c r="F24" s="22" t="s">
        <v>230</v>
      </c>
      <c r="G24" s="23" t="s">
        <v>180</v>
      </c>
    </row>
    <row r="25" spans="1:7" x14ac:dyDescent="0.25">
      <c r="A25" s="19" t="s">
        <v>6</v>
      </c>
      <c r="B25" s="19" t="s">
        <v>6</v>
      </c>
      <c r="C25" s="19" t="s">
        <v>6</v>
      </c>
      <c r="D25" s="20" t="s">
        <v>240</v>
      </c>
      <c r="E25" s="19" t="s">
        <v>241</v>
      </c>
      <c r="F25" s="20" t="s">
        <v>6</v>
      </c>
      <c r="G25" s="21" t="s">
        <v>183</v>
      </c>
    </row>
    <row r="26" spans="1:7" x14ac:dyDescent="0.25">
      <c r="A26" s="19" t="s">
        <v>6</v>
      </c>
      <c r="B26" s="19" t="s">
        <v>6</v>
      </c>
      <c r="C26" s="19" t="s">
        <v>6</v>
      </c>
      <c r="D26" s="20" t="s">
        <v>242</v>
      </c>
      <c r="E26" s="19" t="s">
        <v>243</v>
      </c>
      <c r="F26" s="20" t="s">
        <v>6</v>
      </c>
      <c r="G26" s="21" t="s">
        <v>183</v>
      </c>
    </row>
    <row r="27" spans="1:7" x14ac:dyDescent="0.25">
      <c r="A27" s="14" t="s">
        <v>14</v>
      </c>
      <c r="B27" s="14" t="s">
        <v>116</v>
      </c>
      <c r="C27" s="14" t="s">
        <v>227</v>
      </c>
      <c r="D27" s="22" t="s">
        <v>244</v>
      </c>
      <c r="E27" s="14" t="s">
        <v>245</v>
      </c>
      <c r="F27" s="22" t="s">
        <v>246</v>
      </c>
      <c r="G27" s="23" t="s">
        <v>180</v>
      </c>
    </row>
    <row r="28" spans="1:7" x14ac:dyDescent="0.25">
      <c r="A28" s="14" t="s">
        <v>14</v>
      </c>
      <c r="B28" s="14" t="s">
        <v>116</v>
      </c>
      <c r="C28" s="14" t="s">
        <v>227</v>
      </c>
      <c r="D28" s="22" t="s">
        <v>247</v>
      </c>
      <c r="E28" s="14" t="s">
        <v>248</v>
      </c>
      <c r="F28" s="22" t="s">
        <v>246</v>
      </c>
      <c r="G28" s="23" t="s">
        <v>180</v>
      </c>
    </row>
    <row r="29" spans="1:7" x14ac:dyDescent="0.25">
      <c r="A29" s="14" t="s">
        <v>14</v>
      </c>
      <c r="B29" s="14" t="s">
        <v>116</v>
      </c>
      <c r="C29" s="14" t="s">
        <v>227</v>
      </c>
      <c r="D29" s="22" t="s">
        <v>249</v>
      </c>
      <c r="E29" s="14" t="s">
        <v>250</v>
      </c>
      <c r="F29" s="22" t="s">
        <v>246</v>
      </c>
      <c r="G29" s="23" t="s">
        <v>180</v>
      </c>
    </row>
    <row r="30" spans="1:7" x14ac:dyDescent="0.25">
      <c r="A30" s="14" t="s">
        <v>14</v>
      </c>
      <c r="B30" s="14" t="s">
        <v>116</v>
      </c>
      <c r="C30" s="14" t="s">
        <v>227</v>
      </c>
      <c r="D30" s="22" t="s">
        <v>251</v>
      </c>
      <c r="E30" s="14" t="s">
        <v>252</v>
      </c>
      <c r="F30" s="22" t="s">
        <v>246</v>
      </c>
      <c r="G30" s="23" t="s">
        <v>180</v>
      </c>
    </row>
    <row r="31" spans="1:7" x14ac:dyDescent="0.25">
      <c r="A31" s="14" t="s">
        <v>14</v>
      </c>
      <c r="B31" s="14" t="s">
        <v>116</v>
      </c>
      <c r="C31" s="14" t="s">
        <v>227</v>
      </c>
      <c r="D31" s="22" t="s">
        <v>253</v>
      </c>
      <c r="E31" s="14" t="s">
        <v>254</v>
      </c>
      <c r="F31" s="22" t="s">
        <v>246</v>
      </c>
      <c r="G31" s="23" t="s">
        <v>180</v>
      </c>
    </row>
    <row r="32" spans="1:7" x14ac:dyDescent="0.25">
      <c r="A32" s="19" t="s">
        <v>6</v>
      </c>
      <c r="B32" s="19" t="s">
        <v>6</v>
      </c>
      <c r="C32" s="19" t="s">
        <v>6</v>
      </c>
      <c r="D32" s="20" t="s">
        <v>255</v>
      </c>
      <c r="E32" s="19" t="s">
        <v>256</v>
      </c>
      <c r="F32" s="20" t="s">
        <v>257</v>
      </c>
      <c r="G32" s="21" t="s">
        <v>183</v>
      </c>
    </row>
    <row r="33" spans="1:7" x14ac:dyDescent="0.25">
      <c r="A33" s="19" t="s">
        <v>6</v>
      </c>
      <c r="B33" s="19" t="s">
        <v>6</v>
      </c>
      <c r="C33" s="19" t="s">
        <v>6</v>
      </c>
      <c r="D33" s="20" t="s">
        <v>258</v>
      </c>
      <c r="E33" s="19" t="s">
        <v>259</v>
      </c>
      <c r="F33" s="20" t="s">
        <v>260</v>
      </c>
      <c r="G33" s="21" t="s">
        <v>183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258</v>
      </c>
      <c r="E34" s="19" t="s">
        <v>259</v>
      </c>
      <c r="F34" s="20" t="s">
        <v>257</v>
      </c>
      <c r="G34" s="21" t="s">
        <v>183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258</v>
      </c>
      <c r="E35" s="19" t="s">
        <v>261</v>
      </c>
      <c r="F35" s="20" t="s">
        <v>260</v>
      </c>
      <c r="G35" s="21" t="s">
        <v>183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258</v>
      </c>
      <c r="E36" s="19" t="s">
        <v>261</v>
      </c>
      <c r="F36" s="20" t="s">
        <v>262</v>
      </c>
      <c r="G36" s="21" t="s">
        <v>183</v>
      </c>
    </row>
    <row r="37" spans="1:7" x14ac:dyDescent="0.25">
      <c r="A37" s="14" t="s">
        <v>14</v>
      </c>
      <c r="B37" s="14" t="s">
        <v>120</v>
      </c>
      <c r="C37" s="14" t="s">
        <v>263</v>
      </c>
      <c r="D37" s="22" t="s">
        <v>264</v>
      </c>
      <c r="E37" s="14" t="s">
        <v>229</v>
      </c>
      <c r="F37" s="22" t="s">
        <v>265</v>
      </c>
      <c r="G37" s="23" t="s">
        <v>180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266</v>
      </c>
      <c r="E38" s="19" t="s">
        <v>232</v>
      </c>
      <c r="F38" s="20" t="s">
        <v>6</v>
      </c>
      <c r="G38" s="21" t="s">
        <v>183</v>
      </c>
    </row>
    <row r="39" spans="1:7" x14ac:dyDescent="0.25">
      <c r="A39" s="14" t="s">
        <v>14</v>
      </c>
      <c r="B39" s="14" t="s">
        <v>144</v>
      </c>
      <c r="C39" s="14" t="s">
        <v>176</v>
      </c>
      <c r="D39" s="22" t="s">
        <v>267</v>
      </c>
      <c r="E39" s="14" t="s">
        <v>268</v>
      </c>
      <c r="F39" s="22" t="s">
        <v>269</v>
      </c>
      <c r="G39" s="14" t="s">
        <v>6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270</v>
      </c>
      <c r="E40" s="19" t="s">
        <v>271</v>
      </c>
      <c r="F40" s="20" t="s">
        <v>6</v>
      </c>
      <c r="G40" s="21" t="s">
        <v>183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272</v>
      </c>
      <c r="E41" s="19" t="s">
        <v>273</v>
      </c>
      <c r="F41" s="20" t="s">
        <v>274</v>
      </c>
      <c r="G41" s="21" t="s">
        <v>183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275</v>
      </c>
      <c r="E42" s="19" t="s">
        <v>276</v>
      </c>
      <c r="F42" s="20" t="s">
        <v>6</v>
      </c>
      <c r="G42" s="21" t="s">
        <v>183</v>
      </c>
    </row>
    <row r="43" spans="1:7" x14ac:dyDescent="0.25">
      <c r="A43" s="14" t="s">
        <v>14</v>
      </c>
      <c r="B43" s="14" t="s">
        <v>146</v>
      </c>
      <c r="C43" s="14" t="s">
        <v>176</v>
      </c>
      <c r="D43" s="22" t="s">
        <v>277</v>
      </c>
      <c r="E43" s="14" t="s">
        <v>278</v>
      </c>
      <c r="F43" s="22" t="s">
        <v>279</v>
      </c>
      <c r="G43" s="23" t="s">
        <v>180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280</v>
      </c>
      <c r="E44" s="19" t="s">
        <v>281</v>
      </c>
      <c r="F44" s="20" t="s">
        <v>6</v>
      </c>
      <c r="G44" s="21" t="s">
        <v>183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282</v>
      </c>
      <c r="E45" s="19" t="s">
        <v>273</v>
      </c>
      <c r="F45" s="20" t="s">
        <v>6</v>
      </c>
      <c r="G45" s="21" t="s">
        <v>183</v>
      </c>
    </row>
    <row r="46" spans="1:7" x14ac:dyDescent="0.25">
      <c r="A46" s="14" t="s">
        <v>14</v>
      </c>
      <c r="B46" s="14" t="s">
        <v>146</v>
      </c>
      <c r="C46" s="14" t="s">
        <v>176</v>
      </c>
      <c r="D46" s="22" t="s">
        <v>283</v>
      </c>
      <c r="E46" s="14" t="s">
        <v>278</v>
      </c>
      <c r="F46" s="22" t="s">
        <v>279</v>
      </c>
      <c r="G46" s="23" t="s">
        <v>180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284</v>
      </c>
      <c r="E47" s="19" t="s">
        <v>285</v>
      </c>
      <c r="F47" s="20" t="s">
        <v>6</v>
      </c>
      <c r="G47" s="19" t="s">
        <v>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286</v>
      </c>
      <c r="E48" s="19" t="s">
        <v>287</v>
      </c>
      <c r="F48" s="20" t="s">
        <v>6</v>
      </c>
      <c r="G48" s="21" t="s">
        <v>183</v>
      </c>
    </row>
    <row r="49" spans="1:7" x14ac:dyDescent="0.25">
      <c r="A49" s="14" t="s">
        <v>14</v>
      </c>
      <c r="B49" s="14" t="s">
        <v>146</v>
      </c>
      <c r="C49" s="14" t="s">
        <v>176</v>
      </c>
      <c r="D49" s="22" t="s">
        <v>288</v>
      </c>
      <c r="E49" s="14" t="s">
        <v>278</v>
      </c>
      <c r="F49" s="22" t="s">
        <v>279</v>
      </c>
      <c r="G49" s="23" t="s">
        <v>180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289</v>
      </c>
      <c r="E50" s="19" t="s">
        <v>290</v>
      </c>
      <c r="F50" s="20" t="s">
        <v>6</v>
      </c>
      <c r="G50" s="21" t="s">
        <v>183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291</v>
      </c>
      <c r="E51" s="19" t="s">
        <v>292</v>
      </c>
      <c r="F51" s="20" t="s">
        <v>6</v>
      </c>
      <c r="G51" s="21" t="s">
        <v>183</v>
      </c>
    </row>
    <row r="52" spans="1:7" x14ac:dyDescent="0.25">
      <c r="A52" s="14" t="s">
        <v>14</v>
      </c>
      <c r="B52" s="14" t="s">
        <v>146</v>
      </c>
      <c r="C52" s="14" t="s">
        <v>176</v>
      </c>
      <c r="D52" s="22" t="s">
        <v>293</v>
      </c>
      <c r="E52" s="14" t="s">
        <v>278</v>
      </c>
      <c r="F52" s="22" t="s">
        <v>279</v>
      </c>
      <c r="G52" s="23" t="s">
        <v>180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294</v>
      </c>
      <c r="E53" s="19" t="s">
        <v>295</v>
      </c>
      <c r="F53" s="20" t="s">
        <v>6</v>
      </c>
      <c r="G53" s="21" t="s">
        <v>183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296</v>
      </c>
      <c r="E54" s="19" t="s">
        <v>297</v>
      </c>
      <c r="F54" s="20" t="s">
        <v>6</v>
      </c>
      <c r="G54" s="21" t="s">
        <v>183</v>
      </c>
    </row>
    <row r="55" spans="1:7" x14ac:dyDescent="0.25">
      <c r="A55" s="14" t="s">
        <v>14</v>
      </c>
      <c r="B55" s="14" t="s">
        <v>146</v>
      </c>
      <c r="C55" s="14" t="s">
        <v>176</v>
      </c>
      <c r="D55" s="22" t="s">
        <v>298</v>
      </c>
      <c r="E55" s="14" t="s">
        <v>278</v>
      </c>
      <c r="F55" s="22" t="s">
        <v>279</v>
      </c>
      <c r="G55" s="23" t="s">
        <v>180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299</v>
      </c>
      <c r="E56" s="19" t="s">
        <v>300</v>
      </c>
      <c r="F56" s="20" t="s">
        <v>6</v>
      </c>
      <c r="G56" s="21" t="s">
        <v>183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301</v>
      </c>
      <c r="E57" s="19" t="s">
        <v>302</v>
      </c>
      <c r="F57" s="20" t="s">
        <v>6</v>
      </c>
      <c r="G57" s="21" t="s">
        <v>183</v>
      </c>
    </row>
    <row r="58" spans="1:7" x14ac:dyDescent="0.25">
      <c r="A58" s="14" t="s">
        <v>14</v>
      </c>
      <c r="B58" s="14" t="s">
        <v>158</v>
      </c>
      <c r="C58" s="14" t="s">
        <v>303</v>
      </c>
      <c r="D58" s="22" t="s">
        <v>304</v>
      </c>
      <c r="E58" s="14" t="s">
        <v>305</v>
      </c>
      <c r="F58" s="22" t="s">
        <v>306</v>
      </c>
      <c r="G58" s="23" t="s">
        <v>180</v>
      </c>
    </row>
    <row r="59" spans="1:7" x14ac:dyDescent="0.25">
      <c r="A59" s="24" t="s">
        <v>15</v>
      </c>
      <c r="B59" s="24" t="s">
        <v>56</v>
      </c>
      <c r="C59" s="24" t="s">
        <v>307</v>
      </c>
      <c r="D59" s="25" t="s">
        <v>308</v>
      </c>
      <c r="E59" s="24" t="s">
        <v>309</v>
      </c>
      <c r="F59" s="25" t="s">
        <v>310</v>
      </c>
      <c r="G59" s="24" t="s">
        <v>6</v>
      </c>
    </row>
    <row r="60" spans="1:7" x14ac:dyDescent="0.25">
      <c r="A60" s="24" t="s">
        <v>15</v>
      </c>
      <c r="B60" s="24" t="s">
        <v>108</v>
      </c>
      <c r="C60" s="24" t="s">
        <v>216</v>
      </c>
      <c r="D60" s="25" t="s">
        <v>311</v>
      </c>
      <c r="E60" s="24" t="s">
        <v>312</v>
      </c>
      <c r="F60" s="25" t="s">
        <v>313</v>
      </c>
      <c r="G60" s="26" t="s">
        <v>180</v>
      </c>
    </row>
    <row r="61" spans="1:7" x14ac:dyDescent="0.25">
      <c r="A61" s="24" t="s">
        <v>15</v>
      </c>
      <c r="B61" s="24" t="s">
        <v>108</v>
      </c>
      <c r="C61" s="24" t="s">
        <v>216</v>
      </c>
      <c r="D61" s="25" t="s">
        <v>314</v>
      </c>
      <c r="E61" s="24" t="s">
        <v>315</v>
      </c>
      <c r="F61" s="25" t="s">
        <v>313</v>
      </c>
      <c r="G61" s="26" t="s">
        <v>180</v>
      </c>
    </row>
    <row r="62" spans="1:7" x14ac:dyDescent="0.25">
      <c r="A62" s="24" t="s">
        <v>15</v>
      </c>
      <c r="B62" s="24" t="s">
        <v>108</v>
      </c>
      <c r="C62" s="24" t="s">
        <v>216</v>
      </c>
      <c r="D62" s="25" t="s">
        <v>316</v>
      </c>
      <c r="E62" s="24" t="s">
        <v>317</v>
      </c>
      <c r="F62" s="25" t="s">
        <v>313</v>
      </c>
      <c r="G62" s="26" t="s">
        <v>180</v>
      </c>
    </row>
    <row r="63" spans="1:7" x14ac:dyDescent="0.25">
      <c r="A63" s="24" t="s">
        <v>15</v>
      </c>
      <c r="B63" s="24" t="s">
        <v>108</v>
      </c>
      <c r="C63" s="24" t="s">
        <v>216</v>
      </c>
      <c r="D63" s="25" t="s">
        <v>318</v>
      </c>
      <c r="E63" s="24" t="s">
        <v>319</v>
      </c>
      <c r="F63" s="25" t="s">
        <v>313</v>
      </c>
      <c r="G63" s="26" t="s">
        <v>180</v>
      </c>
    </row>
    <row r="64" spans="1:7" x14ac:dyDescent="0.25">
      <c r="A64" s="24" t="s">
        <v>15</v>
      </c>
      <c r="B64" s="24" t="s">
        <v>108</v>
      </c>
      <c r="C64" s="24" t="s">
        <v>216</v>
      </c>
      <c r="D64" s="25" t="s">
        <v>320</v>
      </c>
      <c r="E64" s="24" t="s">
        <v>321</v>
      </c>
      <c r="F64" s="25" t="s">
        <v>313</v>
      </c>
      <c r="G64" s="26" t="s">
        <v>180</v>
      </c>
    </row>
    <row r="65" spans="1:7" x14ac:dyDescent="0.25">
      <c r="A65" s="24" t="s">
        <v>15</v>
      </c>
      <c r="B65" s="24" t="s">
        <v>128</v>
      </c>
      <c r="C65" s="24" t="s">
        <v>263</v>
      </c>
      <c r="D65" s="25" t="s">
        <v>322</v>
      </c>
      <c r="E65" s="24" t="s">
        <v>323</v>
      </c>
      <c r="F65" s="25" t="s">
        <v>324</v>
      </c>
      <c r="G65" s="26" t="s">
        <v>180</v>
      </c>
    </row>
    <row r="66" spans="1:7" x14ac:dyDescent="0.25">
      <c r="A66" s="24" t="s">
        <v>15</v>
      </c>
      <c r="B66" s="24" t="s">
        <v>150</v>
      </c>
      <c r="C66" s="24" t="s">
        <v>176</v>
      </c>
      <c r="D66" s="25" t="s">
        <v>325</v>
      </c>
      <c r="E66" s="24" t="s">
        <v>326</v>
      </c>
      <c r="F66" s="25" t="s">
        <v>327</v>
      </c>
      <c r="G66" s="24" t="s">
        <v>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328</v>
      </c>
      <c r="E67" s="19" t="s">
        <v>329</v>
      </c>
      <c r="F67" s="20" t="s">
        <v>196</v>
      </c>
      <c r="G67" s="21" t="s">
        <v>183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330</v>
      </c>
      <c r="E68" s="19" t="s">
        <v>331</v>
      </c>
      <c r="F68" s="20" t="s">
        <v>196</v>
      </c>
      <c r="G68" s="21" t="s">
        <v>183</v>
      </c>
    </row>
  </sheetData>
  <autoFilter ref="A1:G68"/>
  <hyperlinks>
    <hyperlink ref="G2" r:id="rId1"/>
    <hyperlink ref="G3" r:id="rId2"/>
    <hyperlink ref="G5" r:id="rId3"/>
    <hyperlink ref="G6" r:id="rId4"/>
    <hyperlink ref="G7" r:id="rId5"/>
    <hyperlink ref="G8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26" r:id="rId22"/>
    <hyperlink ref="G27" r:id="rId23"/>
    <hyperlink ref="G28" r:id="rId24"/>
    <hyperlink ref="G29" r:id="rId25"/>
    <hyperlink ref="G30" r:id="rId26"/>
    <hyperlink ref="G31" r:id="rId27"/>
    <hyperlink ref="G32" r:id="rId28"/>
    <hyperlink ref="G33" r:id="rId29"/>
    <hyperlink ref="G34" r:id="rId30"/>
    <hyperlink ref="G35" r:id="rId31"/>
    <hyperlink ref="G36" r:id="rId32"/>
    <hyperlink ref="G37" r:id="rId33"/>
    <hyperlink ref="G38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8" r:id="rId42"/>
    <hyperlink ref="G49" r:id="rId43"/>
    <hyperlink ref="G50" r:id="rId44"/>
    <hyperlink ref="G51" r:id="rId45"/>
    <hyperlink ref="G52" r:id="rId46"/>
    <hyperlink ref="G53" r:id="rId47"/>
    <hyperlink ref="G54" r:id="rId48"/>
    <hyperlink ref="G55" r:id="rId49"/>
    <hyperlink ref="G56" r:id="rId50"/>
    <hyperlink ref="G57" r:id="rId51"/>
    <hyperlink ref="G58" r:id="rId52"/>
    <hyperlink ref="G60" r:id="rId53"/>
    <hyperlink ref="G61" r:id="rId54"/>
    <hyperlink ref="G62" r:id="rId55"/>
    <hyperlink ref="G63" r:id="rId56"/>
    <hyperlink ref="G64" r:id="rId57"/>
    <hyperlink ref="G65" r:id="rId58"/>
    <hyperlink ref="G67" r:id="rId59"/>
    <hyperlink ref="G68" r:id="rId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332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142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181</v>
      </c>
      <c r="D6" s="19" t="s">
        <v>182</v>
      </c>
      <c r="E6" s="20" t="s">
        <v>6</v>
      </c>
      <c r="F6" s="21" t="s">
        <v>183</v>
      </c>
    </row>
    <row r="7" spans="1:6" x14ac:dyDescent="0.25">
      <c r="A7" s="14" t="s">
        <v>14</v>
      </c>
      <c r="B7" s="14" t="s">
        <v>144</v>
      </c>
      <c r="C7" s="22" t="s">
        <v>267</v>
      </c>
      <c r="D7" s="14" t="s">
        <v>268</v>
      </c>
      <c r="E7" s="22" t="s">
        <v>269</v>
      </c>
      <c r="F7" s="14" t="s">
        <v>6</v>
      </c>
    </row>
    <row r="8" spans="1:6" x14ac:dyDescent="0.25">
      <c r="A8" s="19" t="s">
        <v>6</v>
      </c>
      <c r="B8" s="19" t="s">
        <v>6</v>
      </c>
      <c r="C8" s="20" t="s">
        <v>270</v>
      </c>
      <c r="D8" s="19" t="s">
        <v>271</v>
      </c>
      <c r="E8" s="20" t="s">
        <v>6</v>
      </c>
      <c r="F8" s="21" t="s">
        <v>183</v>
      </c>
    </row>
    <row r="9" spans="1:6" x14ac:dyDescent="0.25">
      <c r="A9" s="19" t="s">
        <v>6</v>
      </c>
      <c r="B9" s="19" t="s">
        <v>6</v>
      </c>
      <c r="C9" s="20" t="s">
        <v>272</v>
      </c>
      <c r="D9" s="19" t="s">
        <v>273</v>
      </c>
      <c r="E9" s="20" t="s">
        <v>274</v>
      </c>
      <c r="F9" s="21" t="s">
        <v>183</v>
      </c>
    </row>
    <row r="10" spans="1:6" x14ac:dyDescent="0.25">
      <c r="A10" s="19" t="s">
        <v>6</v>
      </c>
      <c r="B10" s="19" t="s">
        <v>6</v>
      </c>
      <c r="C10" s="20" t="s">
        <v>275</v>
      </c>
      <c r="D10" s="19" t="s">
        <v>276</v>
      </c>
      <c r="E10" s="20" t="s">
        <v>6</v>
      </c>
      <c r="F10" s="21" t="s">
        <v>183</v>
      </c>
    </row>
    <row r="11" spans="1:6" x14ac:dyDescent="0.25">
      <c r="A11" s="14" t="s">
        <v>14</v>
      </c>
      <c r="B11" s="14" t="s">
        <v>146</v>
      </c>
      <c r="C11" s="22" t="s">
        <v>277</v>
      </c>
      <c r="D11" s="14" t="s">
        <v>278</v>
      </c>
      <c r="E11" s="22" t="s">
        <v>279</v>
      </c>
      <c r="F11" s="23" t="s">
        <v>180</v>
      </c>
    </row>
    <row r="12" spans="1:6" x14ac:dyDescent="0.25">
      <c r="A12" s="19" t="s">
        <v>6</v>
      </c>
      <c r="B12" s="19" t="s">
        <v>6</v>
      </c>
      <c r="C12" s="20" t="s">
        <v>280</v>
      </c>
      <c r="D12" s="19" t="s">
        <v>281</v>
      </c>
      <c r="E12" s="20" t="s">
        <v>6</v>
      </c>
      <c r="F12" s="21" t="s">
        <v>183</v>
      </c>
    </row>
    <row r="13" spans="1:6" x14ac:dyDescent="0.25">
      <c r="A13" s="19" t="s">
        <v>6</v>
      </c>
      <c r="B13" s="19" t="s">
        <v>6</v>
      </c>
      <c r="C13" s="20" t="s">
        <v>282</v>
      </c>
      <c r="D13" s="19" t="s">
        <v>273</v>
      </c>
      <c r="E13" s="20" t="s">
        <v>6</v>
      </c>
      <c r="F13" s="21" t="s">
        <v>183</v>
      </c>
    </row>
    <row r="14" spans="1:6" x14ac:dyDescent="0.25">
      <c r="A14" s="14" t="s">
        <v>14</v>
      </c>
      <c r="B14" s="14" t="s">
        <v>146</v>
      </c>
      <c r="C14" s="22" t="s">
        <v>283</v>
      </c>
      <c r="D14" s="14" t="s">
        <v>278</v>
      </c>
      <c r="E14" s="22" t="s">
        <v>279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284</v>
      </c>
      <c r="D15" s="19" t="s">
        <v>285</v>
      </c>
      <c r="E15" s="20" t="s">
        <v>6</v>
      </c>
      <c r="F15" s="19" t="s">
        <v>6</v>
      </c>
    </row>
    <row r="16" spans="1:6" x14ac:dyDescent="0.25">
      <c r="A16" s="19" t="s">
        <v>6</v>
      </c>
      <c r="B16" s="19" t="s">
        <v>6</v>
      </c>
      <c r="C16" s="20" t="s">
        <v>286</v>
      </c>
      <c r="D16" s="19" t="s">
        <v>287</v>
      </c>
      <c r="E16" s="20" t="s">
        <v>6</v>
      </c>
      <c r="F16" s="21" t="s">
        <v>183</v>
      </c>
    </row>
    <row r="17" spans="1:6" x14ac:dyDescent="0.25">
      <c r="A17" s="14" t="s">
        <v>14</v>
      </c>
      <c r="B17" s="14" t="s">
        <v>146</v>
      </c>
      <c r="C17" s="22" t="s">
        <v>288</v>
      </c>
      <c r="D17" s="14" t="s">
        <v>278</v>
      </c>
      <c r="E17" s="22" t="s">
        <v>279</v>
      </c>
      <c r="F17" s="23" t="s">
        <v>180</v>
      </c>
    </row>
    <row r="18" spans="1:6" x14ac:dyDescent="0.25">
      <c r="A18" s="19" t="s">
        <v>6</v>
      </c>
      <c r="B18" s="19" t="s">
        <v>6</v>
      </c>
      <c r="C18" s="20" t="s">
        <v>289</v>
      </c>
      <c r="D18" s="19" t="s">
        <v>290</v>
      </c>
      <c r="E18" s="20" t="s">
        <v>6</v>
      </c>
      <c r="F18" s="21" t="s">
        <v>183</v>
      </c>
    </row>
    <row r="19" spans="1:6" x14ac:dyDescent="0.25">
      <c r="A19" s="19" t="s">
        <v>6</v>
      </c>
      <c r="B19" s="19" t="s">
        <v>6</v>
      </c>
      <c r="C19" s="20" t="s">
        <v>291</v>
      </c>
      <c r="D19" s="19" t="s">
        <v>292</v>
      </c>
      <c r="E19" s="20" t="s">
        <v>6</v>
      </c>
      <c r="F19" s="21" t="s">
        <v>183</v>
      </c>
    </row>
    <row r="20" spans="1:6" x14ac:dyDescent="0.25">
      <c r="A20" s="14" t="s">
        <v>14</v>
      </c>
      <c r="B20" s="14" t="s">
        <v>146</v>
      </c>
      <c r="C20" s="22" t="s">
        <v>293</v>
      </c>
      <c r="D20" s="14" t="s">
        <v>278</v>
      </c>
      <c r="E20" s="22" t="s">
        <v>279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294</v>
      </c>
      <c r="D21" s="19" t="s">
        <v>295</v>
      </c>
      <c r="E21" s="20" t="s">
        <v>6</v>
      </c>
      <c r="F21" s="21" t="s">
        <v>183</v>
      </c>
    </row>
    <row r="22" spans="1:6" x14ac:dyDescent="0.25">
      <c r="A22" s="19" t="s">
        <v>6</v>
      </c>
      <c r="B22" s="19" t="s">
        <v>6</v>
      </c>
      <c r="C22" s="20" t="s">
        <v>296</v>
      </c>
      <c r="D22" s="19" t="s">
        <v>297</v>
      </c>
      <c r="E22" s="20" t="s">
        <v>6</v>
      </c>
      <c r="F22" s="21" t="s">
        <v>183</v>
      </c>
    </row>
    <row r="23" spans="1:6" x14ac:dyDescent="0.25">
      <c r="A23" s="14" t="s">
        <v>14</v>
      </c>
      <c r="B23" s="14" t="s">
        <v>146</v>
      </c>
      <c r="C23" s="22" t="s">
        <v>298</v>
      </c>
      <c r="D23" s="14" t="s">
        <v>278</v>
      </c>
      <c r="E23" s="22" t="s">
        <v>279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299</v>
      </c>
      <c r="D24" s="19" t="s">
        <v>300</v>
      </c>
      <c r="E24" s="20" t="s">
        <v>6</v>
      </c>
      <c r="F24" s="21" t="s">
        <v>183</v>
      </c>
    </row>
    <row r="25" spans="1:6" x14ac:dyDescent="0.25">
      <c r="A25" s="19" t="s">
        <v>6</v>
      </c>
      <c r="B25" s="19" t="s">
        <v>6</v>
      </c>
      <c r="C25" s="20" t="s">
        <v>301</v>
      </c>
      <c r="D25" s="19" t="s">
        <v>302</v>
      </c>
      <c r="E25" s="20" t="s">
        <v>6</v>
      </c>
      <c r="F25" s="21" t="s">
        <v>183</v>
      </c>
    </row>
    <row r="26" spans="1:6" x14ac:dyDescent="0.25">
      <c r="A26" s="24" t="s">
        <v>15</v>
      </c>
      <c r="B26" s="24" t="s">
        <v>150</v>
      </c>
      <c r="C26" s="25" t="s">
        <v>325</v>
      </c>
      <c r="D26" s="24" t="s">
        <v>326</v>
      </c>
      <c r="E26" s="25" t="s">
        <v>327</v>
      </c>
      <c r="F26" s="24" t="s">
        <v>6</v>
      </c>
    </row>
    <row r="27" spans="1:6" x14ac:dyDescent="0.25">
      <c r="A27" s="19" t="s">
        <v>6</v>
      </c>
      <c r="B27" s="19" t="s">
        <v>6</v>
      </c>
      <c r="C27" s="20" t="s">
        <v>328</v>
      </c>
      <c r="D27" s="19" t="s">
        <v>329</v>
      </c>
      <c r="E27" s="20" t="s">
        <v>196</v>
      </c>
      <c r="F27" s="21" t="s">
        <v>183</v>
      </c>
    </row>
    <row r="28" spans="1:6" x14ac:dyDescent="0.25">
      <c r="A28" s="19" t="s">
        <v>6</v>
      </c>
      <c r="B28" s="19" t="s">
        <v>6</v>
      </c>
      <c r="C28" s="20" t="s">
        <v>330</v>
      </c>
      <c r="D28" s="19" t="s">
        <v>331</v>
      </c>
      <c r="E28" s="20" t="s">
        <v>196</v>
      </c>
      <c r="F28" s="21" t="s">
        <v>183</v>
      </c>
    </row>
  </sheetData>
  <autoFilter ref="A4:F28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3" r:id="rId17"/>
    <hyperlink ref="F24" r:id="rId18"/>
    <hyperlink ref="F25" r:id="rId19"/>
    <hyperlink ref="F27" r:id="rId20"/>
    <hyperlink ref="F28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18</v>
      </c>
      <c r="B1" s="27"/>
      <c r="C1" s="27"/>
      <c r="D1" s="27"/>
      <c r="E1" s="27"/>
      <c r="F1" s="27"/>
    </row>
    <row r="2" spans="1:1" x14ac:dyDescent="0.25">
      <c r="A2" s="28" t="s">
        <v>333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22" t="s">
        <v>304</v>
      </c>
      <c r="D5" s="14" t="s">
        <v>305</v>
      </c>
      <c r="E5" s="22" t="s">
        <v>306</v>
      </c>
      <c r="F5" s="23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334</v>
      </c>
    </row>
    <row r="4" spans="1:1" x14ac:dyDescent="0.25">
      <c r="A4" s="29" t="s">
        <v>335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336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42</v>
      </c>
      <c r="C5" s="22" t="s">
        <v>189</v>
      </c>
      <c r="D5" s="14" t="s">
        <v>190</v>
      </c>
      <c r="E5" s="22" t="s">
        <v>191</v>
      </c>
      <c r="F5" s="23" t="s">
        <v>180</v>
      </c>
    </row>
    <row r="6" spans="1:6" x14ac:dyDescent="0.25">
      <c r="A6" s="14" t="s">
        <v>14</v>
      </c>
      <c r="B6" s="14" t="s">
        <v>112</v>
      </c>
      <c r="C6" s="22" t="s">
        <v>228</v>
      </c>
      <c r="D6" s="14" t="s">
        <v>229</v>
      </c>
      <c r="E6" s="22" t="s">
        <v>230</v>
      </c>
      <c r="F6" s="23" t="s">
        <v>180</v>
      </c>
    </row>
    <row r="7" spans="1:6" x14ac:dyDescent="0.25">
      <c r="A7" s="19" t="s">
        <v>6</v>
      </c>
      <c r="B7" s="19" t="s">
        <v>6</v>
      </c>
      <c r="C7" s="20" t="s">
        <v>231</v>
      </c>
      <c r="D7" s="19" t="s">
        <v>232</v>
      </c>
      <c r="E7" s="20" t="s">
        <v>6</v>
      </c>
      <c r="F7" s="21" t="s">
        <v>183</v>
      </c>
    </row>
    <row r="8" spans="1:6" x14ac:dyDescent="0.25">
      <c r="A8" s="14" t="s">
        <v>14</v>
      </c>
      <c r="B8" s="14" t="s">
        <v>112</v>
      </c>
      <c r="C8" s="22" t="s">
        <v>233</v>
      </c>
      <c r="D8" s="14" t="s">
        <v>234</v>
      </c>
      <c r="E8" s="22" t="s">
        <v>230</v>
      </c>
      <c r="F8" s="23" t="s">
        <v>180</v>
      </c>
    </row>
    <row r="9" spans="1:6" x14ac:dyDescent="0.25">
      <c r="A9" s="19" t="s">
        <v>6</v>
      </c>
      <c r="B9" s="19" t="s">
        <v>6</v>
      </c>
      <c r="C9" s="20" t="s">
        <v>235</v>
      </c>
      <c r="D9" s="19" t="s">
        <v>236</v>
      </c>
      <c r="E9" s="20" t="s">
        <v>6</v>
      </c>
      <c r="F9" s="21" t="s">
        <v>183</v>
      </c>
    </row>
    <row r="10" spans="1:6" x14ac:dyDescent="0.25">
      <c r="A10" s="19" t="s">
        <v>6</v>
      </c>
      <c r="B10" s="19" t="s">
        <v>6</v>
      </c>
      <c r="C10" s="20" t="s">
        <v>237</v>
      </c>
      <c r="D10" s="19" t="s">
        <v>236</v>
      </c>
      <c r="E10" s="20" t="s">
        <v>6</v>
      </c>
      <c r="F10" s="21" t="s">
        <v>183</v>
      </c>
    </row>
    <row r="11" spans="1:6" x14ac:dyDescent="0.25">
      <c r="A11" s="14" t="s">
        <v>14</v>
      </c>
      <c r="B11" s="14" t="s">
        <v>112</v>
      </c>
      <c r="C11" s="22" t="s">
        <v>238</v>
      </c>
      <c r="D11" s="14" t="s">
        <v>239</v>
      </c>
      <c r="E11" s="22" t="s">
        <v>230</v>
      </c>
      <c r="F11" s="23" t="s">
        <v>180</v>
      </c>
    </row>
    <row r="12" spans="1:6" x14ac:dyDescent="0.25">
      <c r="A12" s="19" t="s">
        <v>6</v>
      </c>
      <c r="B12" s="19" t="s">
        <v>6</v>
      </c>
      <c r="C12" s="20" t="s">
        <v>240</v>
      </c>
      <c r="D12" s="19" t="s">
        <v>241</v>
      </c>
      <c r="E12" s="20" t="s">
        <v>6</v>
      </c>
      <c r="F12" s="21" t="s">
        <v>183</v>
      </c>
    </row>
    <row r="13" spans="1:6" x14ac:dyDescent="0.25">
      <c r="A13" s="19" t="s">
        <v>6</v>
      </c>
      <c r="B13" s="19" t="s">
        <v>6</v>
      </c>
      <c r="C13" s="20" t="s">
        <v>242</v>
      </c>
      <c r="D13" s="19" t="s">
        <v>243</v>
      </c>
      <c r="E13" s="20" t="s">
        <v>6</v>
      </c>
      <c r="F13" s="21" t="s">
        <v>183</v>
      </c>
    </row>
    <row r="14" spans="1:6" x14ac:dyDescent="0.25">
      <c r="A14" s="14" t="s">
        <v>14</v>
      </c>
      <c r="B14" s="14" t="s">
        <v>116</v>
      </c>
      <c r="C14" s="22" t="s">
        <v>244</v>
      </c>
      <c r="D14" s="14" t="s">
        <v>245</v>
      </c>
      <c r="E14" s="22" t="s">
        <v>246</v>
      </c>
      <c r="F14" s="23" t="s">
        <v>180</v>
      </c>
    </row>
    <row r="15" spans="1:6" x14ac:dyDescent="0.25">
      <c r="A15" s="14" t="s">
        <v>14</v>
      </c>
      <c r="B15" s="14" t="s">
        <v>116</v>
      </c>
      <c r="C15" s="22" t="s">
        <v>247</v>
      </c>
      <c r="D15" s="14" t="s">
        <v>248</v>
      </c>
      <c r="E15" s="22" t="s">
        <v>246</v>
      </c>
      <c r="F15" s="23" t="s">
        <v>180</v>
      </c>
    </row>
    <row r="16" spans="1:6" x14ac:dyDescent="0.25">
      <c r="A16" s="14" t="s">
        <v>14</v>
      </c>
      <c r="B16" s="14" t="s">
        <v>116</v>
      </c>
      <c r="C16" s="22" t="s">
        <v>249</v>
      </c>
      <c r="D16" s="14" t="s">
        <v>250</v>
      </c>
      <c r="E16" s="22" t="s">
        <v>246</v>
      </c>
      <c r="F16" s="23" t="s">
        <v>180</v>
      </c>
    </row>
    <row r="17" spans="1:6" x14ac:dyDescent="0.25">
      <c r="A17" s="14" t="s">
        <v>14</v>
      </c>
      <c r="B17" s="14" t="s">
        <v>116</v>
      </c>
      <c r="C17" s="22" t="s">
        <v>251</v>
      </c>
      <c r="D17" s="14" t="s">
        <v>252</v>
      </c>
      <c r="E17" s="22" t="s">
        <v>246</v>
      </c>
      <c r="F17" s="23" t="s">
        <v>180</v>
      </c>
    </row>
    <row r="18" spans="1:6" x14ac:dyDescent="0.25">
      <c r="A18" s="14" t="s">
        <v>14</v>
      </c>
      <c r="B18" s="14" t="s">
        <v>116</v>
      </c>
      <c r="C18" s="22" t="s">
        <v>253</v>
      </c>
      <c r="D18" s="14" t="s">
        <v>254</v>
      </c>
      <c r="E18" s="22" t="s">
        <v>246</v>
      </c>
      <c r="F18" s="23" t="s">
        <v>180</v>
      </c>
    </row>
    <row r="19" spans="1:6" x14ac:dyDescent="0.25">
      <c r="A19" s="19" t="s">
        <v>6</v>
      </c>
      <c r="B19" s="19" t="s">
        <v>6</v>
      </c>
      <c r="C19" s="20" t="s">
        <v>255</v>
      </c>
      <c r="D19" s="19" t="s">
        <v>256</v>
      </c>
      <c r="E19" s="20" t="s">
        <v>257</v>
      </c>
      <c r="F19" s="21" t="s">
        <v>183</v>
      </c>
    </row>
    <row r="20" spans="1:6" x14ac:dyDescent="0.25">
      <c r="A20" s="19" t="s">
        <v>6</v>
      </c>
      <c r="B20" s="19" t="s">
        <v>6</v>
      </c>
      <c r="C20" s="20" t="s">
        <v>258</v>
      </c>
      <c r="D20" s="19" t="s">
        <v>259</v>
      </c>
      <c r="E20" s="20" t="s">
        <v>260</v>
      </c>
      <c r="F20" s="21" t="s">
        <v>183</v>
      </c>
    </row>
    <row r="21" spans="1:6" x14ac:dyDescent="0.25">
      <c r="A21" s="19" t="s">
        <v>6</v>
      </c>
      <c r="B21" s="19" t="s">
        <v>6</v>
      </c>
      <c r="C21" s="20" t="s">
        <v>258</v>
      </c>
      <c r="D21" s="19" t="s">
        <v>259</v>
      </c>
      <c r="E21" s="20" t="s">
        <v>257</v>
      </c>
      <c r="F21" s="21" t="s">
        <v>183</v>
      </c>
    </row>
    <row r="22" spans="1:6" x14ac:dyDescent="0.25">
      <c r="A22" s="19" t="s">
        <v>6</v>
      </c>
      <c r="B22" s="19" t="s">
        <v>6</v>
      </c>
      <c r="C22" s="20" t="s">
        <v>258</v>
      </c>
      <c r="D22" s="19" t="s">
        <v>261</v>
      </c>
      <c r="E22" s="20" t="s">
        <v>260</v>
      </c>
      <c r="F22" s="21" t="s">
        <v>183</v>
      </c>
    </row>
    <row r="23" spans="1:6" x14ac:dyDescent="0.25">
      <c r="A23" s="19" t="s">
        <v>6</v>
      </c>
      <c r="B23" s="19" t="s">
        <v>6</v>
      </c>
      <c r="C23" s="20" t="s">
        <v>258</v>
      </c>
      <c r="D23" s="19" t="s">
        <v>261</v>
      </c>
      <c r="E23" s="20" t="s">
        <v>262</v>
      </c>
      <c r="F23" s="21" t="s">
        <v>183</v>
      </c>
    </row>
  </sheetData>
  <autoFilter ref="A4:F23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22" t="s">
        <v>193</v>
      </c>
      <c r="D5" s="14" t="s">
        <v>194</v>
      </c>
      <c r="E5" s="22" t="s">
        <v>195</v>
      </c>
      <c r="F5" s="23" t="s">
        <v>180</v>
      </c>
    </row>
    <row r="6" spans="1:6" x14ac:dyDescent="0.25">
      <c r="A6" s="14" t="s">
        <v>14</v>
      </c>
      <c r="B6" s="14" t="s">
        <v>92</v>
      </c>
      <c r="C6" s="22" t="s">
        <v>197</v>
      </c>
      <c r="D6" s="14" t="s">
        <v>198</v>
      </c>
      <c r="E6" s="22" t="s">
        <v>199</v>
      </c>
      <c r="F6" s="23" t="s">
        <v>180</v>
      </c>
    </row>
    <row r="7" spans="1:6" x14ac:dyDescent="0.25">
      <c r="A7" s="14" t="s">
        <v>14</v>
      </c>
      <c r="B7" s="14" t="s">
        <v>92</v>
      </c>
      <c r="C7" s="22" t="s">
        <v>200</v>
      </c>
      <c r="D7" s="14" t="s">
        <v>198</v>
      </c>
      <c r="E7" s="22" t="s">
        <v>199</v>
      </c>
      <c r="F7" s="23" t="s">
        <v>180</v>
      </c>
    </row>
    <row r="8" spans="1:6" x14ac:dyDescent="0.25">
      <c r="A8" s="14" t="s">
        <v>14</v>
      </c>
      <c r="B8" s="14" t="s">
        <v>96</v>
      </c>
      <c r="C8" s="22" t="s">
        <v>202</v>
      </c>
      <c r="D8" s="14" t="s">
        <v>203</v>
      </c>
      <c r="E8" s="22" t="s">
        <v>204</v>
      </c>
      <c r="F8" s="14" t="s">
        <v>6</v>
      </c>
    </row>
    <row r="9" spans="1:6" x14ac:dyDescent="0.25">
      <c r="A9" s="14" t="s">
        <v>14</v>
      </c>
      <c r="B9" s="14" t="s">
        <v>96</v>
      </c>
      <c r="C9" s="22" t="s">
        <v>205</v>
      </c>
      <c r="D9" s="14" t="s">
        <v>203</v>
      </c>
      <c r="E9" s="22" t="s">
        <v>206</v>
      </c>
      <c r="F9" s="14" t="s">
        <v>6</v>
      </c>
    </row>
    <row r="10" spans="1:6" x14ac:dyDescent="0.25">
      <c r="A10" s="14" t="s">
        <v>14</v>
      </c>
      <c r="B10" s="14" t="s">
        <v>98</v>
      </c>
      <c r="C10" s="22" t="s">
        <v>207</v>
      </c>
      <c r="D10" s="14" t="s">
        <v>208</v>
      </c>
      <c r="E10" s="22" t="s">
        <v>209</v>
      </c>
      <c r="F10" s="23" t="s">
        <v>180</v>
      </c>
    </row>
    <row r="11" spans="1:6" x14ac:dyDescent="0.25">
      <c r="A11" s="14" t="s">
        <v>14</v>
      </c>
      <c r="B11" s="14" t="s">
        <v>98</v>
      </c>
      <c r="C11" s="22" t="s">
        <v>210</v>
      </c>
      <c r="D11" s="14" t="s">
        <v>211</v>
      </c>
      <c r="E11" s="22" t="s">
        <v>209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212</v>
      </c>
      <c r="D12" s="14" t="s">
        <v>213</v>
      </c>
      <c r="E12" s="22" t="s">
        <v>209</v>
      </c>
      <c r="F12" s="23" t="s">
        <v>180</v>
      </c>
    </row>
    <row r="13" spans="1:6" x14ac:dyDescent="0.25">
      <c r="A13" s="14" t="s">
        <v>14</v>
      </c>
      <c r="B13" s="14" t="s">
        <v>98</v>
      </c>
      <c r="C13" s="22" t="s">
        <v>214</v>
      </c>
      <c r="D13" s="14" t="s">
        <v>215</v>
      </c>
      <c r="E13" s="22" t="s">
        <v>209</v>
      </c>
      <c r="F13" s="23" t="s">
        <v>180</v>
      </c>
    </row>
    <row r="14" spans="1:6" x14ac:dyDescent="0.25">
      <c r="A14" s="14" t="s">
        <v>14</v>
      </c>
      <c r="B14" s="14" t="s">
        <v>102</v>
      </c>
      <c r="C14" s="22" t="s">
        <v>217</v>
      </c>
      <c r="D14" s="14" t="s">
        <v>218</v>
      </c>
      <c r="E14" s="22" t="s">
        <v>219</v>
      </c>
      <c r="F14" s="23" t="s">
        <v>180</v>
      </c>
    </row>
    <row r="15" spans="1:6" x14ac:dyDescent="0.25">
      <c r="A15" s="14" t="s">
        <v>14</v>
      </c>
      <c r="B15" s="14" t="s">
        <v>102</v>
      </c>
      <c r="C15" s="22" t="s">
        <v>220</v>
      </c>
      <c r="D15" s="14" t="s">
        <v>221</v>
      </c>
      <c r="E15" s="22" t="s">
        <v>219</v>
      </c>
      <c r="F15" s="23" t="s">
        <v>180</v>
      </c>
    </row>
    <row r="16" spans="1:6" x14ac:dyDescent="0.25">
      <c r="A16" s="14" t="s">
        <v>14</v>
      </c>
      <c r="B16" s="14" t="s">
        <v>104</v>
      </c>
      <c r="C16" s="22" t="s">
        <v>222</v>
      </c>
      <c r="D16" s="14" t="s">
        <v>223</v>
      </c>
      <c r="E16" s="22" t="s">
        <v>224</v>
      </c>
      <c r="F16" s="23" t="s">
        <v>180</v>
      </c>
    </row>
    <row r="17" spans="1:6" x14ac:dyDescent="0.25">
      <c r="A17" s="14" t="s">
        <v>14</v>
      </c>
      <c r="B17" s="14" t="s">
        <v>104</v>
      </c>
      <c r="C17" s="22" t="s">
        <v>225</v>
      </c>
      <c r="D17" s="14" t="s">
        <v>226</v>
      </c>
      <c r="E17" s="22" t="s">
        <v>224</v>
      </c>
      <c r="F17" s="23" t="s">
        <v>180</v>
      </c>
    </row>
    <row r="18" spans="1:6" x14ac:dyDescent="0.25">
      <c r="A18" s="14" t="s">
        <v>14</v>
      </c>
      <c r="B18" s="14" t="s">
        <v>120</v>
      </c>
      <c r="C18" s="22" t="s">
        <v>264</v>
      </c>
      <c r="D18" s="14" t="s">
        <v>229</v>
      </c>
      <c r="E18" s="22" t="s">
        <v>265</v>
      </c>
      <c r="F18" s="23" t="s">
        <v>180</v>
      </c>
    </row>
    <row r="19" spans="1:6" x14ac:dyDescent="0.25">
      <c r="A19" s="19" t="s">
        <v>6</v>
      </c>
      <c r="B19" s="19" t="s">
        <v>6</v>
      </c>
      <c r="C19" s="20" t="s">
        <v>266</v>
      </c>
      <c r="D19" s="19" t="s">
        <v>232</v>
      </c>
      <c r="E19" s="20" t="s">
        <v>6</v>
      </c>
      <c r="F19" s="21" t="s">
        <v>183</v>
      </c>
    </row>
    <row r="20" spans="1:6" x14ac:dyDescent="0.25">
      <c r="A20" s="24" t="s">
        <v>15</v>
      </c>
      <c r="B20" s="24" t="s">
        <v>108</v>
      </c>
      <c r="C20" s="25" t="s">
        <v>311</v>
      </c>
      <c r="D20" s="24" t="s">
        <v>312</v>
      </c>
      <c r="E20" s="25" t="s">
        <v>313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314</v>
      </c>
      <c r="D21" s="24" t="s">
        <v>315</v>
      </c>
      <c r="E21" s="25" t="s">
        <v>313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316</v>
      </c>
      <c r="D22" s="24" t="s">
        <v>317</v>
      </c>
      <c r="E22" s="25" t="s">
        <v>313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318</v>
      </c>
      <c r="D23" s="24" t="s">
        <v>319</v>
      </c>
      <c r="E23" s="25" t="s">
        <v>313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320</v>
      </c>
      <c r="D24" s="24" t="s">
        <v>321</v>
      </c>
      <c r="E24" s="25" t="s">
        <v>313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322</v>
      </c>
      <c r="D25" s="24" t="s">
        <v>323</v>
      </c>
      <c r="E25" s="25" t="s">
        <v>324</v>
      </c>
      <c r="F25" s="26" t="s">
        <v>180</v>
      </c>
    </row>
  </sheetData>
  <autoFilter ref="A4:F25"/>
  <mergeCells count="1">
    <mergeCell ref="A1:F1"/>
  </mergeCells>
  <hyperlinks>
    <hyperlink ref="F5" r:id="rId1"/>
    <hyperlink ref="F6" r:id="rId2"/>
    <hyperlink ref="F7" r:id="rId3"/>
    <hyperlink ref="F10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3" r:id="rId17"/>
    <hyperlink ref="F24" r:id="rId18"/>
    <hyperlink ref="F25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31</v>
      </c>
      <c r="C5" s="22" t="s">
        <v>185</v>
      </c>
      <c r="D5" s="14" t="s">
        <v>186</v>
      </c>
      <c r="E5" s="22" t="s">
        <v>187</v>
      </c>
      <c r="F5" s="14" t="s">
        <v>6</v>
      </c>
    </row>
    <row r="6" spans="1:6" x14ac:dyDescent="0.25">
      <c r="A6" s="24" t="s">
        <v>15</v>
      </c>
      <c r="B6" s="24" t="s">
        <v>56</v>
      </c>
      <c r="C6" s="25" t="s">
        <v>308</v>
      </c>
      <c r="D6" s="24" t="s">
        <v>309</v>
      </c>
      <c r="E6" s="25" t="s">
        <v>310</v>
      </c>
      <c r="F6" s="24" t="s">
        <v>6</v>
      </c>
    </row>
  </sheetData>
  <autoFilter ref="A4:F6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339</v>
      </c>
      <c r="B1" s="5" t="s">
        <v>340</v>
      </c>
      <c r="C1" s="5" t="s">
        <v>341</v>
      </c>
      <c r="D1" s="5" t="s">
        <v>342</v>
      </c>
      <c r="E1" s="5" t="s">
        <v>343</v>
      </c>
      <c r="F1" s="5" t="s">
        <v>344</v>
      </c>
      <c r="G1" s="5" t="s">
        <v>345</v>
      </c>
    </row>
    <row r="2" spans="1:7" x14ac:dyDescent="0.25">
      <c r="A2" s="10" t="s">
        <v>346</v>
      </c>
      <c r="B2" s="30">
        <v>48785</v>
      </c>
      <c r="C2" s="30">
        <v>85392</v>
      </c>
      <c r="D2" s="30">
        <v>-36607</v>
      </c>
      <c r="E2" s="31" t="s">
        <v>347</v>
      </c>
      <c r="F2" s="10" t="s">
        <v>6</v>
      </c>
      <c r="G2" s="32" t="s">
        <v>348</v>
      </c>
    </row>
    <row r="3" spans="1:7" x14ac:dyDescent="0.25">
      <c r="A3" s="10" t="s">
        <v>349</v>
      </c>
      <c r="B3" s="30">
        <v>30139045</v>
      </c>
      <c r="C3" s="30">
        <v>18336630</v>
      </c>
      <c r="D3" s="33">
        <v>11802415</v>
      </c>
      <c r="E3" s="31" t="s">
        <v>350</v>
      </c>
      <c r="F3" s="10" t="s">
        <v>351</v>
      </c>
      <c r="G3" s="32" t="s">
        <v>348</v>
      </c>
    </row>
    <row r="4" spans="1:7" x14ac:dyDescent="0.25">
      <c r="A4" s="10" t="s">
        <v>352</v>
      </c>
      <c r="B4" s="30">
        <v>0</v>
      </c>
      <c r="C4" s="30">
        <v>20000</v>
      </c>
      <c r="D4" s="33">
        <v>-20000</v>
      </c>
      <c r="E4" s="31" t="s">
        <v>353</v>
      </c>
      <c r="F4" s="10" t="s">
        <v>351</v>
      </c>
      <c r="G4" s="32" t="s">
        <v>348</v>
      </c>
    </row>
    <row r="5" spans="1:7" x14ac:dyDescent="0.25">
      <c r="A5" s="10" t="s">
        <v>354</v>
      </c>
      <c r="B5" s="30">
        <v>0</v>
      </c>
      <c r="C5" s="30">
        <v>0</v>
      </c>
      <c r="D5" s="30">
        <v>0</v>
      </c>
      <c r="E5" s="31" t="s">
        <v>6</v>
      </c>
      <c r="F5" s="10" t="s">
        <v>6</v>
      </c>
      <c r="G5" s="32" t="s">
        <v>348</v>
      </c>
    </row>
    <row r="6" spans="1:7" x14ac:dyDescent="0.25">
      <c r="A6" s="10" t="s">
        <v>355</v>
      </c>
      <c r="B6" s="30">
        <v>6169667</v>
      </c>
      <c r="C6" s="30">
        <v>27081266</v>
      </c>
      <c r="D6" s="33">
        <v>-20911599</v>
      </c>
      <c r="E6" s="31" t="s">
        <v>356</v>
      </c>
      <c r="F6" s="10" t="s">
        <v>351</v>
      </c>
      <c r="G6" s="32" t="s">
        <v>348</v>
      </c>
    </row>
    <row r="7" spans="1:7" x14ac:dyDescent="0.25">
      <c r="A7" s="10" t="s">
        <v>357</v>
      </c>
      <c r="B7" s="30">
        <v>2215270</v>
      </c>
      <c r="C7" s="30">
        <v>0</v>
      </c>
      <c r="D7" s="30">
        <v>2215270</v>
      </c>
      <c r="E7" s="31" t="s">
        <v>6</v>
      </c>
      <c r="F7" s="10" t="s">
        <v>6</v>
      </c>
      <c r="G7" s="32" t="s">
        <v>348</v>
      </c>
    </row>
    <row r="8" spans="1:7" x14ac:dyDescent="0.25">
      <c r="A8" s="10" t="s">
        <v>358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348</v>
      </c>
    </row>
    <row r="9" spans="1:7" x14ac:dyDescent="0.25">
      <c r="A9" s="10" t="s">
        <v>359</v>
      </c>
      <c r="B9" s="30">
        <v>230000</v>
      </c>
      <c r="C9" s="30">
        <v>230000</v>
      </c>
      <c r="D9" s="30">
        <v>0</v>
      </c>
      <c r="E9" s="31" t="s">
        <v>360</v>
      </c>
      <c r="F9" s="10" t="s">
        <v>6</v>
      </c>
      <c r="G9" s="32" t="s">
        <v>348</v>
      </c>
    </row>
    <row r="10" spans="1:7" x14ac:dyDescent="0.25">
      <c r="A10" s="10" t="s">
        <v>361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348</v>
      </c>
    </row>
    <row r="11" spans="1:7" x14ac:dyDescent="0.25">
      <c r="A11" s="10" t="s">
        <v>362</v>
      </c>
      <c r="B11" s="30">
        <v>813384</v>
      </c>
      <c r="C11" s="30">
        <v>858572</v>
      </c>
      <c r="D11" s="30">
        <v>-45188</v>
      </c>
      <c r="E11" s="31" t="s">
        <v>363</v>
      </c>
      <c r="F11" s="10" t="s">
        <v>6</v>
      </c>
      <c r="G11" s="32" t="s">
        <v>348</v>
      </c>
    </row>
    <row r="12" spans="1:7" x14ac:dyDescent="0.25">
      <c r="A12" s="10" t="s">
        <v>364</v>
      </c>
      <c r="B12" s="30">
        <v>624598</v>
      </c>
      <c r="C12" s="30">
        <v>1131710</v>
      </c>
      <c r="D12" s="30">
        <v>-507112</v>
      </c>
      <c r="E12" s="31" t="s">
        <v>365</v>
      </c>
      <c r="F12" s="10" t="s">
        <v>6</v>
      </c>
      <c r="G12" s="32" t="s">
        <v>348</v>
      </c>
    </row>
    <row r="13" spans="1:7" x14ac:dyDescent="0.25">
      <c r="A13" s="10" t="s">
        <v>366</v>
      </c>
      <c r="B13" s="30">
        <v>428317</v>
      </c>
      <c r="C13" s="30">
        <v>467999</v>
      </c>
      <c r="D13" s="30">
        <v>-39682</v>
      </c>
      <c r="E13" s="31" t="s">
        <v>367</v>
      </c>
      <c r="F13" s="10" t="s">
        <v>6</v>
      </c>
      <c r="G13" s="32" t="s">
        <v>348</v>
      </c>
    </row>
    <row r="14" spans="1:7" x14ac:dyDescent="0.25">
      <c r="A14" s="10" t="s">
        <v>368</v>
      </c>
      <c r="B14" s="30">
        <v>25000</v>
      </c>
      <c r="C14" s="30">
        <v>25000</v>
      </c>
      <c r="D14" s="30">
        <v>0</v>
      </c>
      <c r="E14" s="31" t="s">
        <v>360</v>
      </c>
      <c r="F14" s="10" t="s">
        <v>6</v>
      </c>
      <c r="G14" s="32" t="s">
        <v>348</v>
      </c>
    </row>
    <row r="15" spans="1:7" x14ac:dyDescent="0.25">
      <c r="A15" s="10" t="s">
        <v>369</v>
      </c>
      <c r="B15" s="30">
        <v>1651334</v>
      </c>
      <c r="C15" s="30">
        <v>1633695</v>
      </c>
      <c r="D15" s="30">
        <v>17639</v>
      </c>
      <c r="E15" s="31" t="s">
        <v>370</v>
      </c>
      <c r="F15" s="10" t="s">
        <v>6</v>
      </c>
      <c r="G15" s="32" t="s">
        <v>348</v>
      </c>
    </row>
    <row r="16" spans="1:7" x14ac:dyDescent="0.25">
      <c r="A16" s="10" t="s">
        <v>371</v>
      </c>
      <c r="B16" s="30">
        <v>230000</v>
      </c>
      <c r="C16" s="30">
        <v>230000</v>
      </c>
      <c r="D16" s="30">
        <v>0</v>
      </c>
      <c r="E16" s="31" t="s">
        <v>360</v>
      </c>
      <c r="F16" s="10" t="s">
        <v>6</v>
      </c>
      <c r="G16" s="32" t="s">
        <v>348</v>
      </c>
    </row>
    <row r="17" spans="1:7" x14ac:dyDescent="0.25">
      <c r="A17" s="10" t="s">
        <v>372</v>
      </c>
      <c r="B17" s="30">
        <v>510400</v>
      </c>
      <c r="C17" s="30">
        <v>526350</v>
      </c>
      <c r="D17" s="30">
        <v>-15950</v>
      </c>
      <c r="E17" s="31" t="s">
        <v>373</v>
      </c>
      <c r="F17" s="10" t="s">
        <v>6</v>
      </c>
      <c r="G17" s="32" t="s">
        <v>348</v>
      </c>
    </row>
    <row r="18" spans="1:7" x14ac:dyDescent="0.25">
      <c r="A18" s="10" t="s">
        <v>374</v>
      </c>
      <c r="B18" s="30">
        <v>35470</v>
      </c>
      <c r="C18" s="30">
        <v>35470</v>
      </c>
      <c r="D18" s="30">
        <v>0</v>
      </c>
      <c r="E18" s="31" t="s">
        <v>360</v>
      </c>
      <c r="F18" s="10" t="s">
        <v>6</v>
      </c>
      <c r="G18" s="32" t="s">
        <v>348</v>
      </c>
    </row>
    <row r="19" spans="1:7" x14ac:dyDescent="0.25">
      <c r="A19" s="10" t="s">
        <v>375</v>
      </c>
      <c r="B19" s="30">
        <v>201250</v>
      </c>
      <c r="C19" s="30">
        <v>210834</v>
      </c>
      <c r="D19" s="30">
        <v>-9584</v>
      </c>
      <c r="E19" s="31" t="s">
        <v>376</v>
      </c>
      <c r="F19" s="10" t="s">
        <v>6</v>
      </c>
      <c r="G19" s="32" t="s">
        <v>348</v>
      </c>
    </row>
    <row r="20" spans="1:7" x14ac:dyDescent="0.25">
      <c r="A20" s="10" t="s">
        <v>377</v>
      </c>
      <c r="B20" s="30">
        <v>27885</v>
      </c>
      <c r="C20" s="30">
        <v>265760</v>
      </c>
      <c r="D20" s="33">
        <v>-237875</v>
      </c>
      <c r="E20" s="31" t="s">
        <v>378</v>
      </c>
      <c r="F20" s="10" t="s">
        <v>351</v>
      </c>
      <c r="G20" s="32" t="s">
        <v>348</v>
      </c>
    </row>
    <row r="21" spans="1:7" x14ac:dyDescent="0.25">
      <c r="A21" s="10" t="s">
        <v>379</v>
      </c>
      <c r="B21" s="30">
        <v>6813119</v>
      </c>
      <c r="C21" s="30">
        <v>9810763</v>
      </c>
      <c r="D21" s="30">
        <v>-2997644</v>
      </c>
      <c r="E21" s="31" t="s">
        <v>380</v>
      </c>
      <c r="F21" s="10" t="s">
        <v>6</v>
      </c>
      <c r="G21" s="32" t="s">
        <v>348</v>
      </c>
    </row>
    <row r="22" spans="1:7" x14ac:dyDescent="0.25">
      <c r="A22" s="10" t="s">
        <v>381</v>
      </c>
      <c r="B22" s="30">
        <v>155437</v>
      </c>
      <c r="C22" s="30">
        <v>344599</v>
      </c>
      <c r="D22" s="33">
        <v>-189162</v>
      </c>
      <c r="E22" s="31" t="s">
        <v>382</v>
      </c>
      <c r="F22" s="10" t="s">
        <v>351</v>
      </c>
      <c r="G22" s="32" t="s">
        <v>348</v>
      </c>
    </row>
    <row r="23" spans="1:7" x14ac:dyDescent="0.25">
      <c r="A23" s="10" t="s">
        <v>383</v>
      </c>
      <c r="B23" s="30">
        <v>159050</v>
      </c>
      <c r="C23" s="30">
        <v>180743</v>
      </c>
      <c r="D23" s="30">
        <v>-21693</v>
      </c>
      <c r="E23" s="31" t="s">
        <v>384</v>
      </c>
      <c r="F23" s="10" t="s">
        <v>6</v>
      </c>
      <c r="G23" s="32" t="s">
        <v>348</v>
      </c>
    </row>
    <row r="24" spans="1:7" x14ac:dyDescent="0.25">
      <c r="A24" s="10" t="s">
        <v>385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348</v>
      </c>
    </row>
    <row r="25" spans="1:7" x14ac:dyDescent="0.25">
      <c r="A25" s="10" t="s">
        <v>386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348</v>
      </c>
    </row>
    <row r="26" spans="1:7" x14ac:dyDescent="0.25">
      <c r="A26" s="10" t="s">
        <v>387</v>
      </c>
      <c r="B26" s="30">
        <v>66419</v>
      </c>
      <c r="C26" s="30">
        <v>-225775</v>
      </c>
      <c r="D26" s="33">
        <v>292194</v>
      </c>
      <c r="E26" s="31" t="s">
        <v>388</v>
      </c>
      <c r="F26" s="10" t="s">
        <v>351</v>
      </c>
      <c r="G26" s="32" t="s">
        <v>348</v>
      </c>
    </row>
    <row r="27" spans="1:7" x14ac:dyDescent="0.25">
      <c r="A27" s="10" t="s">
        <v>389</v>
      </c>
      <c r="B27" s="30">
        <v>2349000</v>
      </c>
      <c r="C27" s="30">
        <v>2402000</v>
      </c>
      <c r="D27" s="30">
        <v>-53000</v>
      </c>
      <c r="E27" s="31" t="s">
        <v>390</v>
      </c>
      <c r="F27" s="10" t="s">
        <v>6</v>
      </c>
      <c r="G27" s="32" t="s">
        <v>348</v>
      </c>
    </row>
    <row r="28" spans="1:7" x14ac:dyDescent="0.25">
      <c r="A28" s="10" t="s">
        <v>391</v>
      </c>
      <c r="B28" s="30">
        <v>3000000</v>
      </c>
      <c r="C28" s="30">
        <v>3000000</v>
      </c>
      <c r="D28" s="30">
        <v>0</v>
      </c>
      <c r="E28" s="31" t="s">
        <v>360</v>
      </c>
      <c r="F28" s="10" t="s">
        <v>6</v>
      </c>
      <c r="G28" s="32" t="s">
        <v>348</v>
      </c>
    </row>
    <row r="29" spans="1:7" x14ac:dyDescent="0.25">
      <c r="A29" s="10" t="s">
        <v>392</v>
      </c>
      <c r="B29" s="30">
        <v>27698252</v>
      </c>
      <c r="C29" s="30">
        <v>27698252</v>
      </c>
      <c r="D29" s="30">
        <v>0</v>
      </c>
      <c r="E29" s="31" t="s">
        <v>360</v>
      </c>
      <c r="F29" s="10" t="s">
        <v>6</v>
      </c>
      <c r="G29" s="32" t="s">
        <v>348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393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339</v>
      </c>
      <c r="B3" s="5" t="s">
        <v>394</v>
      </c>
      <c r="C3" s="5" t="s">
        <v>395</v>
      </c>
      <c r="D3" s="5" t="s">
        <v>396</v>
      </c>
      <c r="E3" s="5" t="s">
        <v>397</v>
      </c>
      <c r="F3" s="5" t="s">
        <v>398</v>
      </c>
      <c r="G3" s="5" t="s">
        <v>399</v>
      </c>
      <c r="H3" s="5" t="s">
        <v>400</v>
      </c>
      <c r="I3" s="5" t="s">
        <v>401</v>
      </c>
      <c r="J3" s="5" t="s">
        <v>402</v>
      </c>
      <c r="K3" s="5" t="s">
        <v>403</v>
      </c>
      <c r="L3" s="5" t="s">
        <v>404</v>
      </c>
      <c r="M3" s="35" t="s">
        <v>405</v>
      </c>
      <c r="N3" s="5" t="s">
        <v>406</v>
      </c>
      <c r="O3" s="5" t="s">
        <v>345</v>
      </c>
    </row>
    <row r="4" spans="1:15" x14ac:dyDescent="0.25">
      <c r="A4" s="10" t="s">
        <v>407</v>
      </c>
      <c r="B4" s="30">
        <v>10688445</v>
      </c>
      <c r="C4" s="30">
        <v>10539164</v>
      </c>
      <c r="D4" s="30">
        <v>5805105</v>
      </c>
      <c r="E4" s="30">
        <v>5394915</v>
      </c>
      <c r="F4" s="30">
        <v>10689990</v>
      </c>
      <c r="G4" s="30">
        <v>9375809</v>
      </c>
      <c r="H4" s="30">
        <v>6430178</v>
      </c>
      <c r="I4" s="30">
        <v>6994172</v>
      </c>
      <c r="J4" s="30">
        <v>9389563</v>
      </c>
      <c r="K4" s="30">
        <v>27047848</v>
      </c>
      <c r="L4" s="30">
        <v>4926513</v>
      </c>
      <c r="M4" s="36">
        <v>3410614</v>
      </c>
      <c r="N4" s="37">
        <f>SUM(B4:M4)</f>
        <v>110692316</v>
      </c>
      <c r="O4" s="38"/>
    </row>
    <row r="5" spans="1:15" x14ac:dyDescent="0.25">
      <c r="A5" s="10" t="s">
        <v>408</v>
      </c>
      <c r="B5" s="30">
        <v>4662466</v>
      </c>
      <c r="C5" s="30">
        <v>5789769</v>
      </c>
      <c r="D5" s="30">
        <v>2026639</v>
      </c>
      <c r="E5" s="30">
        <v>3343807</v>
      </c>
      <c r="F5" s="30">
        <v>5586838</v>
      </c>
      <c r="G5" s="30">
        <v>4696709</v>
      </c>
      <c r="H5" s="30">
        <v>2848308</v>
      </c>
      <c r="I5" s="30">
        <v>4628893</v>
      </c>
      <c r="J5" s="30">
        <v>8242146</v>
      </c>
      <c r="K5" s="30">
        <v>11706559</v>
      </c>
      <c r="L5" s="30">
        <v>1699440</v>
      </c>
      <c r="M5" s="36">
        <v>1185460</v>
      </c>
      <c r="N5" s="37">
        <f>SUM(B5:M5)</f>
        <v>56417034</v>
      </c>
      <c r="O5" s="38"/>
    </row>
    <row r="6" spans="1:15" x14ac:dyDescent="0.25">
      <c r="A6" s="39" t="s">
        <v>409</v>
      </c>
      <c r="B6" s="40">
        <v>6025979</v>
      </c>
      <c r="C6" s="40">
        <v>4749395</v>
      </c>
      <c r="D6" s="40">
        <v>3778466</v>
      </c>
      <c r="E6" s="40">
        <v>2051108</v>
      </c>
      <c r="F6" s="40">
        <v>5103152</v>
      </c>
      <c r="G6" s="40">
        <v>4679100</v>
      </c>
      <c r="H6" s="40">
        <v>3581870</v>
      </c>
      <c r="I6" s="40">
        <v>2365279</v>
      </c>
      <c r="J6" s="40">
        <v>1147417</v>
      </c>
      <c r="K6" s="40">
        <v>15341289</v>
      </c>
      <c r="L6" s="40">
        <v>3227073</v>
      </c>
      <c r="M6" s="40">
        <v>2225154</v>
      </c>
      <c r="N6" s="40">
        <f>SUM(B6:M6)</f>
        <v>54275282</v>
      </c>
      <c r="O6" s="41"/>
    </row>
    <row r="7" spans="1:15" x14ac:dyDescent="0.25">
      <c r="A7" s="10" t="s">
        <v>410</v>
      </c>
      <c r="B7" s="30">
        <f>HYPERLINK("https://secure.freee.co.jp/reports/general_ledgers/show?name=%E5%BD%B9%E5%93%A1%E5%A0%B1%E9%85%AC&amp;start_date=2025-03-01&amp;end_date=2025-03-31&amp;fiscal_year_id=9725180",600000)</f>
        <v>600000</v>
      </c>
      <c r="C7" s="30">
        <f>HYPERLINK("https://secure.freee.co.jp/reports/general_ledgers/show?name=%E5%BD%B9%E5%93%A1%E5%A0%B1%E9%85%AC&amp;start_date=2025-04-01&amp;end_date=2025-04-30&amp;fiscal_year_id=9725180",600000)</f>
        <v>600000</v>
      </c>
      <c r="D7" s="30">
        <f>HYPERLINK("https://secure.freee.co.jp/reports/general_ledgers/show?name=%E5%BD%B9%E5%93%A1%E5%A0%B1%E9%85%AC&amp;start_date=2025-05-01&amp;end_date=2025-05-31&amp;fiscal_year_id=9725180",600000)</f>
        <v>600000</v>
      </c>
      <c r="E7" s="30">
        <f>HYPERLINK("https://secure.freee.co.jp/reports/general_ledgers/show?name=%E5%BD%B9%E5%93%A1%E5%A0%B1%E9%85%AC&amp;start_date=2025-06-01&amp;end_date=2025-06-30&amp;fiscal_year_id=9725180",600000)</f>
        <v>600000</v>
      </c>
      <c r="F7" s="30">
        <f>HYPERLINK("https://secure.freee.co.jp/reports/general_ledgers/show?name=%E5%BD%B9%E5%93%A1%E5%A0%B1%E9%85%AC&amp;start_date=2025-07-01&amp;end_date=2025-07-31&amp;fiscal_year_id=9725180",600000)</f>
        <v>600000</v>
      </c>
      <c r="G7" s="30">
        <f>HYPERLINK("https://secure.freee.co.jp/reports/general_ledgers/show?name=%E5%BD%B9%E5%93%A1%E5%A0%B1%E9%85%AC&amp;start_date=2025-08-01&amp;end_date=2025-08-31&amp;fiscal_year_id=9725180",600000)</f>
        <v>600000</v>
      </c>
      <c r="H7" s="30">
        <f>HYPERLINK("https://secure.freee.co.jp/reports/general_ledgers/show?name=%E5%BD%B9%E5%93%A1%E5%A0%B1%E9%85%AC&amp;start_date=2025-09-01&amp;end_date=2025-09-30&amp;fiscal_year_id=9725180",600000)</f>
        <v>600000</v>
      </c>
      <c r="I7" s="30">
        <f>HYPERLINK("https://secure.freee.co.jp/reports/general_ledgers/show?name=%E5%BD%B9%E5%93%A1%E5%A0%B1%E9%85%AC&amp;start_date=2025-10-01&amp;end_date=2025-10-31&amp;fiscal_year_id=9725180",600000)</f>
        <v>600000</v>
      </c>
      <c r="J7" s="30">
        <f>HYPERLINK("https://secure.freee.co.jp/reports/general_ledgers/show?name=%E5%BD%B9%E5%93%A1%E5%A0%B1%E9%85%AC&amp;start_date=2025-11-01&amp;end_date=2025-11-30&amp;fiscal_year_id=9725180",600000)</f>
        <v>600000</v>
      </c>
      <c r="K7" s="30">
        <f>HYPERLINK("https://secure.freee.co.jp/reports/general_ledgers/show?name=%E5%BD%B9%E5%93%A1%E5%A0%B1%E9%85%AC&amp;start_date=2025-12-01&amp;end_date=2025-12-31&amp;fiscal_year_id=9725180",600000)</f>
        <v>600000</v>
      </c>
      <c r="L7" s="30">
        <f>HYPERLINK("https://secure.freee.co.jp/reports/general_ledgers/show?name=%E5%BD%B9%E5%93%A1%E5%A0%B1%E9%85%AC&amp;start_date=2026-01-01&amp;end_date=2026-01-31&amp;fiscal_year_id=9725180",600000)</f>
        <v>600000</v>
      </c>
      <c r="M7" s="36">
        <f>HYPERLINK("https://secure.freee.co.jp/reports/general_ledgers/show?name=%E5%BD%B9%E5%93%A1%E5%A0%B1%E9%85%AC&amp;start_date=2026-02-01&amp;end_date=2026-02-28&amp;fiscal_year_id=9725180",600000)</f>
        <v>600000</v>
      </c>
      <c r="N7" s="37">
        <f>SUM(B7:M7)</f>
        <v>7200000</v>
      </c>
      <c r="O7" s="32" t="s">
        <v>345</v>
      </c>
    </row>
    <row r="8" spans="1:15" x14ac:dyDescent="0.25">
      <c r="A8" s="10" t="s">
        <v>411</v>
      </c>
      <c r="B8" s="42">
        <v>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36">
        <f>HYPERLINK("https://secure.freee.co.jp/reports/general_ledgers/show?name=%E5%BD%B9%E5%93%A1%E8%B3%9E%E4%B8%8E&amp;start_date=2026-02-01&amp;end_date=2026-02-28&amp;fiscal_year_id=9725180",1500000)</f>
        <v>1500000</v>
      </c>
      <c r="N8" s="37">
        <f>SUM(B8:M8)</f>
        <v>1500000</v>
      </c>
      <c r="O8" s="32" t="s">
        <v>345</v>
      </c>
    </row>
    <row r="9" spans="1:15" x14ac:dyDescent="0.25">
      <c r="A9" s="10" t="s">
        <v>412</v>
      </c>
      <c r="B9" s="30">
        <f>HYPERLINK("https://secure.freee.co.jp/reports/general_ledgers/show?name=%E7%B5%A6%E6%96%99%E6%89%8B%E5%BD%93&amp;start_date=2025-03-01&amp;end_date=2025-03-31&amp;fiscal_year_id=9725180",1060600)</f>
        <v>1060600</v>
      </c>
      <c r="C9" s="30">
        <f>HYPERLINK("https://secure.freee.co.jp/reports/general_ledgers/show?name=%E7%B5%A6%E6%96%99%E6%89%8B%E5%BD%93&amp;start_date=2025-04-01&amp;end_date=2025-04-30&amp;fiscal_year_id=9725180",1075600)</f>
        <v>1075600</v>
      </c>
      <c r="D9" s="30">
        <f>HYPERLINK("https://secure.freee.co.jp/reports/general_ledgers/show?name=%E7%B5%A6%E6%96%99%E6%89%8B%E5%BD%93&amp;start_date=2025-05-01&amp;end_date=2025-05-31&amp;fiscal_year_id=9725180",1075600)</f>
        <v>1075600</v>
      </c>
      <c r="E9" s="30">
        <f>HYPERLINK("https://secure.freee.co.jp/reports/general_ledgers/show?name=%E7%B5%A6%E6%96%99%E6%89%8B%E5%BD%93&amp;start_date=2025-06-01&amp;end_date=2025-06-30&amp;fiscal_year_id=9725180",1055870)</f>
        <v>1055870</v>
      </c>
      <c r="F9" s="30">
        <f>HYPERLINK("https://secure.freee.co.jp/reports/general_ledgers/show?name=%E7%B5%A6%E6%96%99%E6%89%8B%E5%BD%93&amp;start_date=2025-07-01&amp;end_date=2025-07-31&amp;fiscal_year_id=9725180",1044040)</f>
        <v>1044040</v>
      </c>
      <c r="G9" s="30">
        <f>HYPERLINK("https://secure.freee.co.jp/reports/general_ledgers/show?name=%E7%B5%A6%E6%96%99%E6%89%8B%E5%BD%93&amp;start_date=2025-08-01&amp;end_date=2025-08-31&amp;fiscal_year_id=9725180",1040020)</f>
        <v>1040020</v>
      </c>
      <c r="H9" s="30">
        <f>HYPERLINK("https://secure.freee.co.jp/reports/general_ledgers/show?name=%E7%B5%A6%E6%96%99%E6%89%8B%E5%BD%93&amp;start_date=2025-09-01&amp;end_date=2025-09-30&amp;fiscal_year_id=9725180",1057210)</f>
        <v>1057210</v>
      </c>
      <c r="I9" s="30">
        <f>HYPERLINK("https://secure.freee.co.jp/reports/general_ledgers/show?name=%E7%B5%A6%E6%96%99%E6%89%8B%E5%BD%93&amp;start_date=2025-10-01&amp;end_date=2025-10-31&amp;fiscal_year_id=9725180",1039216)</f>
        <v>1039216</v>
      </c>
      <c r="J9" s="30">
        <f>HYPERLINK("https://secure.freee.co.jp/reports/general_ledgers/show?name=%E7%B5%A6%E6%96%99%E6%89%8B%E5%BD%93&amp;start_date=2025-11-01&amp;end_date=2025-11-30&amp;fiscal_year_id=9725180",1059134)</f>
        <v>1059134</v>
      </c>
      <c r="K9" s="30">
        <f>HYPERLINK("https://secure.freee.co.jp/reports/general_ledgers/show?name=%E7%B5%A6%E6%96%99%E6%89%8B%E5%BD%93&amp;start_date=2025-12-01&amp;end_date=2025-12-31&amp;fiscal_year_id=9725180",1042030)</f>
        <v>1042030</v>
      </c>
      <c r="L9" s="30">
        <f>HYPERLINK("https://secure.freee.co.jp/reports/general_ledgers/show?name=%E7%B5%A6%E6%96%99%E6%89%8B%E5%BD%93&amp;start_date=2026-01-01&amp;end_date=2026-01-31&amp;fiscal_year_id=9725180",1058940)</f>
        <v>1058940</v>
      </c>
      <c r="M9" s="36">
        <f>HYPERLINK("https://secure.freee.co.jp/reports/general_ledgers/show?name=%E7%B5%A6%E6%96%99%E6%89%8B%E5%BD%93&amp;start_date=2026-02-01&amp;end_date=2026-02-28&amp;fiscal_year_id=9725180",1036000)</f>
        <v>1036000</v>
      </c>
      <c r="N9" s="37">
        <f>SUM(B9:M9)</f>
        <v>12644260</v>
      </c>
      <c r="O9" s="32" t="s">
        <v>345</v>
      </c>
    </row>
    <row r="10" spans="1:15" x14ac:dyDescent="0.25">
      <c r="A10" s="10" t="s">
        <v>413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30">
        <f>HYPERLINK("https://secure.freee.co.jp/reports/general_ledgers/show?name=%E8%B3%9E%E4%B8%8E&amp;start_date=2025-12-01&amp;end_date=2025-12-31&amp;fiscal_year_id=9725180",1040000)</f>
        <v>1040000</v>
      </c>
      <c r="L10" s="43">
        <v>0</v>
      </c>
      <c r="M10" s="36">
        <f>HYPERLINK("https://secure.freee.co.jp/reports/general_ledgers/show?name=%E8%B3%9E%E4%B8%8E&amp;start_date=2026-02-01&amp;end_date=2026-02-28&amp;fiscal_year_id=9725180",1300000)</f>
        <v>1300000</v>
      </c>
      <c r="N10" s="37">
        <f>SUM(B10:M10)</f>
        <v>2340000</v>
      </c>
      <c r="O10" s="32" t="s">
        <v>345</v>
      </c>
    </row>
    <row r="11" spans="1:15" x14ac:dyDescent="0.25">
      <c r="A11" s="10" t="s">
        <v>414</v>
      </c>
      <c r="B11" s="30">
        <f>HYPERLINK("https://secure.freee.co.jp/reports/general_ledgers/show?name=%E6%B3%95%E5%AE%9A%E7%A6%8F%E5%88%A9%E8%B2%BB&amp;start_date=2025-03-01&amp;end_date=2025-03-31&amp;fiscal_year_id=9725180",203614)</f>
        <v>203614</v>
      </c>
      <c r="C11" s="30">
        <f>HYPERLINK("https://secure.freee.co.jp/reports/general_ledgers/show?name=%E6%B3%95%E5%AE%9A%E7%A6%8F%E5%88%A9%E8%B2%BB&amp;start_date=2025-04-01&amp;end_date=2025-04-30&amp;fiscal_year_id=9725180",203471)</f>
        <v>203471</v>
      </c>
      <c r="D11" s="30">
        <f>HYPERLINK("https://secure.freee.co.jp/reports/general_ledgers/show?name=%E6%B3%95%E5%AE%9A%E7%A6%8F%E5%88%A9%E8%B2%BB&amp;start_date=2025-05-01&amp;end_date=2025-05-31&amp;fiscal_year_id=9725180",203471)</f>
        <v>203471</v>
      </c>
      <c r="E11" s="33">
        <f>HYPERLINK("https://secure.freee.co.jp/reports/general_ledgers/show?name=%E6%B3%95%E5%AE%9A%E7%A6%8F%E5%88%A9%E8%B2%BB&amp;start_date=2025-06-01&amp;end_date=2025-06-30&amp;fiscal_year_id=9725180",473633)</f>
        <v>473633</v>
      </c>
      <c r="F11" s="33">
        <f>HYPERLINK("https://secure.freee.co.jp/reports/general_ledgers/show?name=%E6%B3%95%E5%AE%9A%E7%A6%8F%E5%88%A9%E8%B2%BB&amp;start_date=2025-07-01&amp;end_date=2025-07-31&amp;fiscal_year_id=9725180",212532)</f>
        <v>212532</v>
      </c>
      <c r="G11" s="30">
        <f>HYPERLINK("https://secure.freee.co.jp/reports/general_ledgers/show?name=%E6%B3%95%E5%AE%9A%E7%A6%8F%E5%88%A9%E8%B2%BB&amp;start_date=2025-08-01&amp;end_date=2025-08-31&amp;fiscal_year_id=9725180",182394)</f>
        <v>182394</v>
      </c>
      <c r="H11" s="30">
        <f>HYPERLINK("https://secure.freee.co.jp/reports/general_ledgers/show?name=%E6%B3%95%E5%AE%9A%E7%A6%8F%E5%88%A9%E8%B2%BB&amp;start_date=2025-09-01&amp;end_date=2025-09-30&amp;fiscal_year_id=9725180",182405)</f>
        <v>182405</v>
      </c>
      <c r="I11" s="30">
        <f>HYPERLINK("https://secure.freee.co.jp/reports/general_ledgers/show?name=%E6%B3%95%E5%AE%9A%E7%A6%8F%E5%88%A9%E8%B2%BB&amp;start_date=2025-10-01&amp;end_date=2025-10-31&amp;fiscal_year_id=9725180",186976)</f>
        <v>186976</v>
      </c>
      <c r="J11" s="30">
        <f>HYPERLINK("https://secure.freee.co.jp/reports/general_ledgers/show?name=%E6%B3%95%E5%AE%9A%E7%A6%8F%E5%88%A9%E8%B2%BB&amp;start_date=2025-11-01&amp;end_date=2025-11-30&amp;fiscal_year_id=9725180",186919)</f>
        <v>186919</v>
      </c>
      <c r="K11" s="30">
        <f>HYPERLINK("https://secure.freee.co.jp/reports/general_ledgers/show?name=%E6%B3%95%E5%AE%9A%E7%A6%8F%E5%88%A9%E8%B2%BB&amp;start_date=2025-12-01&amp;end_date=2025-12-31&amp;fiscal_year_id=9725180",254489)</f>
        <v>254489</v>
      </c>
      <c r="L11" s="30">
        <f>HYPERLINK("https://secure.freee.co.jp/reports/general_ledgers/show?name=%E6%B3%95%E5%AE%9A%E7%A6%8F%E5%88%A9%E8%B2%BB&amp;start_date=2026-01-01&amp;end_date=2026-01-31&amp;fiscal_year_id=9725180",186876)</f>
        <v>186876</v>
      </c>
      <c r="M11" s="33">
        <f>HYPERLINK("https://secure.freee.co.jp/reports/general_ledgers/show?name=%E6%B3%95%E5%AE%9A%E7%A6%8F%E5%88%A9%E8%B2%BB&amp;start_date=2026-02-01&amp;end_date=2026-02-28&amp;fiscal_year_id=9725180",500214)</f>
        <v>500214</v>
      </c>
      <c r="N11" s="37">
        <f>SUM(B11:M11)</f>
        <v>2976994</v>
      </c>
      <c r="O11" s="32" t="s">
        <v>345</v>
      </c>
    </row>
    <row r="12" spans="1:15" x14ac:dyDescent="0.25">
      <c r="A12" s="10" t="s">
        <v>415</v>
      </c>
      <c r="B12" s="30">
        <f>HYPERLINK("https://secure.freee.co.jp/reports/general_ledgers/show?name=%E6%94%AF%E6%89%95%E5%A0%B1%E9%85%AC%E6%96%99&amp;start_date=2025-03-01&amp;end_date=2025-03-31&amp;fiscal_year_id=9725180",22880)</f>
        <v>22880</v>
      </c>
      <c r="C12" s="30">
        <f>HYPERLINK("https://secure.freee.co.jp/reports/general_ledgers/show?name=%E6%94%AF%E6%89%95%E5%A0%B1%E9%85%AC%E6%96%99&amp;start_date=2025-04-01&amp;end_date=2025-04-30&amp;fiscal_year_id=9725180",22880)</f>
        <v>22880</v>
      </c>
      <c r="D12" s="33">
        <f>HYPERLINK("https://secure.freee.co.jp/reports/general_ledgers/show?name=%E6%94%AF%E6%89%95%E5%A0%B1%E9%85%AC%E6%96%99&amp;start_date=2025-05-01&amp;end_date=2025-05-31&amp;fiscal_year_id=9725180",209880)</f>
        <v>209880</v>
      </c>
      <c r="E12" s="33">
        <f>HYPERLINK("https://secure.freee.co.jp/reports/general_ledgers/show?name=%E6%94%AF%E6%89%95%E5%A0%B1%E9%85%AC%E6%96%99&amp;start_date=2025-06-01&amp;end_date=2025-06-30&amp;fiscal_year_id=9725180",22880)</f>
        <v>22880</v>
      </c>
      <c r="F12" s="30">
        <f>HYPERLINK("https://secure.freee.co.jp/reports/general_ledgers/show?name=%E6%94%AF%E6%89%95%E5%A0%B1%E9%85%AC%E6%96%99&amp;start_date=2025-07-01&amp;end_date=2025-07-31&amp;fiscal_year_id=9725180",22880)</f>
        <v>22880</v>
      </c>
      <c r="G12" s="30">
        <f>HYPERLINK("https://secure.freee.co.jp/reports/general_ledgers/show?name=%E6%94%AF%E6%89%95%E5%A0%B1%E9%85%AC%E6%96%99&amp;start_date=2025-08-01&amp;end_date=2025-08-31&amp;fiscal_year_id=9725180",22880)</f>
        <v>22880</v>
      </c>
      <c r="H12" s="30">
        <f>HYPERLINK("https://secure.freee.co.jp/reports/general_ledgers/show?name=%E6%94%AF%E6%89%95%E5%A0%B1%E9%85%AC%E6%96%99&amp;start_date=2025-09-01&amp;end_date=2025-09-30&amp;fiscal_year_id=9725180",22880)</f>
        <v>22880</v>
      </c>
      <c r="I12" s="30">
        <f>HYPERLINK("https://secure.freee.co.jp/reports/general_ledgers/show?name=%E6%94%AF%E6%89%95%E5%A0%B1%E9%85%AC%E6%96%99&amp;start_date=2025-10-01&amp;end_date=2025-10-31&amp;fiscal_year_id=9725180",22880)</f>
        <v>22880</v>
      </c>
      <c r="J12" s="30">
        <f>HYPERLINK("https://secure.freee.co.jp/reports/general_ledgers/show?name=%E6%94%AF%E6%89%95%E5%A0%B1%E9%85%AC%E6%96%99&amp;start_date=2025-11-01&amp;end_date=2025-11-30&amp;fiscal_year_id=9725180",22880)</f>
        <v>22880</v>
      </c>
      <c r="K12" s="30">
        <f>HYPERLINK("https://secure.freee.co.jp/reports/general_ledgers/show?name=%E6%94%AF%E6%89%95%E5%A0%B1%E9%85%AC%E6%96%99&amp;start_date=2025-12-01&amp;end_date=2025-12-31&amp;fiscal_year_id=9725180",22880)</f>
        <v>22880</v>
      </c>
      <c r="L12" s="30">
        <f>HYPERLINK("https://secure.freee.co.jp/reports/general_ledgers/show?name=%E6%94%AF%E6%89%95%E5%A0%B1%E9%85%AC%E6%96%99&amp;start_date=2026-01-01&amp;end_date=2026-01-31&amp;fiscal_year_id=9725180",22880)</f>
        <v>22880</v>
      </c>
      <c r="M12" s="33">
        <f>HYPERLINK("https://secure.freee.co.jp/reports/general_ledgers/show?name=%E6%94%AF%E6%89%95%E5%A0%B1%E9%85%AC%E6%96%99&amp;start_date=2026-02-01&amp;end_date=2026-02-28&amp;fiscal_year_id=9725180",82280)</f>
        <v>82280</v>
      </c>
      <c r="N12" s="37">
        <f>SUM(B12:M12)</f>
        <v>520960</v>
      </c>
      <c r="O12" s="32" t="s">
        <v>345</v>
      </c>
    </row>
    <row r="13" spans="1:15" x14ac:dyDescent="0.25">
      <c r="A13" s="10" t="s">
        <v>416</v>
      </c>
      <c r="B13" s="30">
        <f>HYPERLINK("https://secure.freee.co.jp/reports/general_ledgers/show?name=%E7%A6%8F%E5%88%A9%E5%8E%9A%E7%94%9F%E8%B2%BB&amp;start_date=2025-03-01&amp;end_date=2025-03-31&amp;fiscal_year_id=9725180",8582)</f>
        <v>8582</v>
      </c>
      <c r="C13" s="43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30">
        <f>HYPERLINK("https://secure.freee.co.jp/reports/general_ledgers/show?name=%E7%A6%8F%E5%88%A9%E5%8E%9A%E7%94%9F%E8%B2%BB&amp;start_date=2025-12-01&amp;end_date=2025-12-31&amp;fiscal_year_id=9725180",83252)</f>
        <v>83252</v>
      </c>
      <c r="L13" s="43">
        <v>0</v>
      </c>
      <c r="M13" s="44">
        <v>0</v>
      </c>
      <c r="N13" s="37">
        <f>SUM(B13:M13)</f>
        <v>91834</v>
      </c>
      <c r="O13" s="32" t="s">
        <v>345</v>
      </c>
    </row>
    <row r="14" spans="1:15" x14ac:dyDescent="0.25">
      <c r="A14" s="10" t="s">
        <v>417</v>
      </c>
      <c r="B14" s="30">
        <f>HYPERLINK("https://secure.freee.co.jp/reports/general_ledgers/show?name=%E6%B6%88%E8%80%97%E5%93%81%E8%B2%BB&amp;start_date=2025-03-01&amp;end_date=2025-03-31&amp;fiscal_year_id=9725180",84689)</f>
        <v>84689</v>
      </c>
      <c r="C14" s="30">
        <f>HYPERLINK("https://secure.freee.co.jp/reports/general_ledgers/show?name=%E6%B6%88%E8%80%97%E5%93%81%E8%B2%BB&amp;start_date=2025-04-01&amp;end_date=2025-04-30&amp;fiscal_year_id=9725180",122888)</f>
        <v>122888</v>
      </c>
      <c r="D14" s="30">
        <f>HYPERLINK("https://secure.freee.co.jp/reports/general_ledgers/show?name=%E6%B6%88%E8%80%97%E5%93%81%E8%B2%BB&amp;start_date=2025-05-01&amp;end_date=2025-05-31&amp;fiscal_year_id=9725180",133189)</f>
        <v>133189</v>
      </c>
      <c r="E14" s="33">
        <f>HYPERLINK("https://secure.freee.co.jp/reports/general_ledgers/show?name=%E6%B6%88%E8%80%97%E5%93%81%E8%B2%BB&amp;start_date=2025-06-01&amp;end_date=2025-06-30&amp;fiscal_year_id=9725180",223262)</f>
        <v>223262</v>
      </c>
      <c r="F14" s="33">
        <f>HYPERLINK("https://secure.freee.co.jp/reports/general_ledgers/show?name=%E6%B6%88%E8%80%97%E5%93%81%E8%B2%BB&amp;start_date=2025-07-01&amp;end_date=2025-07-31&amp;fiscal_year_id=9725180",337624)</f>
        <v>337624</v>
      </c>
      <c r="G14" s="33">
        <f>HYPERLINK("https://secure.freee.co.jp/reports/general_ledgers/show?name=%E6%B6%88%E8%80%97%E5%93%81%E8%B2%BB&amp;start_date=2025-08-01&amp;end_date=2025-08-31&amp;fiscal_year_id=9725180",86947)</f>
        <v>86947</v>
      </c>
      <c r="H14" s="33">
        <f>HYPERLINK("https://secure.freee.co.jp/reports/general_ledgers/show?name=%E6%B6%88%E8%80%97%E5%93%81%E8%B2%BB&amp;start_date=2025-09-01&amp;end_date=2025-09-30&amp;fiscal_year_id=9725180",156209)</f>
        <v>156209</v>
      </c>
      <c r="I14" s="33">
        <f>HYPERLINK("https://secure.freee.co.jp/reports/general_ledgers/show?name=%E6%B6%88%E8%80%97%E5%93%81%E8%B2%BB&amp;start_date=2025-10-01&amp;end_date=2025-10-31&amp;fiscal_year_id=9725180",333160)</f>
        <v>333160</v>
      </c>
      <c r="J14" s="30">
        <f>HYPERLINK("https://secure.freee.co.jp/reports/general_ledgers/show?name=%E6%B6%88%E8%80%97%E5%93%81%E8%B2%BB&amp;start_date=2025-11-01&amp;end_date=2025-11-30&amp;fiscal_year_id=9725180",254161)</f>
        <v>254161</v>
      </c>
      <c r="K14" s="33">
        <f>HYPERLINK("https://secure.freee.co.jp/reports/general_ledgers/show?name=%E6%B6%88%E8%80%97%E5%93%81%E8%B2%BB&amp;start_date=2025-12-01&amp;end_date=2025-12-31&amp;fiscal_year_id=9725180",765140)</f>
        <v>765140</v>
      </c>
      <c r="L14" s="33">
        <f>HYPERLINK("https://secure.freee.co.jp/reports/general_ledgers/show?name=%E6%B6%88%E8%80%97%E5%93%81%E8%B2%BB&amp;start_date=2026-01-01&amp;end_date=2026-01-31&amp;fiscal_year_id=9725180",81049)</f>
        <v>81049</v>
      </c>
      <c r="M14" s="33">
        <f>HYPERLINK("https://secure.freee.co.jp/reports/general_ledgers/show?name=%E6%B6%88%E8%80%97%E5%93%81%E8%B2%BB&amp;start_date=2026-02-01&amp;end_date=2026-02-28&amp;fiscal_year_id=9725180",153215)</f>
        <v>153215</v>
      </c>
      <c r="N14" s="37">
        <f>SUM(B14:M14)</f>
        <v>2731533</v>
      </c>
      <c r="O14" s="32" t="s">
        <v>345</v>
      </c>
    </row>
    <row r="15" spans="1:15" x14ac:dyDescent="0.25">
      <c r="A15" s="10" t="s">
        <v>418</v>
      </c>
      <c r="B15" s="30">
        <f>HYPERLINK("https://secure.freee.co.jp/reports/general_ledgers/show?name=%E6%97%85%E8%B2%BB%E4%BA%A4%E9%80%9A%E8%B2%BB&amp;start_date=2025-03-01&amp;end_date=2025-03-31&amp;fiscal_year_id=9725180",98560)</f>
        <v>98560</v>
      </c>
      <c r="C15" s="33">
        <f>HYPERLINK("https://secure.freee.co.jp/reports/general_ledgers/show?name=%E6%97%85%E8%B2%BB%E4%BA%A4%E9%80%9A%E8%B2%BB&amp;start_date=2025-04-01&amp;end_date=2025-04-30&amp;fiscal_year_id=9725180",32220)</f>
        <v>32220</v>
      </c>
      <c r="D15" s="33">
        <f>HYPERLINK("https://secure.freee.co.jp/reports/general_ledgers/show?name=%E6%97%85%E8%B2%BB%E4%BA%A4%E9%80%9A%E8%B2%BB&amp;start_date=2025-05-01&amp;end_date=2025-05-31&amp;fiscal_year_id=9725180",53640)</f>
        <v>53640</v>
      </c>
      <c r="E15" s="30">
        <f>HYPERLINK("https://secure.freee.co.jp/reports/general_ledgers/show?name=%E6%97%85%E8%B2%BB%E4%BA%A4%E9%80%9A%E8%B2%BB&amp;start_date=2025-06-01&amp;end_date=2025-06-30&amp;fiscal_year_id=9725180",50220)</f>
        <v>50220</v>
      </c>
      <c r="F15" s="30">
        <f>HYPERLINK("https://secure.freee.co.jp/reports/general_ledgers/show?name=%E6%97%85%E8%B2%BB%E4%BA%A4%E9%80%9A%E8%B2%BB&amp;start_date=2025-07-01&amp;end_date=2025-07-31&amp;fiscal_year_id=9725180",56960)</f>
        <v>56960</v>
      </c>
      <c r="G15" s="30">
        <f>HYPERLINK("https://secure.freee.co.jp/reports/general_ledgers/show?name=%E6%97%85%E8%B2%BB%E4%BA%A4%E9%80%9A%E8%B2%BB&amp;start_date=2025-08-01&amp;end_date=2025-08-31&amp;fiscal_year_id=9725180",40520)</f>
        <v>40520</v>
      </c>
      <c r="H15" s="30">
        <f>HYPERLINK("https://secure.freee.co.jp/reports/general_ledgers/show?name=%E6%97%85%E8%B2%BB%E4%BA%A4%E9%80%9A%E8%B2%BB&amp;start_date=2025-09-01&amp;end_date=2025-09-30&amp;fiscal_year_id=9725180",49500)</f>
        <v>49500</v>
      </c>
      <c r="I15" s="30">
        <f>HYPERLINK("https://secure.freee.co.jp/reports/general_ledgers/show?name=%E6%97%85%E8%B2%BB%E4%BA%A4%E9%80%9A%E8%B2%BB&amp;start_date=2025-10-01&amp;end_date=2025-10-31&amp;fiscal_year_id=9725180",58368)</f>
        <v>58368</v>
      </c>
      <c r="J15" s="30">
        <f>HYPERLINK("https://secure.freee.co.jp/reports/general_ledgers/show?name=%E6%97%85%E8%B2%BB%E4%BA%A4%E9%80%9A%E8%B2%BB&amp;start_date=2025-11-01&amp;end_date=2025-11-30&amp;fiscal_year_id=9725180",81560)</f>
        <v>81560</v>
      </c>
      <c r="K15" s="33">
        <f>HYPERLINK("https://secure.freee.co.jp/reports/general_ledgers/show?name=%E6%97%85%E8%B2%BB%E4%BA%A4%E9%80%9A%E8%B2%BB&amp;start_date=2025-12-01&amp;end_date=2025-12-31&amp;fiscal_year_id=9725180",147590)</f>
        <v>147590</v>
      </c>
      <c r="L15" s="33">
        <f>HYPERLINK("https://secure.freee.co.jp/reports/general_ledgers/show?name=%E6%97%85%E8%B2%BB%E4%BA%A4%E9%80%9A%E8%B2%BB&amp;start_date=2026-01-01&amp;end_date=2026-01-31&amp;fiscal_year_id=9725180",64560)</f>
        <v>64560</v>
      </c>
      <c r="M15" s="36">
        <f>HYPERLINK("https://secure.freee.co.jp/reports/general_ledgers/show?name=%E6%97%85%E8%B2%BB%E4%BA%A4%E9%80%9A%E8%B2%BB&amp;start_date=2026-02-01&amp;end_date=2026-02-28&amp;fiscal_year_id=9725180",48120)</f>
        <v>48120</v>
      </c>
      <c r="N15" s="37">
        <f>SUM(B15:M15)</f>
        <v>781818</v>
      </c>
      <c r="O15" s="32" t="s">
        <v>345</v>
      </c>
    </row>
    <row r="16" spans="1:15" x14ac:dyDescent="0.25">
      <c r="A16" s="10" t="s">
        <v>419</v>
      </c>
      <c r="B16" s="30">
        <f>HYPERLINK("https://secure.freee.co.jp/reports/general_ledgers/show?name=%E8%BB%8A%E4%B8%A1%E8%B2%BB&amp;start_date=2025-03-01&amp;end_date=2025-03-31&amp;fiscal_year_id=9725180",218511)</f>
        <v>218511</v>
      </c>
      <c r="C16" s="30">
        <f>HYPERLINK("https://secure.freee.co.jp/reports/general_ledgers/show?name=%E8%BB%8A%E4%B8%A1%E8%B2%BB&amp;start_date=2025-04-01&amp;end_date=2025-04-30&amp;fiscal_year_id=9725180",134682)</f>
        <v>134682</v>
      </c>
      <c r="D16" s="30">
        <f>HYPERLINK("https://secure.freee.co.jp/reports/general_ledgers/show?name=%E8%BB%8A%E4%B8%A1%E8%B2%BB&amp;start_date=2025-05-01&amp;end_date=2025-05-31&amp;fiscal_year_id=9725180",171927)</f>
        <v>171927</v>
      </c>
      <c r="E16" s="30">
        <f>HYPERLINK("https://secure.freee.co.jp/reports/general_ledgers/show?name=%E8%BB%8A%E4%B8%A1%E8%B2%BB&amp;start_date=2025-06-01&amp;end_date=2025-06-30&amp;fiscal_year_id=9725180",171739)</f>
        <v>171739</v>
      </c>
      <c r="F16" s="30">
        <f>HYPERLINK("https://secure.freee.co.jp/reports/general_ledgers/show?name=%E8%BB%8A%E4%B8%A1%E8%B2%BB&amp;start_date=2025-07-01&amp;end_date=2025-07-31&amp;fiscal_year_id=9725180",214002)</f>
        <v>214002</v>
      </c>
      <c r="G16" s="30">
        <f>HYPERLINK("https://secure.freee.co.jp/reports/general_ledgers/show?name=%E8%BB%8A%E4%B8%A1%E8%B2%BB&amp;start_date=2025-08-01&amp;end_date=2025-08-31&amp;fiscal_year_id=9725180",203816)</f>
        <v>203816</v>
      </c>
      <c r="H16" s="30">
        <f>HYPERLINK("https://secure.freee.co.jp/reports/general_ledgers/show?name=%E8%BB%8A%E4%B8%A1%E8%B2%BB&amp;start_date=2025-09-01&amp;end_date=2025-09-30&amp;fiscal_year_id=9725180",243590)</f>
        <v>243590</v>
      </c>
      <c r="I16" s="30">
        <f>HYPERLINK("https://secure.freee.co.jp/reports/general_ledgers/show?name=%E8%BB%8A%E4%B8%A1%E8%B2%BB&amp;start_date=2025-10-01&amp;end_date=2025-10-31&amp;fiscal_year_id=9725180",255502)</f>
        <v>255502</v>
      </c>
      <c r="J16" s="30">
        <f>HYPERLINK("https://secure.freee.co.jp/reports/general_ledgers/show?name=%E8%BB%8A%E4%B8%A1%E8%B2%BB&amp;start_date=2025-11-01&amp;end_date=2025-11-30&amp;fiscal_year_id=9725180",255469)</f>
        <v>255469</v>
      </c>
      <c r="K16" s="30">
        <f>HYPERLINK("https://secure.freee.co.jp/reports/general_ledgers/show?name=%E8%BB%8A%E4%B8%A1%E8%B2%BB&amp;start_date=2025-12-01&amp;end_date=2025-12-31&amp;fiscal_year_id=9725180",296721)</f>
        <v>296721</v>
      </c>
      <c r="L16" s="30">
        <f>HYPERLINK("https://secure.freee.co.jp/reports/general_ledgers/show?name=%E8%BB%8A%E4%B8%A1%E8%B2%BB&amp;start_date=2026-01-01&amp;end_date=2026-01-31&amp;fiscal_year_id=9725180",411568)</f>
        <v>411568</v>
      </c>
      <c r="M16" s="33">
        <f>HYPERLINK("https://secure.freee.co.jp/reports/general_ledgers/show?name=%E8%BB%8A%E4%B8%A1%E8%B2%BB&amp;start_date=2026-02-01&amp;end_date=2026-02-28&amp;fiscal_year_id=9725180",197761)</f>
        <v>197761</v>
      </c>
      <c r="N16" s="37">
        <f>SUM(B16:M16)</f>
        <v>2775288</v>
      </c>
      <c r="O16" s="32" t="s">
        <v>345</v>
      </c>
    </row>
    <row r="17" spans="1:15" x14ac:dyDescent="0.25">
      <c r="A17" s="10" t="s">
        <v>420</v>
      </c>
      <c r="B17" s="30">
        <f>HYPERLINK("https://secure.freee.co.jp/reports/general_ledgers/show?name=%E4%BF%9D%E9%99%BA%E6%96%99&amp;start_date=2025-03-01&amp;end_date=2025-03-31&amp;fiscal_year_id=9725180",65130)</f>
        <v>65130</v>
      </c>
      <c r="C17" s="43">
        <v>0</v>
      </c>
      <c r="D17" s="30">
        <f>HYPERLINK("https://secure.freee.co.jp/reports/general_ledgers/show?name=%E4%BF%9D%E9%99%BA%E6%96%99&amp;start_date=2025-05-01&amp;end_date=2025-05-31&amp;fiscal_year_id=9725180",175370)</f>
        <v>175370</v>
      </c>
      <c r="E17" s="43">
        <v>0</v>
      </c>
      <c r="F17" s="42">
        <v>0</v>
      </c>
      <c r="G17" s="42">
        <v>0</v>
      </c>
      <c r="H17" s="30">
        <f>HYPERLINK("https://secure.freee.co.jp/reports/general_ledgers/show?name=%E4%BF%9D%E9%99%BA%E6%96%99&amp;start_date=2025-09-01&amp;end_date=2025-09-30&amp;fiscal_year_id=9725180",13480)</f>
        <v>13480</v>
      </c>
      <c r="I17" s="30">
        <f>HYPERLINK("https://secure.freee.co.jp/reports/general_ledgers/show?name=%E4%BF%9D%E9%99%BA%E6%96%99&amp;start_date=2025-10-01&amp;end_date=2025-10-31&amp;fiscal_year_id=9725180",13220)</f>
        <v>13220</v>
      </c>
      <c r="J17" s="33">
        <f>HYPERLINK("https://secure.freee.co.jp/reports/general_ledgers/show?name=%E4%BF%9D%E9%99%BA%E6%96%99&amp;start_date=2025-11-01&amp;end_date=2025-11-30&amp;fiscal_year_id=9725180",26070)</f>
        <v>26070</v>
      </c>
      <c r="K17" s="33">
        <f>HYPERLINK("https://secure.freee.co.jp/reports/general_ledgers/show?name=%E4%BF%9D%E9%99%BA%E6%96%99&amp;start_date=2025-12-01&amp;end_date=2025-12-31&amp;fiscal_year_id=9725180",242150)</f>
        <v>242150</v>
      </c>
      <c r="L17" s="33">
        <f>HYPERLINK("https://secure.freee.co.jp/reports/general_ledgers/show?name=%E4%BF%9D%E9%99%BA%E6%96%99&amp;start_date=2026-01-01&amp;end_date=2026-01-31&amp;fiscal_year_id=9725180",13220)</f>
        <v>13220</v>
      </c>
      <c r="M17" s="36">
        <f>HYPERLINK("https://secure.freee.co.jp/reports/general_ledgers/show?name=%E4%BF%9D%E9%99%BA%E6%96%99&amp;start_date=2026-02-01&amp;end_date=2026-02-28&amp;fiscal_year_id=9725180",13220)</f>
        <v>13220</v>
      </c>
      <c r="N17" s="37">
        <f>SUM(B17:M17)</f>
        <v>561860</v>
      </c>
      <c r="O17" s="32" t="s">
        <v>345</v>
      </c>
    </row>
    <row r="18" spans="1:15" x14ac:dyDescent="0.25">
      <c r="A18" s="10" t="s">
        <v>421</v>
      </c>
      <c r="B18" s="30">
        <f>HYPERLINK("https://secure.freee.co.jp/reports/general_ledgers/show?name=%E9%80%9A%E4%BF%A1%E8%B2%BB&amp;start_date=2025-03-01&amp;end_date=2025-03-31&amp;fiscal_year_id=9725180",337333)</f>
        <v>337333</v>
      </c>
      <c r="C18" s="33">
        <f>HYPERLINK("https://secure.freee.co.jp/reports/general_ledgers/show?name=%E9%80%9A%E4%BF%A1%E8%B2%BB&amp;start_date=2025-04-01&amp;end_date=2025-04-30&amp;fiscal_year_id=9725180",39475)</f>
        <v>39475</v>
      </c>
      <c r="D18" s="30">
        <f>HYPERLINK("https://secure.freee.co.jp/reports/general_ledgers/show?name=%E9%80%9A%E4%BF%A1%E8%B2%BB&amp;start_date=2025-05-01&amp;end_date=2025-05-31&amp;fiscal_year_id=9725180",48239)</f>
        <v>48239</v>
      </c>
      <c r="E18" s="30">
        <f>HYPERLINK("https://secure.freee.co.jp/reports/general_ledgers/show?name=%E9%80%9A%E4%BF%A1%E8%B2%BB&amp;start_date=2025-06-01&amp;end_date=2025-06-30&amp;fiscal_year_id=9725180",37937)</f>
        <v>37937</v>
      </c>
      <c r="F18" s="30">
        <f>HYPERLINK("https://secure.freee.co.jp/reports/general_ledgers/show?name=%E9%80%9A%E4%BF%A1%E8%B2%BB&amp;start_date=2025-07-01&amp;end_date=2025-07-31&amp;fiscal_year_id=9725180",36113)</f>
        <v>36113</v>
      </c>
      <c r="G18" s="30">
        <f>HYPERLINK("https://secure.freee.co.jp/reports/general_ledgers/show?name=%E9%80%9A%E4%BF%A1%E8%B2%BB&amp;start_date=2025-08-01&amp;end_date=2025-08-31&amp;fiscal_year_id=9725180",33766)</f>
        <v>33766</v>
      </c>
      <c r="H18" s="30">
        <f>HYPERLINK("https://secure.freee.co.jp/reports/general_ledgers/show?name=%E9%80%9A%E4%BF%A1%E8%B2%BB&amp;start_date=2025-09-01&amp;end_date=2025-09-30&amp;fiscal_year_id=9725180",36400)</f>
        <v>36400</v>
      </c>
      <c r="I18" s="30">
        <f>HYPERLINK("https://secure.freee.co.jp/reports/general_ledgers/show?name=%E9%80%9A%E4%BF%A1%E8%B2%BB&amp;start_date=2025-10-01&amp;end_date=2025-10-31&amp;fiscal_year_id=9725180",32434)</f>
        <v>32434</v>
      </c>
      <c r="J18" s="30">
        <f>HYPERLINK("https://secure.freee.co.jp/reports/general_ledgers/show?name=%E9%80%9A%E4%BF%A1%E8%B2%BB&amp;start_date=2025-11-01&amp;end_date=2025-11-30&amp;fiscal_year_id=9725180",34089)</f>
        <v>34089</v>
      </c>
      <c r="K18" s="30">
        <f>HYPERLINK("https://secure.freee.co.jp/reports/general_ledgers/show?name=%E9%80%9A%E4%BF%A1%E8%B2%BB&amp;start_date=2025-12-01&amp;end_date=2025-12-31&amp;fiscal_year_id=9725180",36196)</f>
        <v>36196</v>
      </c>
      <c r="L18" s="30">
        <f>HYPERLINK("https://secure.freee.co.jp/reports/general_ledgers/show?name=%E9%80%9A%E4%BF%A1%E8%B2%BB&amp;start_date=2026-01-01&amp;end_date=2026-01-31&amp;fiscal_year_id=9725180",34277)</f>
        <v>34277</v>
      </c>
      <c r="M18" s="36">
        <f>HYPERLINK("https://secure.freee.co.jp/reports/general_ledgers/show?name=%E9%80%9A%E4%BF%A1%E8%B2%BB&amp;start_date=2026-02-01&amp;end_date=2026-02-28&amp;fiscal_year_id=9725180",35827)</f>
        <v>35827</v>
      </c>
      <c r="N18" s="37">
        <f>SUM(B18:M18)</f>
        <v>742086</v>
      </c>
      <c r="O18" s="32" t="s">
        <v>345</v>
      </c>
    </row>
    <row r="19" spans="1:15" x14ac:dyDescent="0.25">
      <c r="A19" s="10" t="s">
        <v>422</v>
      </c>
      <c r="B19" s="30">
        <f>HYPERLINK("https://secure.freee.co.jp/reports/general_ledgers/show?name=%E4%BA%A4%E9%9A%9B%E8%B2%BB&amp;start_date=2025-03-01&amp;end_date=2025-03-31&amp;fiscal_year_id=9725180",154435)</f>
        <v>154435</v>
      </c>
      <c r="C19" s="33">
        <f>HYPERLINK("https://secure.freee.co.jp/reports/general_ledgers/show?name=%E4%BA%A4%E9%9A%9B%E8%B2%BB&amp;start_date=2025-04-01&amp;end_date=2025-04-30&amp;fiscal_year_id=9725180",70346)</f>
        <v>70346</v>
      </c>
      <c r="D19" s="30">
        <f>HYPERLINK("https://secure.freee.co.jp/reports/general_ledgers/show?name=%E4%BA%A4%E9%9A%9B%E8%B2%BB&amp;start_date=2025-05-01&amp;end_date=2025-05-31&amp;fiscal_year_id=9725180",72850)</f>
        <v>72850</v>
      </c>
      <c r="E19" s="33">
        <f>HYPERLINK("https://secure.freee.co.jp/reports/general_ledgers/show?name=%E4%BA%A4%E9%9A%9B%E8%B2%BB&amp;start_date=2025-06-01&amp;end_date=2025-06-30&amp;fiscal_year_id=9725180",126023)</f>
        <v>126023</v>
      </c>
      <c r="F19" s="30">
        <f>HYPERLINK("https://secure.freee.co.jp/reports/general_ledgers/show?name=%E4%BA%A4%E9%9A%9B%E8%B2%BB&amp;start_date=2025-07-01&amp;end_date=2025-07-31&amp;fiscal_year_id=9725180",85114)</f>
        <v>85114</v>
      </c>
      <c r="G19" s="33">
        <f>HYPERLINK("https://secure.freee.co.jp/reports/general_ledgers/show?name=%E4%BA%A4%E9%9A%9B%E8%B2%BB&amp;start_date=2025-08-01&amp;end_date=2025-08-31&amp;fiscal_year_id=9725180",7600)</f>
        <v>7600</v>
      </c>
      <c r="H19" s="33">
        <f>HYPERLINK("https://secure.freee.co.jp/reports/general_ledgers/show?name=%E4%BA%A4%E9%9A%9B%E8%B2%BB&amp;start_date=2025-09-01&amp;end_date=2025-09-30&amp;fiscal_year_id=9725180",94417)</f>
        <v>94417</v>
      </c>
      <c r="I19" s="33">
        <f>HYPERLINK("https://secure.freee.co.jp/reports/general_ledgers/show?name=%E4%BA%A4%E9%9A%9B%E8%B2%BB&amp;start_date=2025-10-01&amp;end_date=2025-10-31&amp;fiscal_year_id=9725180",176064)</f>
        <v>176064</v>
      </c>
      <c r="J19" s="33">
        <f>HYPERLINK("https://secure.freee.co.jp/reports/general_ledgers/show?name=%E4%BA%A4%E9%9A%9B%E8%B2%BB&amp;start_date=2025-11-01&amp;end_date=2025-11-30&amp;fiscal_year_id=9725180",28830)</f>
        <v>28830</v>
      </c>
      <c r="K19" s="33">
        <f>HYPERLINK("https://secure.freee.co.jp/reports/general_ledgers/show?name=%E4%BA%A4%E9%9A%9B%E8%B2%BB&amp;start_date=2025-12-01&amp;end_date=2025-12-31&amp;fiscal_year_id=9725180",148870)</f>
        <v>148870</v>
      </c>
      <c r="L19" s="30">
        <f>HYPERLINK("https://secure.freee.co.jp/reports/general_ledgers/show?name=%E4%BA%A4%E9%9A%9B%E8%B2%BB&amp;start_date=2026-01-01&amp;end_date=2026-01-31&amp;fiscal_year_id=9725180",169234)</f>
        <v>169234</v>
      </c>
      <c r="M19" s="36">
        <f>HYPERLINK("https://secure.freee.co.jp/reports/general_ledgers/show?name=%E4%BA%A4%E9%9A%9B%E8%B2%BB&amp;start_date=2026-02-01&amp;end_date=2026-02-28&amp;fiscal_year_id=9725180",87312)</f>
        <v>87312</v>
      </c>
      <c r="N19" s="37">
        <f>SUM(B19:M19)</f>
        <v>1221095</v>
      </c>
      <c r="O19" s="32" t="s">
        <v>345</v>
      </c>
    </row>
    <row r="20" spans="1:15" x14ac:dyDescent="0.25">
      <c r="A20" s="10" t="s">
        <v>423</v>
      </c>
      <c r="B20" s="30">
        <f>HYPERLINK("https://secure.freee.co.jp/reports/general_ledgers/show?name=%E6%B0%B4%E9%81%93%E5%85%89%E7%86%B1%E8%B2%BB&amp;start_date=2025-03-01&amp;end_date=2025-03-31&amp;fiscal_year_id=9725180",34444)</f>
        <v>34444</v>
      </c>
      <c r="C20" s="30">
        <f>HYPERLINK("https://secure.freee.co.jp/reports/general_ledgers/show?name=%E6%B0%B4%E9%81%93%E5%85%89%E7%86%B1%E8%B2%BB&amp;start_date=2025-04-01&amp;end_date=2025-04-30&amp;fiscal_year_id=9725180",25751)</f>
        <v>25751</v>
      </c>
      <c r="D20" s="30">
        <f>HYPERLINK("https://secure.freee.co.jp/reports/general_ledgers/show?name=%E6%B0%B4%E9%81%93%E5%85%89%E7%86%B1%E8%B2%BB&amp;start_date=2025-05-01&amp;end_date=2025-05-31&amp;fiscal_year_id=9725180",27321)</f>
        <v>27321</v>
      </c>
      <c r="E20" s="33">
        <f>HYPERLINK("https://secure.freee.co.jp/reports/general_ledgers/show?name=%E6%B0%B4%E9%81%93%E5%85%89%E7%86%B1%E8%B2%BB&amp;start_date=2025-06-01&amp;end_date=2025-06-30&amp;fiscal_year_id=9725180",47583)</f>
        <v>47583</v>
      </c>
      <c r="F20" s="30">
        <f>HYPERLINK("https://secure.freee.co.jp/reports/general_ledgers/show?name=%E6%B0%B4%E9%81%93%E5%85%89%E7%86%B1%E8%B2%BB&amp;start_date=2025-07-01&amp;end_date=2025-07-31&amp;fiscal_year_id=9725180",47199)</f>
        <v>47199</v>
      </c>
      <c r="G20" s="30">
        <f>HYPERLINK("https://secure.freee.co.jp/reports/general_ledgers/show?name=%E6%B0%B4%E9%81%93%E5%85%89%E7%86%B1%E8%B2%BB&amp;start_date=2025-08-01&amp;end_date=2025-08-31&amp;fiscal_year_id=9725180",42375)</f>
        <v>42375</v>
      </c>
      <c r="H20" s="30">
        <f>HYPERLINK("https://secure.freee.co.jp/reports/general_ledgers/show?name=%E6%B0%B4%E9%81%93%E5%85%89%E7%86%B1%E8%B2%BB&amp;start_date=2025-09-01&amp;end_date=2025-09-30&amp;fiscal_year_id=9725180",35929)</f>
        <v>35929</v>
      </c>
      <c r="I20" s="30">
        <f>HYPERLINK("https://secure.freee.co.jp/reports/general_ledgers/show?name=%E6%B0%B4%E9%81%93%E5%85%89%E7%86%B1%E8%B2%BB&amp;start_date=2025-10-01&amp;end_date=2025-10-31&amp;fiscal_year_id=9725180",30667)</f>
        <v>30667</v>
      </c>
      <c r="J20" s="30">
        <f>HYPERLINK("https://secure.freee.co.jp/reports/general_ledgers/show?name=%E6%B0%B4%E9%81%93%E5%85%89%E7%86%B1%E8%B2%BB&amp;start_date=2025-11-01&amp;end_date=2025-11-30&amp;fiscal_year_id=9725180",42962)</f>
        <v>42962</v>
      </c>
      <c r="K20" s="30">
        <f>HYPERLINK("https://secure.freee.co.jp/reports/general_ledgers/show?name=%E6%B0%B4%E9%81%93%E5%85%89%E7%86%B1%E8%B2%BB&amp;start_date=2025-12-01&amp;end_date=2025-12-31&amp;fiscal_year_id=9725180",42431)</f>
        <v>42431</v>
      </c>
      <c r="L20" s="30">
        <f>HYPERLINK("https://secure.freee.co.jp/reports/general_ledgers/show?name=%E6%B0%B4%E9%81%93%E5%85%89%E7%86%B1%E8%B2%BB&amp;start_date=2026-01-01&amp;end_date=2026-01-31&amp;fiscal_year_id=9725180",37672)</f>
        <v>37672</v>
      </c>
      <c r="M20" s="36">
        <f>HYPERLINK("https://secure.freee.co.jp/reports/general_ledgers/show?name=%E6%B0%B4%E9%81%93%E5%85%89%E7%86%B1%E8%B2%BB&amp;start_date=2026-02-01&amp;end_date=2026-02-28&amp;fiscal_year_id=9725180",35208)</f>
        <v>35208</v>
      </c>
      <c r="N20" s="37">
        <f>SUM(B20:M20)</f>
        <v>449542</v>
      </c>
      <c r="O20" s="32" t="s">
        <v>345</v>
      </c>
    </row>
    <row r="21" spans="1:15" x14ac:dyDescent="0.25">
      <c r="A21" s="10" t="s">
        <v>424</v>
      </c>
      <c r="B21" s="30">
        <f>HYPERLINK("https://secure.freee.co.jp/reports/general_ledgers/show?name=%E6%94%AF%E6%89%95%E6%89%8B%E6%95%B0%E6%96%99&amp;start_date=2025-03-01&amp;end_date=2025-03-31&amp;fiscal_year_id=9725180",69500)</f>
        <v>69500</v>
      </c>
      <c r="C21" s="33">
        <f>HYPERLINK("https://secure.freee.co.jp/reports/general_ledgers/show?name=%E6%94%AF%E6%89%95%E6%89%8B%E6%95%B0%E6%96%99&amp;start_date=2025-04-01&amp;end_date=2025-04-30&amp;fiscal_year_id=9725180",143073)</f>
        <v>143073</v>
      </c>
      <c r="D21" s="33">
        <f>HYPERLINK("https://secure.freee.co.jp/reports/general_ledgers/show?name=%E6%94%AF%E6%89%95%E6%89%8B%E6%95%B0%E6%96%99&amp;start_date=2025-05-01&amp;end_date=2025-05-31&amp;fiscal_year_id=9725180",336575)</f>
        <v>336575</v>
      </c>
      <c r="E21" s="33">
        <f>HYPERLINK("https://secure.freee.co.jp/reports/general_ledgers/show?name=%E6%94%AF%E6%89%95%E6%89%8B%E6%95%B0%E6%96%99&amp;start_date=2025-06-01&amp;end_date=2025-06-30&amp;fiscal_year_id=9725180",43227)</f>
        <v>43227</v>
      </c>
      <c r="F21" s="30">
        <f>HYPERLINK("https://secure.freee.co.jp/reports/general_ledgers/show?name=%E6%94%AF%E6%89%95%E6%89%8B%E6%95%B0%E6%96%99&amp;start_date=2025-07-01&amp;end_date=2025-07-31&amp;fiscal_year_id=9725180",31434)</f>
        <v>31434</v>
      </c>
      <c r="G21" s="33">
        <f>HYPERLINK("https://secure.freee.co.jp/reports/general_ledgers/show?name=%E6%94%AF%E6%89%95%E6%89%8B%E6%95%B0%E6%96%99&amp;start_date=2025-08-01&amp;end_date=2025-08-31&amp;fiscal_year_id=9725180",115178)</f>
        <v>115178</v>
      </c>
      <c r="H21" s="30">
        <f>HYPERLINK("https://secure.freee.co.jp/reports/general_ledgers/show?name=%E6%94%AF%E6%89%95%E6%89%8B%E6%95%B0%E6%96%99&amp;start_date=2025-09-01&amp;end_date=2025-09-30&amp;fiscal_year_id=9725180",108224)</f>
        <v>108224</v>
      </c>
      <c r="I21" s="30">
        <f>HYPERLINK("https://secure.freee.co.jp/reports/general_ledgers/show?name=%E6%94%AF%E6%89%95%E6%89%8B%E6%95%B0%E6%96%99&amp;start_date=2025-10-01&amp;end_date=2025-10-31&amp;fiscal_year_id=9725180",76410)</f>
        <v>76410</v>
      </c>
      <c r="J21" s="30">
        <f>HYPERLINK("https://secure.freee.co.jp/reports/general_ledgers/show?name=%E6%94%AF%E6%89%95%E6%89%8B%E6%95%B0%E6%96%99&amp;start_date=2025-11-01&amp;end_date=2025-11-30&amp;fiscal_year_id=9725180",95868)</f>
        <v>95868</v>
      </c>
      <c r="K21" s="30">
        <f>HYPERLINK("https://secure.freee.co.jp/reports/general_ledgers/show?name=%E6%94%AF%E6%89%95%E6%89%8B%E6%95%B0%E6%96%99&amp;start_date=2025-12-01&amp;end_date=2025-12-31&amp;fiscal_year_id=9725180",123575)</f>
        <v>123575</v>
      </c>
      <c r="L21" s="33">
        <f>HYPERLINK("https://secure.freee.co.jp/reports/general_ledgers/show?name=%E6%94%AF%E6%89%95%E6%89%8B%E6%95%B0%E6%96%99&amp;start_date=2026-01-01&amp;end_date=2026-01-31&amp;fiscal_year_id=9725180",49382)</f>
        <v>49382</v>
      </c>
      <c r="M21" s="36">
        <f>HYPERLINK("https://secure.freee.co.jp/reports/general_ledgers/show?name=%E6%94%AF%E6%89%95%E6%89%8B%E6%95%B0%E6%96%99&amp;start_date=2026-02-01&amp;end_date=2026-02-28&amp;fiscal_year_id=9725180",29712)</f>
        <v>29712</v>
      </c>
      <c r="N21" s="37">
        <f>SUM(B21:M21)</f>
        <v>1222158</v>
      </c>
      <c r="O21" s="32" t="s">
        <v>345</v>
      </c>
    </row>
    <row r="22" spans="1:15" x14ac:dyDescent="0.25">
      <c r="A22" s="10" t="s">
        <v>425</v>
      </c>
      <c r="B22" s="30">
        <f>HYPERLINK("https://secure.freee.co.jp/reports/general_ledgers/show?name=%E4%BC%9A%E8%AD%B0%E8%B2%BB&amp;start_date=2025-03-01&amp;end_date=2025-03-31&amp;fiscal_year_id=9725180",33657)</f>
        <v>33657</v>
      </c>
      <c r="C22" s="33">
        <f>HYPERLINK("https://secure.freee.co.jp/reports/general_ledgers/show?name=%E4%BC%9A%E8%AD%B0%E8%B2%BB&amp;start_date=2025-04-01&amp;end_date=2025-04-30&amp;fiscal_year_id=9725180",129026)</f>
        <v>129026</v>
      </c>
      <c r="D22" s="33">
        <f>HYPERLINK("https://secure.freee.co.jp/reports/general_ledgers/show?name=%E4%BC%9A%E8%AD%B0%E8%B2%BB&amp;start_date=2025-05-01&amp;end_date=2025-05-31&amp;fiscal_year_id=9725180",24210)</f>
        <v>24210</v>
      </c>
      <c r="E22" s="33">
        <f>HYPERLINK("https://secure.freee.co.jp/reports/general_ledgers/show?name=%E4%BC%9A%E8%AD%B0%E8%B2%BB&amp;start_date=2025-06-01&amp;end_date=2025-06-30&amp;fiscal_year_id=9725180",46148)</f>
        <v>46148</v>
      </c>
      <c r="F22" s="33">
        <f>HYPERLINK("https://secure.freee.co.jp/reports/general_ledgers/show?name=%E4%BC%9A%E8%AD%B0%E8%B2%BB&amp;start_date=2025-07-01&amp;end_date=2025-07-31&amp;fiscal_year_id=9725180",81068)</f>
        <v>81068</v>
      </c>
      <c r="G22" s="30">
        <f>HYPERLINK("https://secure.freee.co.jp/reports/general_ledgers/show?name=%E4%BC%9A%E8%AD%B0%E8%B2%BB&amp;start_date=2025-08-01&amp;end_date=2025-08-31&amp;fiscal_year_id=9725180",85640)</f>
        <v>85640</v>
      </c>
      <c r="H22" s="30">
        <f>HYPERLINK("https://secure.freee.co.jp/reports/general_ledgers/show?name=%E4%BC%9A%E8%AD%B0%E8%B2%BB&amp;start_date=2025-09-01&amp;end_date=2025-09-30&amp;fiscal_year_id=9725180",51565)</f>
        <v>51565</v>
      </c>
      <c r="I22" s="30">
        <f>HYPERLINK("https://secure.freee.co.jp/reports/general_ledgers/show?name=%E4%BC%9A%E8%AD%B0%E8%B2%BB&amp;start_date=2025-10-01&amp;end_date=2025-10-31&amp;fiscal_year_id=9725180",30932)</f>
        <v>30932</v>
      </c>
      <c r="J22" s="33">
        <f>HYPERLINK("https://secure.freee.co.jp/reports/general_ledgers/show?name=%E4%BC%9A%E8%AD%B0%E8%B2%BB&amp;start_date=2025-11-01&amp;end_date=2025-11-30&amp;fiscal_year_id=9725180",73139)</f>
        <v>73139</v>
      </c>
      <c r="K22" s="30">
        <f>HYPERLINK("https://secure.freee.co.jp/reports/general_ledgers/show?name=%E4%BC%9A%E8%AD%B0%E8%B2%BB&amp;start_date=2025-12-01&amp;end_date=2025-12-31&amp;fiscal_year_id=9725180",78223)</f>
        <v>78223</v>
      </c>
      <c r="L22" s="30">
        <f>HYPERLINK("https://secure.freee.co.jp/reports/general_ledgers/show?name=%E4%BC%9A%E8%AD%B0%E8%B2%BB&amp;start_date=2026-01-01&amp;end_date=2026-01-31&amp;fiscal_year_id=9725180",116231)</f>
        <v>116231</v>
      </c>
      <c r="M22" s="36">
        <f>HYPERLINK("https://secure.freee.co.jp/reports/general_ledgers/show?name=%E4%BC%9A%E8%AD%B0%E8%B2%BB&amp;start_date=2026-02-01&amp;end_date=2026-02-28&amp;fiscal_year_id=9725180",66885)</f>
        <v>66885</v>
      </c>
      <c r="N22" s="37">
        <f>SUM(B22:M22)</f>
        <v>816724</v>
      </c>
      <c r="O22" s="32" t="s">
        <v>345</v>
      </c>
    </row>
    <row r="23" spans="1:15" x14ac:dyDescent="0.25">
      <c r="A23" s="10" t="s">
        <v>426</v>
      </c>
      <c r="B23" s="42">
        <v>0</v>
      </c>
      <c r="C23" s="42">
        <v>0</v>
      </c>
      <c r="D23" s="30">
        <f>HYPERLINK("https://secure.freee.co.jp/reports/general_ledgers/show?name=%E5%BA%83%E5%91%8A%E5%AE%A3%E4%BC%9D%E8%B2%BB&amp;start_date=2025-05-01&amp;end_date=2025-05-31&amp;fiscal_year_id=9725180",26116)</f>
        <v>26116</v>
      </c>
      <c r="E23" s="43">
        <v>0</v>
      </c>
      <c r="F23" s="42">
        <v>0</v>
      </c>
      <c r="G23" s="42">
        <v>0</v>
      </c>
      <c r="H23" s="30">
        <f>HYPERLINK("https://secure.freee.co.jp/reports/general_ledgers/show?name=%E5%BA%83%E5%91%8A%E5%AE%A3%E4%BC%9D%E8%B2%BB&amp;start_date=2025-09-01&amp;end_date=2025-09-30&amp;fiscal_year_id=9725180",49634)</f>
        <v>49634</v>
      </c>
      <c r="I23" s="43">
        <v>0</v>
      </c>
      <c r="J23" s="42">
        <v>0</v>
      </c>
      <c r="K23" s="42">
        <v>0</v>
      </c>
      <c r="L23" s="42">
        <v>0</v>
      </c>
      <c r="M23" s="44">
        <v>0</v>
      </c>
      <c r="N23" s="37">
        <f>SUM(B23:M23)</f>
        <v>75750</v>
      </c>
      <c r="O23" s="32" t="s">
        <v>345</v>
      </c>
    </row>
    <row r="24" spans="1:15" x14ac:dyDescent="0.25">
      <c r="A24" s="10" t="s">
        <v>427</v>
      </c>
      <c r="B24" s="30">
        <f>HYPERLINK("https://secure.freee.co.jp/reports/general_ledgers/show?name=%E5%9C%B0%E4%BB%A3%E5%AE%B6%E8%B3%83&amp;start_date=2025-03-01&amp;end_date=2025-03-31&amp;fiscal_year_id=9725180",230000)</f>
        <v>230000</v>
      </c>
      <c r="C24" s="30">
        <f>HYPERLINK("https://secure.freee.co.jp/reports/general_ledgers/show?name=%E5%9C%B0%E4%BB%A3%E5%AE%B6%E8%B3%83&amp;start_date=2025-04-01&amp;end_date=2025-04-30&amp;fiscal_year_id=9725180",230000)</f>
        <v>230000</v>
      </c>
      <c r="D24" s="30">
        <f>HYPERLINK("https://secure.freee.co.jp/reports/general_ledgers/show?name=%E5%9C%B0%E4%BB%A3%E5%AE%B6%E8%B3%83&amp;start_date=2025-05-01&amp;end_date=2025-05-31&amp;fiscal_year_id=9725180",230000)</f>
        <v>230000</v>
      </c>
      <c r="E24" s="30">
        <f>HYPERLINK("https://secure.freee.co.jp/reports/general_ledgers/show?name=%E5%9C%B0%E4%BB%A3%E5%AE%B6%E8%B3%83&amp;start_date=2025-06-01&amp;end_date=2025-06-30&amp;fiscal_year_id=9725180",230000)</f>
        <v>230000</v>
      </c>
      <c r="F24" s="30">
        <f>HYPERLINK("https://secure.freee.co.jp/reports/general_ledgers/show?name=%E5%9C%B0%E4%BB%A3%E5%AE%B6%E8%B3%83&amp;start_date=2025-07-01&amp;end_date=2025-07-31&amp;fiscal_year_id=9725180",230000)</f>
        <v>230000</v>
      </c>
      <c r="G24" s="30">
        <f>HYPERLINK("https://secure.freee.co.jp/reports/general_ledgers/show?name=%E5%9C%B0%E4%BB%A3%E5%AE%B6%E8%B3%83&amp;start_date=2025-08-01&amp;end_date=2025-08-31&amp;fiscal_year_id=9725180",230000)</f>
        <v>230000</v>
      </c>
      <c r="H24" s="30">
        <f>HYPERLINK("https://secure.freee.co.jp/reports/general_ledgers/show?name=%E5%9C%B0%E4%BB%A3%E5%AE%B6%E8%B3%83&amp;start_date=2025-09-01&amp;end_date=2025-09-30&amp;fiscal_year_id=9725180",230000)</f>
        <v>230000</v>
      </c>
      <c r="I24" s="30">
        <f>HYPERLINK("https://secure.freee.co.jp/reports/general_ledgers/show?name=%E5%9C%B0%E4%BB%A3%E5%AE%B6%E8%B3%83&amp;start_date=2025-10-01&amp;end_date=2025-10-31&amp;fiscal_year_id=9725180",230000)</f>
        <v>230000</v>
      </c>
      <c r="J24" s="30">
        <f>HYPERLINK("https://secure.freee.co.jp/reports/general_ledgers/show?name=%E5%9C%B0%E4%BB%A3%E5%AE%B6%E8%B3%83&amp;start_date=2025-11-01&amp;end_date=2025-11-30&amp;fiscal_year_id=9725180",230000)</f>
        <v>230000</v>
      </c>
      <c r="K24" s="30">
        <f>HYPERLINK("https://secure.freee.co.jp/reports/general_ledgers/show?name=%E5%9C%B0%E4%BB%A3%E5%AE%B6%E8%B3%83&amp;start_date=2025-12-01&amp;end_date=2025-12-31&amp;fiscal_year_id=9725180",230000)</f>
        <v>230000</v>
      </c>
      <c r="L24" s="30">
        <f>HYPERLINK("https://secure.freee.co.jp/reports/general_ledgers/show?name=%E5%9C%B0%E4%BB%A3%E5%AE%B6%E8%B3%83&amp;start_date=2026-01-01&amp;end_date=2026-01-31&amp;fiscal_year_id=9725180",230000)</f>
        <v>230000</v>
      </c>
      <c r="M24" s="36">
        <f>HYPERLINK("https://secure.freee.co.jp/reports/general_ledgers/show?name=%E5%9C%B0%E4%BB%A3%E5%AE%B6%E8%B3%83&amp;start_date=2026-02-01&amp;end_date=2026-02-28&amp;fiscal_year_id=9725180",230000)</f>
        <v>230000</v>
      </c>
      <c r="N24" s="37">
        <f>SUM(B24:M24)</f>
        <v>2760000</v>
      </c>
      <c r="O24" s="32" t="s">
        <v>345</v>
      </c>
    </row>
    <row r="25" spans="1:15" x14ac:dyDescent="0.25">
      <c r="A25" s="10" t="s">
        <v>428</v>
      </c>
      <c r="B25" s="42">
        <v>0</v>
      </c>
      <c r="C25" s="42">
        <v>0</v>
      </c>
      <c r="D25" s="30">
        <f>HYPERLINK("https://secure.freee.co.jp/reports/general_ledgers/show?name=%E7%A7%9F%E7%A8%8E%E5%85%AC%E8%AA%B2&amp;start_date=2025-05-01&amp;end_date=2025-05-31&amp;fiscal_year_id=9725180",36600)</f>
        <v>36600</v>
      </c>
      <c r="E25" s="30">
        <f>HYPERLINK("https://secure.freee.co.jp/reports/general_ledgers/show?name=%E7%A7%9F%E7%A8%8E%E5%85%AC%E8%AA%B2&amp;start_date=2025-06-01&amp;end_date=2025-06-30&amp;fiscal_year_id=9725180",37900)</f>
        <v>37900</v>
      </c>
      <c r="F25" s="43">
        <v>0</v>
      </c>
      <c r="G25" s="42">
        <v>0</v>
      </c>
      <c r="H25" s="30">
        <f>HYPERLINK("https://secure.freee.co.jp/reports/general_ledgers/show?name=%E7%A7%9F%E7%A8%8E%E5%85%AC%E8%AA%B2&amp;start_date=2025-09-01&amp;end_date=2025-09-30&amp;fiscal_year_id=9725180",6800)</f>
        <v>6800</v>
      </c>
      <c r="I25" s="33">
        <f>HYPERLINK("https://secure.freee.co.jp/reports/general_ledgers/show?name=%E7%A7%9F%E7%A8%8E%E5%85%AC%E8%AA%B2&amp;start_date=2025-10-01&amp;end_date=2025-10-31&amp;fiscal_year_id=9725180",1556400)</f>
        <v>1556400</v>
      </c>
      <c r="J25" s="33">
        <f>HYPERLINK("https://secure.freee.co.jp/reports/general_ledgers/show?name=%E7%A7%9F%E7%A8%8E%E5%85%AC%E8%AA%B2&amp;start_date=2025-11-01&amp;end_date=2025-11-30&amp;fiscal_year_id=9725180",9300)</f>
        <v>9300</v>
      </c>
      <c r="K25" s="43">
        <v>0</v>
      </c>
      <c r="L25" s="42">
        <v>0</v>
      </c>
      <c r="M25" s="36">
        <f>HYPERLINK("https://secure.freee.co.jp/reports/general_ledgers/show?name=%E7%A7%9F%E7%A8%8E%E5%85%AC%E8%AA%B2&amp;start_date=2026-02-01&amp;end_date=2026-02-28&amp;fiscal_year_id=9725180",3300)</f>
        <v>3300</v>
      </c>
      <c r="N25" s="37">
        <f>SUM(B25:M25)</f>
        <v>1650300</v>
      </c>
      <c r="O25" s="32" t="s">
        <v>345</v>
      </c>
    </row>
    <row r="26" spans="1:15" x14ac:dyDescent="0.25">
      <c r="A26" s="10" t="s">
        <v>429</v>
      </c>
      <c r="B26" s="30">
        <f>HYPERLINK("https://secure.freee.co.jp/reports/general_ledgers/show?name=%E8%8D%B7%E9%80%A0%E9%81%8B%E8%B3%83&amp;start_date=2025-03-01&amp;end_date=2025-03-31&amp;fiscal_year_id=9725180",169411)</f>
        <v>169411</v>
      </c>
      <c r="C26" s="33">
        <f>HYPERLINK("https://secure.freee.co.jp/reports/general_ledgers/show?name=%E8%8D%B7%E9%80%A0%E9%81%8B%E8%B3%83&amp;start_date=2025-04-01&amp;end_date=2025-04-30&amp;fiscal_year_id=9725180",80366)</f>
        <v>80366</v>
      </c>
      <c r="D26" s="33">
        <f>HYPERLINK("https://secure.freee.co.jp/reports/general_ledgers/show?name=%E8%8D%B7%E9%80%A0%E9%81%8B%E8%B3%83&amp;start_date=2025-05-01&amp;end_date=2025-05-31&amp;fiscal_year_id=9725180",16236)</f>
        <v>16236</v>
      </c>
      <c r="E26" s="33">
        <f>HYPERLINK("https://secure.freee.co.jp/reports/general_ledgers/show?name=%E8%8D%B7%E9%80%A0%E9%81%8B%E8%B3%83&amp;start_date=2025-06-01&amp;end_date=2025-06-30&amp;fiscal_year_id=9725180",107921)</f>
        <v>107921</v>
      </c>
      <c r="F26" s="33">
        <f>HYPERLINK("https://secure.freee.co.jp/reports/general_ledgers/show?name=%E8%8D%B7%E9%80%A0%E9%81%8B%E8%B3%83&amp;start_date=2025-07-01&amp;end_date=2025-07-31&amp;fiscal_year_id=9725180",43835)</f>
        <v>43835</v>
      </c>
      <c r="G26" s="33">
        <f>HYPERLINK("https://secure.freee.co.jp/reports/general_ledgers/show?name=%E8%8D%B7%E9%80%A0%E9%81%8B%E8%B3%83&amp;start_date=2025-08-01&amp;end_date=2025-08-31&amp;fiscal_year_id=9725180",78287)</f>
        <v>78287</v>
      </c>
      <c r="H26" s="30">
        <f>HYPERLINK("https://secure.freee.co.jp/reports/general_ledgers/show?name=%E8%8D%B7%E9%80%A0%E9%81%8B%E8%B3%83&amp;start_date=2025-09-01&amp;end_date=2025-09-30&amp;fiscal_year_id=9725180",39996)</f>
        <v>39996</v>
      </c>
      <c r="I26" s="33">
        <f>HYPERLINK("https://secure.freee.co.jp/reports/general_ledgers/show?name=%E8%8D%B7%E9%80%A0%E9%81%8B%E8%B3%83&amp;start_date=2025-10-01&amp;end_date=2025-10-31&amp;fiscal_year_id=9725180",87197)</f>
        <v>87197</v>
      </c>
      <c r="J26" s="30">
        <f>HYPERLINK("https://secure.freee.co.jp/reports/general_ledgers/show?name=%E8%8D%B7%E9%80%A0%E9%81%8B%E8%B3%83&amp;start_date=2025-11-01&amp;end_date=2025-11-30&amp;fiscal_year_id=9725180",75394)</f>
        <v>75394</v>
      </c>
      <c r="K26" s="30">
        <f>HYPERLINK("https://secure.freee.co.jp/reports/general_ledgers/show?name=%E8%8D%B7%E9%80%A0%E9%81%8B%E8%B3%83&amp;start_date=2025-12-01&amp;end_date=2025-12-31&amp;fiscal_year_id=9725180",70594)</f>
        <v>70594</v>
      </c>
      <c r="L26" s="33">
        <f>HYPERLINK("https://secure.freee.co.jp/reports/general_ledgers/show?name=%E8%8D%B7%E9%80%A0%E9%81%8B%E8%B3%83&amp;start_date=2026-01-01&amp;end_date=2026-01-31&amp;fiscal_year_id=9725180",12617)</f>
        <v>12617</v>
      </c>
      <c r="M26" s="33">
        <f>HYPERLINK("https://secure.freee.co.jp/reports/general_ledgers/show?name=%E8%8D%B7%E9%80%A0%E9%81%8B%E8%B3%83&amp;start_date=2026-02-01&amp;end_date=2026-02-28&amp;fiscal_year_id=9725180",3641)</f>
        <v>3641</v>
      </c>
      <c r="N26" s="37">
        <f>SUM(B26:M26)</f>
        <v>785495</v>
      </c>
      <c r="O26" s="32" t="s">
        <v>345</v>
      </c>
    </row>
    <row r="27" spans="1:15" x14ac:dyDescent="0.25">
      <c r="A27" s="10" t="s">
        <v>430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30">
        <f>HYPERLINK("https://secure.freee.co.jp/reports/general_ledgers/show?name=%E6%96%B0%E8%81%9E%E5%9B%B3%E6%9B%B8%E8%B2%BB&amp;start_date=2025-09-01&amp;end_date=2025-09-30&amp;fiscal_year_id=9725180",7600)</f>
        <v>7600</v>
      </c>
      <c r="I27" s="43">
        <v>0</v>
      </c>
      <c r="J27" s="42">
        <v>0</v>
      </c>
      <c r="K27" s="42">
        <v>0</v>
      </c>
      <c r="L27" s="42">
        <v>0</v>
      </c>
      <c r="M27" s="44">
        <v>0</v>
      </c>
      <c r="N27" s="37">
        <f>SUM(B27:M27)</f>
        <v>7600</v>
      </c>
      <c r="O27" s="32" t="s">
        <v>345</v>
      </c>
    </row>
    <row r="28" spans="1:15" x14ac:dyDescent="0.25">
      <c r="A28" s="10" t="s">
        <v>431</v>
      </c>
      <c r="B28" s="42">
        <v>0</v>
      </c>
      <c r="C28" s="42">
        <v>0</v>
      </c>
      <c r="D28" s="42">
        <v>0</v>
      </c>
      <c r="E28" s="30">
        <f>HYPERLINK("https://secure.freee.co.jp/reports/general_ledgers/show?name=%E8%AB%B8%E4%BC%9A%E8%B2%BB&amp;start_date=2025-06-01&amp;end_date=2025-06-30&amp;fiscal_year_id=9725180",4200)</f>
        <v>4200</v>
      </c>
      <c r="F28" s="43">
        <v>0</v>
      </c>
      <c r="G28" s="42">
        <v>0</v>
      </c>
      <c r="H28" s="42">
        <v>0</v>
      </c>
      <c r="I28" s="30">
        <f>HYPERLINK("https://secure.freee.co.jp/reports/general_ledgers/show?name=%E8%AB%B8%E4%BC%9A%E8%B2%BB&amp;start_date=2025-10-01&amp;end_date=2025-10-31&amp;fiscal_year_id=9725180",10000)</f>
        <v>10000</v>
      </c>
      <c r="J28" s="43">
        <v>0</v>
      </c>
      <c r="K28" s="30">
        <f>HYPERLINK("https://secure.freee.co.jp/reports/general_ledgers/show?name=%E8%AB%B8%E4%BC%9A%E8%B2%BB&amp;start_date=2025-12-01&amp;end_date=2025-12-31&amp;fiscal_year_id=9725180",4200)</f>
        <v>4200</v>
      </c>
      <c r="L28" s="43">
        <v>0</v>
      </c>
      <c r="M28" s="44">
        <v>0</v>
      </c>
      <c r="N28" s="37">
        <f>SUM(B28:M28)</f>
        <v>18400</v>
      </c>
      <c r="O28" s="32" t="s">
        <v>345</v>
      </c>
    </row>
    <row r="29" spans="1:15" x14ac:dyDescent="0.25">
      <c r="A29" s="10" t="s">
        <v>432</v>
      </c>
      <c r="B29" s="30">
        <f>HYPERLINK("https://secure.freee.co.jp/reports/general_ledgers/show?name=%E4%BF%9D%E5%AE%88%E6%96%99&amp;start_date=2025-03-01&amp;end_date=2025-03-31&amp;fiscal_year_id=9725180",15950)</f>
        <v>15950</v>
      </c>
      <c r="C29" s="33">
        <f>HYPERLINK("https://secure.freee.co.jp/reports/general_ledgers/show?name=%E4%BF%9D%E5%AE%88%E6%96%99&amp;start_date=2025-04-01&amp;end_date=2025-04-30&amp;fiscal_year_id=9725180",27830)</f>
        <v>27830</v>
      </c>
      <c r="D29" s="30">
        <f>HYPERLINK("https://secure.freee.co.jp/reports/general_ledgers/show?name=%E4%BF%9D%E5%AE%88%E6%96%99&amp;start_date=2025-05-01&amp;end_date=2025-05-31&amp;fiscal_year_id=9725180",15950)</f>
        <v>15950</v>
      </c>
      <c r="E29" s="30">
        <f>HYPERLINK("https://secure.freee.co.jp/reports/general_ledgers/show?name=%E4%BF%9D%E5%AE%88%E6%96%99&amp;start_date=2025-06-01&amp;end_date=2025-06-30&amp;fiscal_year_id=9725180",15950)</f>
        <v>15950</v>
      </c>
      <c r="F29" s="30">
        <f>HYPERLINK("https://secure.freee.co.jp/reports/general_ledgers/show?name=%E4%BF%9D%E5%AE%88%E6%96%99&amp;start_date=2025-07-01&amp;end_date=2025-07-31&amp;fiscal_year_id=9725180",15950)</f>
        <v>15950</v>
      </c>
      <c r="G29" s="30">
        <f>HYPERLINK("https://secure.freee.co.jp/reports/general_ledgers/show?name=%E4%BF%9D%E5%AE%88%E6%96%99&amp;start_date=2025-08-01&amp;end_date=2025-08-31&amp;fiscal_year_id=9725180",15950)</f>
        <v>15950</v>
      </c>
      <c r="H29" s="30">
        <f>HYPERLINK("https://secure.freee.co.jp/reports/general_ledgers/show?name=%E4%BF%9D%E5%AE%88%E6%96%99&amp;start_date=2025-09-01&amp;end_date=2025-09-30&amp;fiscal_year_id=9725180",15950)</f>
        <v>15950</v>
      </c>
      <c r="I29" s="33">
        <f>HYPERLINK("https://secure.freee.co.jp/reports/general_ledgers/show?name=%E4%BF%9D%E5%AE%88%E6%96%99&amp;start_date=2025-10-01&amp;end_date=2025-10-31&amp;fiscal_year_id=9725180",27830)</f>
        <v>27830</v>
      </c>
      <c r="J29" s="30">
        <f>HYPERLINK("https://secure.freee.co.jp/reports/general_ledgers/show?name=%E4%BF%9D%E5%AE%88%E6%96%99&amp;start_date=2025-11-01&amp;end_date=2025-11-30&amp;fiscal_year_id=9725180",15950)</f>
        <v>15950</v>
      </c>
      <c r="K29" s="30">
        <f>HYPERLINK("https://secure.freee.co.jp/reports/general_ledgers/show?name=%E4%BF%9D%E5%AE%88%E6%96%99&amp;start_date=2025-12-01&amp;end_date=2025-12-31&amp;fiscal_year_id=9725180",15950)</f>
        <v>15950</v>
      </c>
      <c r="L29" s="30">
        <f>HYPERLINK("https://secure.freee.co.jp/reports/general_ledgers/show?name=%E4%BF%9D%E5%AE%88%E6%96%99&amp;start_date=2026-01-01&amp;end_date=2026-01-31&amp;fiscal_year_id=9725180",15950)</f>
        <v>15950</v>
      </c>
      <c r="M29" s="36">
        <f>HYPERLINK("https://secure.freee.co.jp/reports/general_ledgers/show?name=%E4%BF%9D%E5%AE%88%E6%96%99&amp;start_date=2026-02-01&amp;end_date=2026-02-28&amp;fiscal_year_id=9725180",15950)</f>
        <v>15950</v>
      </c>
      <c r="N29" s="37">
        <f>SUM(B29:M29)</f>
        <v>215160</v>
      </c>
      <c r="O29" s="32" t="s">
        <v>345</v>
      </c>
    </row>
    <row r="30" spans="1:15" x14ac:dyDescent="0.25">
      <c r="A30" s="10" t="s">
        <v>433</v>
      </c>
      <c r="B30" s="30">
        <f>HYPERLINK("https://secure.freee.co.jp/reports/general_ledgers/show?name=%E3%83%AA%E3%83%BC%E3%82%B9%E6%96%99&amp;start_date=2025-03-01&amp;end_date=2025-03-31&amp;fiscal_year_id=9725180",23542)</f>
        <v>23542</v>
      </c>
      <c r="C30" s="30">
        <f>HYPERLINK("https://secure.freee.co.jp/reports/general_ledgers/show?name=%E3%83%AA%E3%83%BC%E3%82%B9%E6%96%99&amp;start_date=2025-04-01&amp;end_date=2025-04-30&amp;fiscal_year_id=9725180",23542)</f>
        <v>23542</v>
      </c>
      <c r="D30" s="30">
        <f>HYPERLINK("https://secure.freee.co.jp/reports/general_ledgers/show?name=%E3%83%AA%E3%83%BC%E3%82%B9%E6%96%99&amp;start_date=2025-05-01&amp;end_date=2025-05-31&amp;fiscal_year_id=9725180",23542)</f>
        <v>23542</v>
      </c>
      <c r="E30" s="30">
        <f>HYPERLINK("https://secure.freee.co.jp/reports/general_ledgers/show?name=%E3%83%AA%E3%83%BC%E3%82%B9%E6%96%99&amp;start_date=2025-06-01&amp;end_date=2025-06-30&amp;fiscal_year_id=9725180",23542)</f>
        <v>23542</v>
      </c>
      <c r="F30" s="30">
        <f>HYPERLINK("https://secure.freee.co.jp/reports/general_ledgers/show?name=%E3%83%AA%E3%83%BC%E3%82%B9%E6%96%99&amp;start_date=2025-07-01&amp;end_date=2025-07-31&amp;fiscal_year_id=9725180",23542)</f>
        <v>23542</v>
      </c>
      <c r="G30" s="30">
        <f>HYPERLINK("https://secure.freee.co.jp/reports/general_ledgers/show?name=%E3%83%AA%E3%83%BC%E3%82%B9%E6%96%99&amp;start_date=2025-08-01&amp;end_date=2025-08-31&amp;fiscal_year_id=9725180",23542)</f>
        <v>23542</v>
      </c>
      <c r="H30" s="30">
        <f>HYPERLINK("https://secure.freee.co.jp/reports/general_ledgers/show?name=%E3%83%AA%E3%83%BC%E3%82%B9%E6%96%99&amp;start_date=2025-09-01&amp;end_date=2025-09-30&amp;fiscal_year_id=9725180",23542)</f>
        <v>23542</v>
      </c>
      <c r="I30" s="30">
        <f>HYPERLINK("https://secure.freee.co.jp/reports/general_ledgers/show?name=%E3%83%AA%E3%83%BC%E3%82%B9%E6%96%99&amp;start_date=2025-10-01&amp;end_date=2025-10-31&amp;fiscal_year_id=9725180",23542)</f>
        <v>23542</v>
      </c>
      <c r="J30" s="30">
        <f>HYPERLINK("https://secure.freee.co.jp/reports/general_ledgers/show?name=%E3%83%AA%E3%83%BC%E3%82%B9%E6%96%99&amp;start_date=2025-11-01&amp;end_date=2025-11-30&amp;fiscal_year_id=9725180",23542)</f>
        <v>23542</v>
      </c>
      <c r="K30" s="30">
        <f>HYPERLINK("https://secure.freee.co.jp/reports/general_ledgers/show?name=%E3%83%AA%E3%83%BC%E3%82%B9%E6%96%99&amp;start_date=2025-12-01&amp;end_date=2025-12-31&amp;fiscal_year_id=9725180",23542)</f>
        <v>23542</v>
      </c>
      <c r="L30" s="30">
        <f>HYPERLINK("https://secure.freee.co.jp/reports/general_ledgers/show?name=%E3%83%AA%E3%83%BC%E3%82%B9%E6%96%99&amp;start_date=2026-01-01&amp;end_date=2026-01-31&amp;fiscal_year_id=9725180",23542)</f>
        <v>23542</v>
      </c>
      <c r="M30" s="36">
        <f>HYPERLINK("https://secure.freee.co.jp/reports/general_ledgers/show?name=%E3%83%AA%E3%83%BC%E3%82%B9%E6%96%99&amp;start_date=2026-02-01&amp;end_date=2026-02-28&amp;fiscal_year_id=9725180",23542)</f>
        <v>23542</v>
      </c>
      <c r="N30" s="37">
        <f>SUM(B30:M30)</f>
        <v>282504</v>
      </c>
      <c r="O30" s="32" t="s">
        <v>345</v>
      </c>
    </row>
    <row r="31" spans="1:15" x14ac:dyDescent="0.25">
      <c r="A31" s="10" t="s">
        <v>434</v>
      </c>
      <c r="B31" s="30">
        <f>HYPERLINK("https://secure.freee.co.jp/reports/general_ledgers/show?name=%E6%B8%9B%E4%BE%A1%E5%84%9F%E5%8D%B4%E8%B2%BB&amp;start_date=2025-03-01&amp;end_date=2025-03-31&amp;fiscal_year_id=9725180",263772)</f>
        <v>263772</v>
      </c>
      <c r="C31" s="30">
        <f>HYPERLINK("https://secure.freee.co.jp/reports/general_ledgers/show?name=%E6%B8%9B%E4%BE%A1%E5%84%9F%E5%8D%B4%E8%B2%BB&amp;start_date=2025-04-01&amp;end_date=2025-04-30&amp;fiscal_year_id=9725180",263772)</f>
        <v>263772</v>
      </c>
      <c r="D31" s="33">
        <f>HYPERLINK("https://secure.freee.co.jp/reports/general_ledgers/show?name=%E6%B8%9B%E4%BE%A1%E5%84%9F%E5%8D%B4%E8%B2%BB&amp;start_date=2025-05-01&amp;end_date=2025-05-31&amp;fiscal_year_id=9725180",576069)</f>
        <v>576069</v>
      </c>
      <c r="E31" s="30">
        <f>HYPERLINK("https://secure.freee.co.jp/reports/general_ledgers/show?name=%E6%B8%9B%E4%BE%A1%E5%84%9F%E5%8D%B4%E8%B2%BB&amp;start_date=2025-06-01&amp;end_date=2025-06-30&amp;fiscal_year_id=9725180",576069)</f>
        <v>576069</v>
      </c>
      <c r="F31" s="30">
        <f>HYPERLINK("https://secure.freee.co.jp/reports/general_ledgers/show?name=%E6%B8%9B%E4%BE%A1%E5%84%9F%E5%8D%B4%E8%B2%BB&amp;start_date=2025-07-01&amp;end_date=2025-07-31&amp;fiscal_year_id=9725180",576069)</f>
        <v>576069</v>
      </c>
      <c r="G31" s="30">
        <f>HYPERLINK("https://secure.freee.co.jp/reports/general_ledgers/show?name=%E6%B8%9B%E4%BE%A1%E5%84%9F%E5%8D%B4%E8%B2%BB&amp;start_date=2025-08-01&amp;end_date=2025-08-31&amp;fiscal_year_id=9725180",591940)</f>
        <v>591940</v>
      </c>
      <c r="H31" s="30">
        <f>HYPERLINK("https://secure.freee.co.jp/reports/general_ledgers/show?name=%E6%B8%9B%E4%BE%A1%E5%84%9F%E5%8D%B4%E8%B2%BB&amp;start_date=2025-09-01&amp;end_date=2025-09-30&amp;fiscal_year_id=9725180",591940)</f>
        <v>591940</v>
      </c>
      <c r="I31" s="30">
        <f>HYPERLINK("https://secure.freee.co.jp/reports/general_ledgers/show?name=%E6%B8%9B%E4%BE%A1%E5%84%9F%E5%8D%B4%E8%B2%BB&amp;start_date=2025-10-01&amp;end_date=2025-10-31&amp;fiscal_year_id=9725180",591940)</f>
        <v>591940</v>
      </c>
      <c r="J31" s="30">
        <f>HYPERLINK("https://secure.freee.co.jp/reports/general_ledgers/show?name=%E6%B8%9B%E4%BE%A1%E5%84%9F%E5%8D%B4%E8%B2%BB&amp;start_date=2025-11-01&amp;end_date=2025-11-30&amp;fiscal_year_id=9725180",591940)</f>
        <v>591940</v>
      </c>
      <c r="K31" s="30">
        <f>HYPERLINK("https://secure.freee.co.jp/reports/general_ledgers/show?name=%E6%B8%9B%E4%BE%A1%E5%84%9F%E5%8D%B4%E8%B2%BB&amp;start_date=2025-12-01&amp;end_date=2025-12-31&amp;fiscal_year_id=9725180",601523)</f>
        <v>601523</v>
      </c>
      <c r="L31" s="30">
        <f>HYPERLINK("https://secure.freee.co.jp/reports/general_ledgers/show?name=%E6%B8%9B%E4%BE%A1%E5%84%9F%E5%8D%B4%E8%B2%BB&amp;start_date=2026-01-01&amp;end_date=2026-01-31&amp;fiscal_year_id=9725180",601523)</f>
        <v>601523</v>
      </c>
      <c r="M31" s="36">
        <f>HYPERLINK("https://secure.freee.co.jp/reports/general_ledgers/show?name=%E6%B8%9B%E4%BE%A1%E5%84%9F%E5%8D%B4%E8%B2%BB&amp;start_date=2026-02-01&amp;end_date=2026-02-28&amp;fiscal_year_id=9725180",601566)</f>
        <v>601566</v>
      </c>
      <c r="N31" s="37">
        <f>SUM(B31:M31)</f>
        <v>6428123</v>
      </c>
      <c r="O31" s="32" t="s">
        <v>345</v>
      </c>
    </row>
    <row r="32" spans="1:15" x14ac:dyDescent="0.25">
      <c r="A32" s="39" t="s">
        <v>435</v>
      </c>
      <c r="B32" s="40">
        <v>3694610</v>
      </c>
      <c r="C32" s="40">
        <v>3224922</v>
      </c>
      <c r="D32" s="40">
        <v>4056785</v>
      </c>
      <c r="E32" s="40">
        <v>3894104</v>
      </c>
      <c r="F32" s="40">
        <v>3658362</v>
      </c>
      <c r="G32" s="40">
        <v>3400855</v>
      </c>
      <c r="H32" s="40">
        <v>3617271</v>
      </c>
      <c r="I32" s="40">
        <v>5382738</v>
      </c>
      <c r="J32" s="40">
        <v>3707207</v>
      </c>
      <c r="K32" s="40">
        <v>5869356</v>
      </c>
      <c r="L32" s="40">
        <v>3729521</v>
      </c>
      <c r="M32" s="40">
        <v>6563753</v>
      </c>
      <c r="N32" s="40">
        <f>SUM(B32:M32)</f>
        <v>50799484</v>
      </c>
      <c r="O32" s="41"/>
    </row>
    <row r="33" spans="1:15" x14ac:dyDescent="0.25">
      <c r="A33" s="39" t="s">
        <v>436</v>
      </c>
      <c r="B33" s="40">
        <v>2331369</v>
      </c>
      <c r="C33" s="40">
        <v>1524473</v>
      </c>
      <c r="D33" s="40">
        <v>-278319</v>
      </c>
      <c r="E33" s="40">
        <v>-1842996</v>
      </c>
      <c r="F33" s="40">
        <v>1444790</v>
      </c>
      <c r="G33" s="40">
        <v>1278245</v>
      </c>
      <c r="H33" s="40">
        <v>-35401</v>
      </c>
      <c r="I33" s="40">
        <v>-3017459</v>
      </c>
      <c r="J33" s="40">
        <v>-2559790</v>
      </c>
      <c r="K33" s="40">
        <v>9471933</v>
      </c>
      <c r="L33" s="40">
        <v>-502448</v>
      </c>
      <c r="M33" s="40">
        <v>-4338599</v>
      </c>
      <c r="N33" s="40">
        <f>SUM(B33:M33)</f>
        <v>3475798</v>
      </c>
      <c r="O33" s="41"/>
    </row>
    <row r="34" spans="1:15" x14ac:dyDescent="0.25">
      <c r="A34" s="10" t="s">
        <v>437</v>
      </c>
      <c r="B34" s="30">
        <f>HYPERLINK("https://secure.freee.co.jp/reports/general_ledgers/show?name=%E5%8F%97%E5%8F%96%E5%88%A9%E6%81%AF&amp;start_date=2025-03-01&amp;end_date=2025-03-31&amp;fiscal_year_id=9725180",13534)</f>
        <v>13534</v>
      </c>
      <c r="C34" s="43">
        <v>0</v>
      </c>
      <c r="D34" s="42">
        <v>0</v>
      </c>
      <c r="E34" s="42">
        <v>0</v>
      </c>
      <c r="F34" s="42">
        <v>0</v>
      </c>
      <c r="G34" s="42">
        <v>0</v>
      </c>
      <c r="H34" s="30">
        <f>HYPERLINK("https://secure.freee.co.jp/reports/general_ledgers/show?name=%E5%8F%97%E5%8F%96%E5%88%A9%E6%81%AF&amp;start_date=2025-09-01&amp;end_date=2025-09-30&amp;fiscal_year_id=9725180",12942)</f>
        <v>12942</v>
      </c>
      <c r="I34" s="43">
        <v>0</v>
      </c>
      <c r="J34" s="42">
        <v>0</v>
      </c>
      <c r="K34" s="42">
        <v>0</v>
      </c>
      <c r="L34" s="42">
        <v>0</v>
      </c>
      <c r="M34" s="44">
        <v>0</v>
      </c>
      <c r="N34" s="37">
        <f>SUM(B34:M34)</f>
        <v>26476</v>
      </c>
      <c r="O34" s="32" t="s">
        <v>345</v>
      </c>
    </row>
    <row r="35" spans="1:15" x14ac:dyDescent="0.25">
      <c r="A35" s="10" t="s">
        <v>438</v>
      </c>
      <c r="B35" s="42">
        <v>0</v>
      </c>
      <c r="C35" s="42">
        <v>0</v>
      </c>
      <c r="D35" s="42">
        <v>0</v>
      </c>
      <c r="E35" s="30">
        <f>HYPERLINK("https://secure.freee.co.jp/reports/general_ledgers/show?name=%E5%8F%97%E5%8F%96%E9%85%8D%E5%BD%93%E9%87%91&amp;start_date=2025-06-01&amp;end_date=2025-06-30&amp;fiscal_year_id=9725180",100)</f>
        <v>100</v>
      </c>
      <c r="F35" s="43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4">
        <v>0</v>
      </c>
      <c r="N35" s="37">
        <f>SUM(B35:M35)</f>
        <v>100</v>
      </c>
      <c r="O35" s="32" t="s">
        <v>345</v>
      </c>
    </row>
    <row r="36" spans="1:15" x14ac:dyDescent="0.25">
      <c r="A36" s="10" t="s">
        <v>439</v>
      </c>
      <c r="B36" s="30">
        <v>13534</v>
      </c>
      <c r="C36" s="42">
        <v>0</v>
      </c>
      <c r="D36" s="42">
        <v>0</v>
      </c>
      <c r="E36" s="30">
        <v>100</v>
      </c>
      <c r="F36" s="42">
        <v>0</v>
      </c>
      <c r="G36" s="42">
        <v>0</v>
      </c>
      <c r="H36" s="30">
        <v>12942</v>
      </c>
      <c r="I36" s="42">
        <v>0</v>
      </c>
      <c r="J36" s="42">
        <v>0</v>
      </c>
      <c r="K36" s="42">
        <v>0</v>
      </c>
      <c r="L36" s="42">
        <v>0</v>
      </c>
      <c r="M36" s="44">
        <v>0</v>
      </c>
      <c r="N36" s="37">
        <f>SUM(B36:M36)</f>
        <v>26576</v>
      </c>
      <c r="O36" s="38"/>
    </row>
    <row r="37" spans="1:15" x14ac:dyDescent="0.25">
      <c r="A37" s="10" t="s">
        <v>440</v>
      </c>
      <c r="B37" s="30">
        <f>HYPERLINK("https://secure.freee.co.jp/reports/general_ledgers/show?name=%E6%94%AF%E6%89%95%E5%88%A9%E6%81%AF&amp;start_date=2025-03-01&amp;end_date=2025-03-31&amp;fiscal_year_id=9725180",5187)</f>
        <v>5187</v>
      </c>
      <c r="C37" s="30">
        <f>HYPERLINK("https://secure.freee.co.jp/reports/general_ledgers/show?name=%E6%94%AF%E6%89%95%E5%88%A9%E6%81%AF&amp;start_date=2025-04-01&amp;end_date=2025-04-30&amp;fiscal_year_id=9725180",5640)</f>
        <v>5640</v>
      </c>
      <c r="D37" s="30">
        <f>HYPERLINK("https://secure.freee.co.jp/reports/general_ledgers/show?name=%E6%94%AF%E6%89%95%E5%88%A9%E6%81%AF&amp;start_date=2025-05-01&amp;end_date=2025-05-31&amp;fiscal_year_id=9725180",5360)</f>
        <v>5360</v>
      </c>
      <c r="E37" s="30">
        <f>HYPERLINK("https://secure.freee.co.jp/reports/general_ledgers/show?name=%E6%94%AF%E6%89%95%E5%88%A9%E6%81%AF&amp;start_date=2025-06-01&amp;end_date=2025-06-30&amp;fiscal_year_id=9725180",5436)</f>
        <v>5436</v>
      </c>
      <c r="F37" s="30">
        <f>HYPERLINK("https://secure.freee.co.jp/reports/general_ledgers/show?name=%E6%94%AF%E6%89%95%E5%88%A9%E6%81%AF&amp;start_date=2025-07-01&amp;end_date=2025-07-31&amp;fiscal_year_id=9725180",5162)</f>
        <v>5162</v>
      </c>
      <c r="G37" s="30">
        <f>HYPERLINK("https://secure.freee.co.jp/reports/general_ledgers/show?name=%E6%94%AF%E6%89%95%E5%88%A9%E6%81%AF&amp;start_date=2025-08-01&amp;end_date=2025-08-31&amp;fiscal_year_id=9725180",5231)</f>
        <v>5231</v>
      </c>
      <c r="H37" s="30">
        <f>HYPERLINK("https://secure.freee.co.jp/reports/general_ledgers/show?name=%E6%94%AF%E6%89%95%E5%88%A9%E6%81%AF&amp;start_date=2025-09-01&amp;end_date=2025-09-30&amp;fiscal_year_id=9725180",5129)</f>
        <v>5129</v>
      </c>
      <c r="I37" s="30">
        <f>HYPERLINK("https://secure.freee.co.jp/reports/general_ledgers/show?name=%E6%94%AF%E6%89%95%E5%88%A9%E6%81%AF&amp;start_date=2025-10-01&amp;end_date=2025-10-31&amp;fiscal_year_id=9725180",4865)</f>
        <v>4865</v>
      </c>
      <c r="J37" s="30">
        <f>HYPERLINK("https://secure.freee.co.jp/reports/general_ledgers/show?name=%E6%94%AF%E6%89%95%E5%88%A9%E6%81%AF&amp;start_date=2025-11-01&amp;end_date=2025-11-30&amp;fiscal_year_id=9725180",4925)</f>
        <v>4925</v>
      </c>
      <c r="K37" s="30">
        <f>HYPERLINK("https://secure.freee.co.jp/reports/general_ledgers/show?name=%E6%94%AF%E6%89%95%E5%88%A9%E6%81%AF&amp;start_date=2025-12-01&amp;end_date=2025-12-31&amp;fiscal_year_id=9725180",4667)</f>
        <v>4667</v>
      </c>
      <c r="L37" s="30">
        <f>HYPERLINK("https://secure.freee.co.jp/reports/general_ledgers/show?name=%E6%94%AF%E6%89%95%E5%88%A9%E6%81%AF&amp;start_date=2026-01-01&amp;end_date=2026-01-31&amp;fiscal_year_id=9725180",4721)</f>
        <v>4721</v>
      </c>
      <c r="M37" s="36">
        <f>HYPERLINK("https://secure.freee.co.jp/reports/general_ledgers/show?name=%E6%94%AF%E6%89%95%E5%88%A9%E6%81%AF&amp;start_date=2026-02-01&amp;end_date=2026-02-28&amp;fiscal_year_id=9725180",4619)</f>
        <v>4619</v>
      </c>
      <c r="N37" s="37">
        <f>SUM(B37:M37)</f>
        <v>60942</v>
      </c>
      <c r="O37" s="32" t="s">
        <v>345</v>
      </c>
    </row>
    <row r="38" spans="1:15" x14ac:dyDescent="0.25">
      <c r="A38" s="10" t="s">
        <v>441</v>
      </c>
      <c r="B38" s="30">
        <v>5187</v>
      </c>
      <c r="C38" s="30">
        <v>5640</v>
      </c>
      <c r="D38" s="30">
        <v>5360</v>
      </c>
      <c r="E38" s="30">
        <v>5436</v>
      </c>
      <c r="F38" s="30">
        <v>5162</v>
      </c>
      <c r="G38" s="30">
        <v>5231</v>
      </c>
      <c r="H38" s="30">
        <v>5129</v>
      </c>
      <c r="I38" s="30">
        <v>4865</v>
      </c>
      <c r="J38" s="30">
        <v>4925</v>
      </c>
      <c r="K38" s="30">
        <v>4667</v>
      </c>
      <c r="L38" s="30">
        <v>4721</v>
      </c>
      <c r="M38" s="36">
        <v>4619</v>
      </c>
      <c r="N38" s="37">
        <f>SUM(B38:M38)</f>
        <v>60942</v>
      </c>
      <c r="O38" s="38"/>
    </row>
    <row r="39" spans="1:15" x14ac:dyDescent="0.25">
      <c r="A39" s="39" t="s">
        <v>442</v>
      </c>
      <c r="B39" s="40">
        <v>2339716</v>
      </c>
      <c r="C39" s="40">
        <v>1518833</v>
      </c>
      <c r="D39" s="40">
        <v>-283679</v>
      </c>
      <c r="E39" s="40">
        <v>-1848332</v>
      </c>
      <c r="F39" s="40">
        <v>1439628</v>
      </c>
      <c r="G39" s="40">
        <v>1273014</v>
      </c>
      <c r="H39" s="40">
        <v>-27588</v>
      </c>
      <c r="I39" s="40">
        <v>-3022324</v>
      </c>
      <c r="J39" s="40">
        <v>-2564715</v>
      </c>
      <c r="K39" s="40">
        <v>9467266</v>
      </c>
      <c r="L39" s="40">
        <v>-507169</v>
      </c>
      <c r="M39" s="40">
        <v>-4343218</v>
      </c>
      <c r="N39" s="40">
        <f>SUM(B39:M39)</f>
        <v>3441432</v>
      </c>
      <c r="O39" s="41"/>
    </row>
    <row r="40" spans="1:15" x14ac:dyDescent="0.25">
      <c r="A40" s="10" t="s">
        <v>443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4">
        <v>0</v>
      </c>
      <c r="N40" s="37">
        <f>SUM(B40:M40)</f>
        <v>0</v>
      </c>
      <c r="O40" s="38"/>
    </row>
    <row r="41" spans="1:15" x14ac:dyDescent="0.25">
      <c r="A41" s="10" t="s">
        <v>444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4">
        <v>0</v>
      </c>
      <c r="N41" s="37">
        <f>SUM(B41:M41)</f>
        <v>0</v>
      </c>
      <c r="O41" s="38"/>
    </row>
    <row r="42" spans="1:15" x14ac:dyDescent="0.25">
      <c r="A42" s="39" t="s">
        <v>445</v>
      </c>
      <c r="B42" s="40">
        <v>2339716</v>
      </c>
      <c r="C42" s="40">
        <v>1518833</v>
      </c>
      <c r="D42" s="40">
        <v>-283679</v>
      </c>
      <c r="E42" s="40">
        <v>-1848332</v>
      </c>
      <c r="F42" s="40">
        <v>1439628</v>
      </c>
      <c r="G42" s="40">
        <v>1273014</v>
      </c>
      <c r="H42" s="40">
        <v>-27588</v>
      </c>
      <c r="I42" s="40">
        <v>-3022324</v>
      </c>
      <c r="J42" s="40">
        <v>-2564715</v>
      </c>
      <c r="K42" s="40">
        <v>9467266</v>
      </c>
      <c r="L42" s="40">
        <v>-507169</v>
      </c>
      <c r="M42" s="40">
        <v>-4343218</v>
      </c>
      <c r="N42" s="40">
        <f>SUM(B42:M42)</f>
        <v>3441432</v>
      </c>
      <c r="O42" s="41"/>
    </row>
    <row r="43" spans="1:15" x14ac:dyDescent="0.25">
      <c r="A43" s="10" t="s">
        <v>446</v>
      </c>
      <c r="B43" s="30">
        <f>HYPERLINK("https://secure.freee.co.jp/reports/general_ledgers/show?name=%E6%B3%95%E4%BA%BA%E7%A8%8E%E3%83%BB%E4%BD%8F%E6%B0%91%E7%A8%8E%E5%8F%8A%E3%81%B3%E4%BA%8B%E6%A5%AD%E7%A8%8E&amp;start_date=2025-03-01&amp;end_date=2025-03-31&amp;fiscal_year_id=9725180",2072)</f>
        <v>2072</v>
      </c>
      <c r="C43" s="43">
        <v>0</v>
      </c>
      <c r="D43" s="42">
        <v>0</v>
      </c>
      <c r="E43" s="30">
        <f>HYPERLINK("https://secure.freee.co.jp/reports/general_ledgers/show?name=%E6%B3%95%E4%BA%BA%E7%A8%8E%E3%83%BB%E4%BD%8F%E6%B0%91%E7%A8%8E%E5%8F%8A%E3%81%B3%E4%BA%8B%E6%A5%AD%E7%A8%8E&amp;start_date=2025-06-01&amp;end_date=2025-06-30&amp;fiscal_year_id=9725180",20)</f>
        <v>20</v>
      </c>
      <c r="F43" s="43">
        <v>0</v>
      </c>
      <c r="G43" s="42">
        <v>0</v>
      </c>
      <c r="H43" s="30">
        <f>HYPERLINK("https://secure.freee.co.jp/reports/general_ledgers/show?name=%E6%B3%95%E4%BA%BA%E7%A8%8E%E3%83%BB%E4%BD%8F%E6%B0%91%E7%A8%8E%E5%8F%8A%E3%81%B3%E4%BA%8B%E6%A5%AD%E7%A8%8E&amp;start_date=2025-09-01&amp;end_date=2025-09-30&amp;fiscal_year_id=9725180",1982)</f>
        <v>1982</v>
      </c>
      <c r="I43" s="33">
        <f>HYPERLINK("https://secure.freee.co.jp/reports/general_ledgers/show?name=%E6%B3%95%E4%BA%BA%E7%A8%8E%E3%83%BB%E4%BD%8F%E6%B0%91%E7%A8%8E%E5%8F%8A%E3%81%B3%E4%BA%8B%E6%A5%AD%E7%A8%8E&amp;start_date=2025-10-01&amp;end_date=2025-10-31&amp;fiscal_year_id=9725180",384000)</f>
        <v>384000</v>
      </c>
      <c r="J43" s="43">
        <v>0</v>
      </c>
      <c r="K43" s="42">
        <v>0</v>
      </c>
      <c r="L43" s="42">
        <v>0</v>
      </c>
      <c r="M43" s="44">
        <v>0</v>
      </c>
      <c r="N43" s="37">
        <f>SUM(B43:M43)</f>
        <v>388074</v>
      </c>
      <c r="O43" s="32" t="s">
        <v>345</v>
      </c>
    </row>
    <row r="44" spans="1:15" x14ac:dyDescent="0.25">
      <c r="A44" s="10" t="s">
        <v>447</v>
      </c>
      <c r="B44" s="30">
        <v>2072</v>
      </c>
      <c r="C44" s="42">
        <v>0</v>
      </c>
      <c r="D44" s="42">
        <v>0</v>
      </c>
      <c r="E44" s="30">
        <v>20</v>
      </c>
      <c r="F44" s="42">
        <v>0</v>
      </c>
      <c r="G44" s="42">
        <v>0</v>
      </c>
      <c r="H44" s="30">
        <v>1982</v>
      </c>
      <c r="I44" s="30">
        <v>384000</v>
      </c>
      <c r="J44" s="42">
        <v>0</v>
      </c>
      <c r="K44" s="42">
        <v>0</v>
      </c>
      <c r="L44" s="42">
        <v>0</v>
      </c>
      <c r="M44" s="44">
        <v>0</v>
      </c>
      <c r="N44" s="37">
        <f>SUM(B44:M44)</f>
        <v>388074</v>
      </c>
      <c r="O44" s="38"/>
    </row>
    <row r="45" spans="1:15" x14ac:dyDescent="0.25">
      <c r="A45" s="39" t="s">
        <v>448</v>
      </c>
      <c r="B45" s="40">
        <v>2337644</v>
      </c>
      <c r="C45" s="40">
        <v>1518833</v>
      </c>
      <c r="D45" s="40">
        <v>-283679</v>
      </c>
      <c r="E45" s="40">
        <v>-1848352</v>
      </c>
      <c r="F45" s="40">
        <v>1439628</v>
      </c>
      <c r="G45" s="40">
        <v>1273014</v>
      </c>
      <c r="H45" s="40">
        <v>-29570</v>
      </c>
      <c r="I45" s="40">
        <v>-3406324</v>
      </c>
      <c r="J45" s="40">
        <v>-2564715</v>
      </c>
      <c r="K45" s="40">
        <v>9467266</v>
      </c>
      <c r="L45" s="40">
        <v>-507169</v>
      </c>
      <c r="M45" s="40">
        <v>-4343218</v>
      </c>
      <c r="N45" s="40">
        <f>SUM(B45:M45)</f>
        <v>3053358</v>
      </c>
      <c r="O45" s="41"/>
    </row>
    <row r="46" spans="1:15" x14ac:dyDescent="0.25">
      <c r="A46" s="10" t="s">
        <v>449</v>
      </c>
      <c r="B46" s="30">
        <f>HYPERLINK("https://secure.freee.co.jp/reports/general_ledgers/show?name=%E6%9C%9F%E9%A6%96%E5%95%86%E5%93%81%E6%A3%9A%E5%8D%B8%E9%AB%98&amp;start_date=2025-03-01&amp;end_date=2025-03-31&amp;fiscal_year_id=9725180",241650)</f>
        <v>241650</v>
      </c>
      <c r="C46" s="43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4">
        <v>0</v>
      </c>
      <c r="N46" s="37">
        <f>SUM(B46:M46)</f>
        <v>241650</v>
      </c>
      <c r="O46" s="32" t="s">
        <v>345</v>
      </c>
    </row>
    <row r="47" spans="1:15" x14ac:dyDescent="0.25">
      <c r="A47" s="10" t="s">
        <v>450</v>
      </c>
      <c r="B47" s="30">
        <f>HYPERLINK("https://secure.freee.co.jp/reports/general_ledgers/show?name=%E4%BB%95%E5%85%A5%E9%AB%98&amp;start_date=2025-03-01&amp;end_date=2025-03-31&amp;fiscal_year_id=9725180",33000)</f>
        <v>33000</v>
      </c>
      <c r="C47" s="33">
        <f>HYPERLINK("https://secure.freee.co.jp/reports/general_ledgers/show?name=%E4%BB%95%E5%85%A5%E9%AB%98&amp;start_date=2025-04-01&amp;end_date=2025-04-30&amp;fiscal_year_id=9725180",88770)</f>
        <v>88770</v>
      </c>
      <c r="D47" s="33">
        <f>HYPERLINK("https://secure.freee.co.jp/reports/general_ledgers/show?name=%E4%BB%95%E5%85%A5%E9%AB%98&amp;start_date=2025-05-01&amp;end_date=2025-05-31&amp;fiscal_year_id=9725180",33000)</f>
        <v>33000</v>
      </c>
      <c r="E47" s="43">
        <v>0</v>
      </c>
      <c r="F47" s="42">
        <v>0</v>
      </c>
      <c r="G47" s="42">
        <v>0</v>
      </c>
      <c r="H47" s="30">
        <f>HYPERLINK("https://secure.freee.co.jp/reports/general_ledgers/show?name=%E4%BB%95%E5%85%A5%E9%AB%98&amp;start_date=2025-09-01&amp;end_date=2025-09-30&amp;fiscal_year_id=9725180",90530)</f>
        <v>90530</v>
      </c>
      <c r="I47" s="33">
        <f>HYPERLINK("https://secure.freee.co.jp/reports/general_ledgers/show?name=%E4%BB%95%E5%85%A5%E9%AB%98&amp;start_date=2025-10-01&amp;end_date=2025-10-31&amp;fiscal_year_id=9725180",143528)</f>
        <v>143528</v>
      </c>
      <c r="J47" s="33">
        <f>HYPERLINK("https://secure.freee.co.jp/reports/general_ledgers/show?name=%E4%BB%95%E5%85%A5%E9%AB%98&amp;start_date=2025-11-01&amp;end_date=2025-11-30&amp;fiscal_year_id=9725180",6600)</f>
        <v>6600</v>
      </c>
      <c r="K47" s="33">
        <f>HYPERLINK("https://secure.freee.co.jp/reports/general_ledgers/show?name=%E4%BB%95%E5%85%A5%E9%AB%98&amp;start_date=2025-12-01&amp;end_date=2025-12-31&amp;fiscal_year_id=9725180",265760)</f>
        <v>265760</v>
      </c>
      <c r="L47" s="43">
        <v>0</v>
      </c>
      <c r="M47" s="36">
        <f>HYPERLINK("https://secure.freee.co.jp/reports/general_ledgers/show?name=%E4%BB%95%E5%85%A5%E9%AB%98&amp;start_date=2026-02-01&amp;end_date=2026-02-28&amp;fiscal_year_id=9725180",27885)</f>
        <v>27885</v>
      </c>
      <c r="N47" s="37">
        <f>SUM(B47:M47)</f>
        <v>689073</v>
      </c>
      <c r="O47" s="32" t="s">
        <v>345</v>
      </c>
    </row>
    <row r="48" spans="1:15" x14ac:dyDescent="0.25">
      <c r="A48" s="10" t="s">
        <v>451</v>
      </c>
      <c r="B48" s="30">
        <f>HYPERLINK("https://secure.freee.co.jp/reports/general_ledgers/show?name=%E5%A4%96%E6%B3%A8%E8%B2%BB&amp;start_date=2025-03-01&amp;end_date=2025-03-31&amp;fiscal_year_id=9725180",4387816)</f>
        <v>4387816</v>
      </c>
      <c r="C48" s="30">
        <f>HYPERLINK("https://secure.freee.co.jp/reports/general_ledgers/show?name=%E5%A4%96%E6%B3%A8%E8%B2%BB&amp;start_date=2025-04-01&amp;end_date=2025-04-30&amp;fiscal_year_id=9725180",5700999)</f>
        <v>5700999</v>
      </c>
      <c r="D48" s="33">
        <f>HYPERLINK("https://secure.freee.co.jp/reports/general_ledgers/show?name=%E5%A4%96%E6%B3%A8%E8%B2%BB&amp;start_date=2025-05-01&amp;end_date=2025-05-31&amp;fiscal_year_id=9725180",1993639)</f>
        <v>1993639</v>
      </c>
      <c r="E48" s="33">
        <f>HYPERLINK("https://secure.freee.co.jp/reports/general_ledgers/show?name=%E5%A4%96%E6%B3%A8%E8%B2%BB&amp;start_date=2025-06-01&amp;end_date=2025-06-30&amp;fiscal_year_id=9725180",3343807)</f>
        <v>3343807</v>
      </c>
      <c r="F48" s="33">
        <f>HYPERLINK("https://secure.freee.co.jp/reports/general_ledgers/show?name=%E5%A4%96%E6%B3%A8%E8%B2%BB&amp;start_date=2025-07-01&amp;end_date=2025-07-31&amp;fiscal_year_id=9725180",5586838)</f>
        <v>5586838</v>
      </c>
      <c r="G48" s="30">
        <f>HYPERLINK("https://secure.freee.co.jp/reports/general_ledgers/show?name=%E5%A4%96%E6%B3%A8%E8%B2%BB&amp;start_date=2025-08-01&amp;end_date=2025-08-31&amp;fiscal_year_id=9725180",4696709)</f>
        <v>4696709</v>
      </c>
      <c r="H48" s="30">
        <f>HYPERLINK("https://secure.freee.co.jp/reports/general_ledgers/show?name=%E5%A4%96%E6%B3%A8%E8%B2%BB&amp;start_date=2025-09-01&amp;end_date=2025-09-30&amp;fiscal_year_id=9725180",2757778)</f>
        <v>2757778</v>
      </c>
      <c r="I48" s="33">
        <f>HYPERLINK("https://secure.freee.co.jp/reports/general_ledgers/show?name=%E5%A4%96%E6%B3%A8%E8%B2%BB&amp;start_date=2025-10-01&amp;end_date=2025-10-31&amp;fiscal_year_id=9725180",4485365)</f>
        <v>4485365</v>
      </c>
      <c r="J48" s="33">
        <f>HYPERLINK("https://secure.freee.co.jp/reports/general_ledgers/show?name=%E5%A4%96%E6%B3%A8%E8%B2%BB&amp;start_date=2025-11-01&amp;end_date=2025-11-30&amp;fiscal_year_id=9725180",8235546)</f>
        <v>8235546</v>
      </c>
      <c r="K48" s="30">
        <f>HYPERLINK("https://secure.freee.co.jp/reports/general_ledgers/show?name=%E5%A4%96%E6%B3%A8%E8%B2%BB&amp;start_date=2025-12-01&amp;end_date=2025-12-31&amp;fiscal_year_id=9725180",11440799)</f>
        <v>11440799</v>
      </c>
      <c r="L48" s="33">
        <f>HYPERLINK("https://secure.freee.co.jp/reports/general_ledgers/show?name=%E5%A4%96%E6%B3%A8%E8%B2%BB&amp;start_date=2026-01-01&amp;end_date=2026-01-31&amp;fiscal_year_id=9725180",1699440)</f>
        <v>1699440</v>
      </c>
      <c r="M48" s="33">
        <f>HYPERLINK("https://secure.freee.co.jp/reports/general_ledgers/show?name=%E5%A4%96%E6%B3%A8%E8%B2%BB&amp;start_date=2026-02-01&amp;end_date=2026-02-28&amp;fiscal_year_id=9725180",3372845)</f>
        <v>3372845</v>
      </c>
      <c r="N48" s="37">
        <f>SUM(B48:M48)</f>
        <v>57701581</v>
      </c>
      <c r="O48" s="32" t="s">
        <v>345</v>
      </c>
    </row>
    <row r="49" spans="1:15" x14ac:dyDescent="0.25">
      <c r="A49" s="10" t="s">
        <v>452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36">
        <f>HYPERLINK("https://secure.freee.co.jp/reports/general_ledgers/show?name=%E6%9C%9F%E6%9C%AB%E5%95%86%E5%93%81%E6%A3%9A%E5%8D%B8%E9%AB%98&amp;start_date=2026-02-01&amp;end_date=2026-02-28&amp;fiscal_year_id=9725180",2215270)</f>
        <v>2215270</v>
      </c>
      <c r="N49" s="37">
        <f>SUM(B49:M49)</f>
        <v>2215270</v>
      </c>
      <c r="O49" s="32" t="s">
        <v>345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1" r:id="rId25"/>
    <hyperlink ref="O34" r:id="rId26"/>
    <hyperlink ref="O35" r:id="rId27"/>
    <hyperlink ref="O37" r:id="rId28"/>
    <hyperlink ref="O43" r:id="rId29"/>
    <hyperlink ref="O46" r:id="rId30"/>
    <hyperlink ref="O47" r:id="rId31"/>
    <hyperlink ref="O48" r:id="rId32"/>
    <hyperlink ref="O49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339</v>
      </c>
      <c r="B1" s="5" t="s">
        <v>453</v>
      </c>
      <c r="C1" s="5" t="s">
        <v>454</v>
      </c>
      <c r="D1" s="5" t="s">
        <v>455</v>
      </c>
    </row>
    <row r="2" spans="1:4" x14ac:dyDescent="0.25">
      <c r="A2" s="10" t="s">
        <v>379</v>
      </c>
      <c r="B2" s="10" t="s">
        <v>456</v>
      </c>
      <c r="C2" s="30">
        <v>6407865</v>
      </c>
      <c r="D2" s="10" t="s">
        <v>6</v>
      </c>
    </row>
    <row r="3" spans="1:4" x14ac:dyDescent="0.25">
      <c r="A3" s="10" t="s">
        <v>355</v>
      </c>
      <c r="B3" s="10" t="s">
        <v>457</v>
      </c>
      <c r="C3" s="30">
        <v>1408220</v>
      </c>
      <c r="D3" s="10" t="s">
        <v>6</v>
      </c>
    </row>
    <row r="4" spans="1:4" x14ac:dyDescent="0.25">
      <c r="A4" s="10" t="s">
        <v>355</v>
      </c>
      <c r="B4" s="10" t="s">
        <v>458</v>
      </c>
      <c r="C4" s="30">
        <v>859903</v>
      </c>
      <c r="D4" s="10" t="s">
        <v>6</v>
      </c>
    </row>
    <row r="5" spans="1:4" x14ac:dyDescent="0.25">
      <c r="A5" s="10" t="s">
        <v>355</v>
      </c>
      <c r="B5" s="10" t="s">
        <v>459</v>
      </c>
      <c r="C5" s="30">
        <v>760210</v>
      </c>
      <c r="D5" s="10" t="s">
        <v>6</v>
      </c>
    </row>
    <row r="6" spans="1:4" x14ac:dyDescent="0.25">
      <c r="A6" s="10" t="s">
        <v>355</v>
      </c>
      <c r="B6" s="10" t="s">
        <v>460</v>
      </c>
      <c r="C6" s="30">
        <v>713680</v>
      </c>
      <c r="D6" s="10" t="s">
        <v>6</v>
      </c>
    </row>
    <row r="7" spans="1:4" x14ac:dyDescent="0.25">
      <c r="A7" s="10" t="s">
        <v>355</v>
      </c>
      <c r="B7" s="10" t="s">
        <v>461</v>
      </c>
      <c r="C7" s="30">
        <v>401390</v>
      </c>
      <c r="D7" s="10" t="s">
        <v>6</v>
      </c>
    </row>
    <row r="8" spans="1:4" x14ac:dyDescent="0.25">
      <c r="A8" s="10" t="s">
        <v>355</v>
      </c>
      <c r="B8" s="10" t="s">
        <v>462</v>
      </c>
      <c r="C8" s="30">
        <v>287870</v>
      </c>
      <c r="D8" s="10" t="s">
        <v>6</v>
      </c>
    </row>
    <row r="9" spans="1:4" x14ac:dyDescent="0.25">
      <c r="A9" s="10" t="s">
        <v>355</v>
      </c>
      <c r="B9" s="10" t="s">
        <v>463</v>
      </c>
      <c r="C9" s="30">
        <v>265540</v>
      </c>
      <c r="D9" s="10" t="s">
        <v>6</v>
      </c>
    </row>
    <row r="10" spans="1:4" x14ac:dyDescent="0.25">
      <c r="A10" s="10" t="s">
        <v>355</v>
      </c>
      <c r="B10" s="10" t="s">
        <v>464</v>
      </c>
      <c r="C10" s="30">
        <v>246070</v>
      </c>
      <c r="D10" s="10" t="s">
        <v>6</v>
      </c>
    </row>
    <row r="11" spans="1:4" x14ac:dyDescent="0.25">
      <c r="A11" s="10" t="s">
        <v>379</v>
      </c>
      <c r="B11" s="10" t="s">
        <v>465</v>
      </c>
      <c r="C11" s="30">
        <v>238550</v>
      </c>
      <c r="D11" s="10" t="s">
        <v>6</v>
      </c>
    </row>
    <row r="12" spans="1:4" x14ac:dyDescent="0.25">
      <c r="A12" s="10" t="s">
        <v>355</v>
      </c>
      <c r="B12" s="10" t="s">
        <v>466</v>
      </c>
      <c r="C12" s="30">
        <v>216302</v>
      </c>
      <c r="D12" s="14" t="s">
        <v>467</v>
      </c>
    </row>
    <row r="13" spans="1:4" x14ac:dyDescent="0.25">
      <c r="A13" s="10" t="s">
        <v>355</v>
      </c>
      <c r="B13" s="10" t="s">
        <v>468</v>
      </c>
      <c r="C13" s="30">
        <v>185559</v>
      </c>
      <c r="D13" s="10" t="s">
        <v>6</v>
      </c>
    </row>
    <row r="14" spans="1:4" x14ac:dyDescent="0.25">
      <c r="A14" s="10" t="s">
        <v>355</v>
      </c>
      <c r="B14" s="10" t="s">
        <v>469</v>
      </c>
      <c r="C14" s="30">
        <v>178200</v>
      </c>
      <c r="D14" s="10" t="s">
        <v>6</v>
      </c>
    </row>
    <row r="15" spans="1:4" x14ac:dyDescent="0.25">
      <c r="A15" s="10" t="s">
        <v>355</v>
      </c>
      <c r="B15" s="10" t="s">
        <v>470</v>
      </c>
      <c r="C15" s="30">
        <v>150260</v>
      </c>
      <c r="D15" s="10" t="s">
        <v>6</v>
      </c>
    </row>
    <row r="16" spans="1:4" x14ac:dyDescent="0.25">
      <c r="A16" s="10" t="s">
        <v>355</v>
      </c>
      <c r="B16" s="10" t="s">
        <v>471</v>
      </c>
      <c r="C16" s="30">
        <v>87978</v>
      </c>
      <c r="D16" s="10" t="s">
        <v>6</v>
      </c>
    </row>
    <row r="17" spans="1:4" x14ac:dyDescent="0.25">
      <c r="A17" s="10" t="s">
        <v>379</v>
      </c>
      <c r="B17" s="10" t="s">
        <v>472</v>
      </c>
      <c r="C17" s="30">
        <v>82280</v>
      </c>
      <c r="D17" s="10" t="s">
        <v>6</v>
      </c>
    </row>
    <row r="18" spans="1:4" x14ac:dyDescent="0.25">
      <c r="A18" s="10" t="s">
        <v>355</v>
      </c>
      <c r="B18" s="10" t="s">
        <v>473</v>
      </c>
      <c r="C18" s="30">
        <v>79750</v>
      </c>
      <c r="D18" s="10" t="s">
        <v>6</v>
      </c>
    </row>
    <row r="19" spans="1:4" x14ac:dyDescent="0.25">
      <c r="A19" s="10" t="s">
        <v>355</v>
      </c>
      <c r="B19" s="10" t="s">
        <v>474</v>
      </c>
      <c r="C19" s="30">
        <v>73700</v>
      </c>
      <c r="D19" s="10" t="s">
        <v>6</v>
      </c>
    </row>
    <row r="20" spans="1:4" x14ac:dyDescent="0.25">
      <c r="A20" s="10" t="s">
        <v>355</v>
      </c>
      <c r="B20" s="10" t="s">
        <v>475</v>
      </c>
      <c r="C20" s="30">
        <v>70400</v>
      </c>
      <c r="D20" s="14" t="s">
        <v>467</v>
      </c>
    </row>
    <row r="21" spans="1:4" x14ac:dyDescent="0.25">
      <c r="A21" s="10" t="s">
        <v>379</v>
      </c>
      <c r="B21" s="10" t="s">
        <v>476</v>
      </c>
      <c r="C21" s="30">
        <v>46880</v>
      </c>
      <c r="D21" s="10" t="s">
        <v>6</v>
      </c>
    </row>
    <row r="22" spans="1:4" x14ac:dyDescent="0.25">
      <c r="A22" s="10" t="s">
        <v>355</v>
      </c>
      <c r="B22" s="10" t="s">
        <v>477</v>
      </c>
      <c r="C22" s="30">
        <v>45375</v>
      </c>
      <c r="D22" s="10" t="s">
        <v>6</v>
      </c>
    </row>
    <row r="23" spans="1:4" x14ac:dyDescent="0.25">
      <c r="A23" s="10" t="s">
        <v>355</v>
      </c>
      <c r="B23" s="10" t="s">
        <v>478</v>
      </c>
      <c r="C23" s="30">
        <v>44000</v>
      </c>
      <c r="D23" s="10" t="s">
        <v>6</v>
      </c>
    </row>
    <row r="24" spans="1:4" x14ac:dyDescent="0.25">
      <c r="A24" s="10" t="s">
        <v>355</v>
      </c>
      <c r="B24" s="10" t="s">
        <v>479</v>
      </c>
      <c r="C24" s="30">
        <v>35200</v>
      </c>
      <c r="D24" s="14" t="s">
        <v>467</v>
      </c>
    </row>
    <row r="25" spans="1:4" x14ac:dyDescent="0.25">
      <c r="A25" s="10" t="s">
        <v>377</v>
      </c>
      <c r="B25" s="10" t="s">
        <v>456</v>
      </c>
      <c r="C25" s="30">
        <v>27885</v>
      </c>
      <c r="D25" s="10" t="s">
        <v>6</v>
      </c>
    </row>
    <row r="26" spans="1:4" x14ac:dyDescent="0.25">
      <c r="A26" s="10" t="s">
        <v>355</v>
      </c>
      <c r="B26" s="10" t="s">
        <v>480</v>
      </c>
      <c r="C26" s="30">
        <v>21780</v>
      </c>
      <c r="D26" s="10" t="s">
        <v>6</v>
      </c>
    </row>
    <row r="27" spans="1:4" x14ac:dyDescent="0.25">
      <c r="A27" s="10" t="s">
        <v>355</v>
      </c>
      <c r="B27" s="10" t="s">
        <v>481</v>
      </c>
      <c r="C27" s="30">
        <v>19800</v>
      </c>
      <c r="D27" s="14" t="s">
        <v>467</v>
      </c>
    </row>
    <row r="28" spans="1:4" x14ac:dyDescent="0.25">
      <c r="A28" s="10" t="s">
        <v>355</v>
      </c>
      <c r="B28" s="10" t="s">
        <v>482</v>
      </c>
      <c r="C28" s="30">
        <v>18480</v>
      </c>
      <c r="D28" s="10" t="s">
        <v>6</v>
      </c>
    </row>
    <row r="29" spans="1:4" x14ac:dyDescent="0.25">
      <c r="A29" s="10" t="s">
        <v>379</v>
      </c>
      <c r="B29" s="10" t="s">
        <v>483</v>
      </c>
      <c r="C29" s="30">
        <v>16356</v>
      </c>
      <c r="D29" s="10" t="s">
        <v>6</v>
      </c>
    </row>
    <row r="30" spans="1:4" x14ac:dyDescent="0.25">
      <c r="A30" s="10" t="s">
        <v>379</v>
      </c>
      <c r="B30" s="10" t="s">
        <v>484</v>
      </c>
      <c r="C30" s="30">
        <v>11715</v>
      </c>
      <c r="D30" s="14" t="s">
        <v>467</v>
      </c>
    </row>
    <row r="31" spans="1:4" x14ac:dyDescent="0.25">
      <c r="A31" s="10" t="s">
        <v>379</v>
      </c>
      <c r="B31" s="10" t="s">
        <v>485</v>
      </c>
      <c r="C31" s="30">
        <v>5832</v>
      </c>
      <c r="D31" s="14" t="s">
        <v>467</v>
      </c>
    </row>
    <row r="32" spans="1:4" x14ac:dyDescent="0.25">
      <c r="A32" s="10" t="s">
        <v>379</v>
      </c>
      <c r="B32" s="10" t="s">
        <v>486</v>
      </c>
      <c r="C32" s="30">
        <v>3641</v>
      </c>
      <c r="D32" s="10" t="s">
        <v>6</v>
      </c>
    </row>
    <row r="33" spans="1:4" x14ac:dyDescent="0.25">
      <c r="A33" s="10" t="s">
        <v>355</v>
      </c>
      <c r="B33" s="10" t="s">
        <v>487</v>
      </c>
      <c r="C33" s="30">
        <v>0</v>
      </c>
      <c r="D33" s="10" t="s">
        <v>6</v>
      </c>
    </row>
    <row r="34" spans="1:4" x14ac:dyDescent="0.25">
      <c r="A34" s="10" t="s">
        <v>355</v>
      </c>
      <c r="B34" s="10" t="s">
        <v>488</v>
      </c>
      <c r="C34" s="30">
        <v>0</v>
      </c>
      <c r="D34" s="10" t="s">
        <v>6</v>
      </c>
    </row>
    <row r="35" spans="1:4" x14ac:dyDescent="0.25">
      <c r="A35" s="10" t="s">
        <v>355</v>
      </c>
      <c r="B35" s="10" t="s">
        <v>489</v>
      </c>
      <c r="C35" s="30">
        <v>0</v>
      </c>
      <c r="D35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2026-04-07T12:32:21Z</dcterms:created>
  <dcterms:modified xsi:type="dcterms:W3CDTF">2026-04-07T12:32:21Z</dcterms:modified>
</cp:coreProperties>
</file>