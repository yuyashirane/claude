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<sst xmlns="http://schemas.openxmlformats.org/spreadsheetml/2006/main" count="1370" uniqueCount="545">
  <si>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</si>
  <si>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</si>
  <si>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</si>
  <si>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</si>
  <si>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</si>
  <si>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</si>
  <si>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</si>
  <si>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</si>
  <si>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</si>
  <si>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</si>
  <si>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</si>
  <si>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</si>
  <si>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</si>
  <si>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</si>
  <si>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</si>
  <si>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</si>
  <si>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</si>
  <si>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</si>
  <si>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</si>
  <si>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</si>
  <si>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</si>
  <si>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BS残高チェック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</si>
  <si>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</si>
  <si>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</si>
  <si>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</si>
  <si>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</si>
  <si>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</si>
  <si>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</si>
  <si>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</si>
  <si>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</si>
  <si>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</si>
  <si>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</si>
  <si>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</si>
  <si>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</si>
  <si>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</si>
  <si>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</si>
  <si>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</si>
  <si>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</si>
  <si>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</si>
  <si>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</si>
  <si>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</si>
  <si>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</si>
  <si>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</si>
  <si>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</si>
  <si>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</si>
  <si>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</si>
  <si>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</si>
  <si>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</si>
  <si>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</si>
  <si>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</si>
  <si>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</si>
  <si>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</si>
  <si>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</si>
  <si>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</si>
  <si>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</si>
  <si>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</si>
  <si>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</si>
  <si>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</si>
  <si>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</si>
  <si>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</si>
  <si>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</si>
  <si>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</si>
  <si>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</si>
  <si>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</si>
  <si>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</si>
  <si>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</si>
  <si>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</si>
  <si>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</si>
  <si>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</si>
  <si>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</si>
  <si>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</si>
  <si>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</si>
  <si>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</si>
  <si>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</si>
  <si>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</si>
  <si>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</si>
  <si>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</si>
  <si>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</si>
  <si>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</si>
  <si>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</si>
  <si>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</si>
  <si>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</si>
  <si>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</si>
  <si>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</si>
  <si>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</si>
  <si>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</si>
  <si>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</si>
  <si>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</si>
  <si>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</si>
  <si>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</si>
  <si>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</si>
  <si>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</si>
  <si>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</si>
  <si>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</si>
  <si>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</si>
  <si>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</si>
  <si>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</si>
  <si>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</si>
  <si>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</si>
  <si>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</si>
  <si>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</si>
  <si>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</si>
  <si>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</si>
  <si>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</si>
  <si>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</si>
  <si>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</si>
  <si>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</si>
  <si>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</si>
  <si>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</si>
  <si>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</si>
  <si>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</si>
  <si>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</si>
  <si>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</si>
  <si>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</si>
  <si>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</si>
  <si>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</si>
  <si>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</si>
  <si>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</si>
  <si>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</si>
  <si>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</si>
  <si>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</si>
  <si>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</si>
  <si>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</si>
  <si>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</si>
  <si>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</si>
  <si>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</si>
  <si>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</si>
  <si>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</si>
  <si>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</si>
  <si>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</si>
  <si>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</si>
  <si>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</si>
  <si>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</si>
  <si>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</si>
  <si>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</si>
  <si>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</si>
  <si>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</si>
  <si>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</si>
  <si>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</si>
  <si>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</si>
  <si>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</si>
  <si>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</si>
  <si>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</si>
  <si>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</si>
  <si>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</si>
  <si>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</si>
  <si>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</si>
  <si>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</si>
  <si>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</si>
  <si>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</si>
  <si>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</si>
  <si>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</si>
  <si>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</si>
  <si>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</si>
  <si>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</si>
  <si>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</si>
  <si>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</si>
  <si>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</si>
  <si>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</si>
  <si>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</si>
  <si>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</si>
  <si>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</si>
  <si>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</si>
  <si>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</si>
  <si>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</si>
  <si>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</si>
  <si>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</si>
  <si>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</si>
  <si>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</si>
  <si>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</si>
  <si>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</si>
  <si>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</si>
  <si>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</si>
  <si>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</si>
  <si>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</si>
  <si>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</si>
  <si>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</si>
  <si>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</si>
  <si>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</si>
  <si>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</si>
  <si>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</si>
  <si>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</si>
  <si>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</si>
  <si>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</si>
  <si>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</si>
  <si>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</si>
  <si>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</si>
  <si>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</si>
  <si>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</si>
  <si>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</si>
  <si>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</si>
  <si>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</si>
  <si>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</si>
  <si>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</si>
  <si>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</si>
  <si>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</si>
  <si>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</si>
  <si>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</si>
  <si>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</si>
  <si>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</si>
  <si>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freeeで確認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</si>
  <si>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</si>
  <si>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</si>
  <si>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</si>
  <si>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</si>
  <si>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</si>
  <si>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</si>
  <si>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</si>
  <si>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</si>
  <si>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</si>
  <si>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</si>
  <si>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</si>
  <si>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</si>
  <si>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</si>
  <si>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</si>
  <si>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</si>
  <si>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</si>
  <si>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</si>
  <si>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</si>
  <si>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</si>
  <si>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</si>
  <si>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</si>
  <si>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</si>
  <si>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</si>
  <si>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</si>
  <si>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</si>
  <si>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</si>
  <si>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</si>
  <si>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</si>
  <si>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</si>
  <si>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</si>
  <si>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</si>
  <si>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</si>
  <si>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</si>
  <si>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</si>
  <si>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</si>
  <si>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</si>
  <si>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</si>
  <si>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</si>
  <si>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</si>
  <si>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</si>
  <si>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</si>
  <si>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</si>
  <si>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</si>
  <si>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</si>
  <si>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</si>
  <si>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</si>
  <si>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</si>
  <si>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</si>
  <si>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</si>
  <si>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</si>
  <si>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</si>
  <si>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</si>
  <si>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</si>
  <si>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</si>
  <si>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</si>
  <si>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</si>
  <si>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</si>
  <si>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</si>
  <si>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</si>
  <si>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</si>
  <si>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</si>
  <si>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</si>
  <si>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</si>
  <si>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</si>
  <si>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</si>
  <si>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</si>
  <si>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</si>
  <si>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</si>
  <si>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</si>
  <si>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</si>
  <si>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</si>
  <si>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</si>
  <si>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</si>
  <si>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</si>
  <si>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</si>
  <si>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</si>
  <si>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</si>
  <si>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</si>
  <si>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</si>
  <si>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</si>
  <si>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</si>
  <si>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</si>
  <si>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</si>
  <si>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</si>
  <si>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</si>
  <si>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</si>
  <si>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</si>
  <si>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</si>
  <si>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</si>
  <si>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</si>
  <si>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</si>
  <si>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</si>
  <si>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</si>
  <si>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</si>
  <si>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</si>
  <si>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</si>
  <si>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</si>
  <si>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</si>
  <si>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</si>
  <si>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</si>
  <si>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</si>
  <si>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</si>
  <si>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</si>
  <si>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</si>
  <si>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</si>
  <si>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</si>
  <si>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</si>
  <si>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</si>
  <si>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</si>
  <si>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</si>
  <si>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</si>
  <si>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</si>
  <si>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</si>
  <si>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</si>
  <si>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</si>
  <si>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</si>
  <si>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</si>
  <si>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</si>
  <si>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</si>
  <si>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</si>
  <si>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</si>
  <si>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</si>
  <si>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</si>
  <si>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</si>
  <si>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</si>
  <si>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</si>
  <si>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</si>
  <si>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</si>
  <si>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</si>
  <si>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</si>
  <si>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</si>
  <si>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</si>
  <si>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</si>
  <si>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</si>
  <si>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</si>
  <si>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</si>
  <si>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</si>
  <si>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</si>
  <si>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</si>
  <si>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</si>
  <si>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</si>
  <si>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</si>
  <si>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</si>
  <si>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</si>
  <si>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</si>
  <si>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</si>
  <si>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</si>
  <si>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</si>
  <si>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</si>
  <si>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</si>
  <si>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</si>
  <si>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</si>
  <si>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</si>
  <si>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</si>
  <si>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</si>
  <si>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</si>
  <si>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</si>
  <si>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</si>
  <si>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</si>
  <si>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</si>
  <si>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</si>
  <si>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</si>
  <si>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</si>
  <si>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</si>
  <si>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</si>
  <si>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</si>
  <si>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</si>
  <si>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</si>
  <si>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</si>
  <si>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</si>
  <si>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</si>
  <si>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</si>
  <si>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</si>
  <si>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</si>
  <si>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</si>
  <si>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</si>
  <si>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</si>
  <si>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</si>
  <si>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</si>
  <si>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</si>
  <si>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</si>
  <si>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</si>
  <si>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</si>
  <si>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</si>
  <si>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</si>
  <si>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</si>
  <si>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</si>
  <si>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</si>
  <si>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</si>
  <si>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</si>
  <si>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</si>
  <si>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意図的な混在か確認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</si>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</sst>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1" fillId="6" borderId="1" xfId="0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3" fontId="11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81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2" Type="http://schemas.openxmlformats.org/officeDocument/2006/relationships/hyperlink" Target="https://secure.freee.co.jp/reports/journals?deal_id=3441368296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6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11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11</v>
      </c>
      <c r="C20" s="13">
        <v>40</v>
      </c>
      <c r="D20" s="13">
        <v>13</v>
      </c>
      <c r="E20" s="13">
        <v>64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6" t="s">
        <v>6</v>
      </c>
    </row>
    <row r="3" spans="1:7" x14ac:dyDescent="0.25">
      <c r="A3" s="16" t="s">
        <v>13</v>
      </c>
      <c r="B3" s="16" t="s">
        <v>38</v>
      </c>
      <c r="C3" s="16" t="s">
        <v>180</v>
      </c>
      <c r="D3" s="17" t="s">
        <v>181</v>
      </c>
      <c r="E3" s="16" t="s">
        <v>182</v>
      </c>
      <c r="F3" s="17" t="s">
        <v>183</v>
      </c>
      <c r="G3" s="16" t="s">
        <v>6</v>
      </c>
    </row>
    <row r="4" spans="1:7" x14ac:dyDescent="0.25">
      <c r="A4" s="16" t="s">
        <v>13</v>
      </c>
      <c r="B4" s="16" t="s">
        <v>46</v>
      </c>
      <c r="C4" s="16" t="s">
        <v>184</v>
      </c>
      <c r="D4" s="17" t="s">
        <v>185</v>
      </c>
      <c r="E4" s="16" t="s">
        <v>186</v>
      </c>
      <c r="F4" s="17" t="s">
        <v>187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188</v>
      </c>
      <c r="D5" s="17" t="s">
        <v>189</v>
      </c>
      <c r="E5" s="16" t="s">
        <v>190</v>
      </c>
      <c r="F5" s="17" t="s">
        <v>191</v>
      </c>
      <c r="G5" s="16" t="s">
        <v>6</v>
      </c>
    </row>
    <row r="6" spans="1:7" x14ac:dyDescent="0.25">
      <c r="A6" s="16" t="s">
        <v>13</v>
      </c>
      <c r="B6" s="16" t="s">
        <v>84</v>
      </c>
      <c r="C6" s="16" t="s">
        <v>192</v>
      </c>
      <c r="D6" s="17" t="s">
        <v>193</v>
      </c>
      <c r="E6" s="16" t="s">
        <v>194</v>
      </c>
      <c r="F6" s="17" t="s">
        <v>195</v>
      </c>
      <c r="G6" s="16" t="s">
        <v>6</v>
      </c>
    </row>
    <row r="7" spans="1:7" x14ac:dyDescent="0.25">
      <c r="A7" s="16" t="s">
        <v>13</v>
      </c>
      <c r="B7" s="16" t="s">
        <v>110</v>
      </c>
      <c r="C7" s="16" t="s">
        <v>196</v>
      </c>
      <c r="D7" s="17" t="s">
        <v>197</v>
      </c>
      <c r="E7" s="16" t="s">
        <v>198</v>
      </c>
      <c r="F7" s="17" t="s">
        <v>199</v>
      </c>
      <c r="G7" s="18" t="s">
        <v>200</v>
      </c>
    </row>
    <row r="8" spans="1:7" x14ac:dyDescent="0.25">
      <c r="A8" s="16" t="s">
        <v>13</v>
      </c>
      <c r="B8" s="16" t="s">
        <v>110</v>
      </c>
      <c r="C8" s="16" t="s">
        <v>196</v>
      </c>
      <c r="D8" s="17" t="s">
        <v>201</v>
      </c>
      <c r="E8" s="16" t="s">
        <v>202</v>
      </c>
      <c r="F8" s="17" t="s">
        <v>199</v>
      </c>
      <c r="G8" s="18" t="s">
        <v>200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196</v>
      </c>
      <c r="D10" s="17" t="s">
        <v>207</v>
      </c>
      <c r="E10" s="16" t="s">
        <v>208</v>
      </c>
      <c r="F10" s="17" t="s">
        <v>199</v>
      </c>
      <c r="G10" s="18" t="s">
        <v>200</v>
      </c>
    </row>
    <row r="11" spans="1:7" x14ac:dyDescent="0.25">
      <c r="A11" s="16" t="s">
        <v>13</v>
      </c>
      <c r="B11" s="16" t="s">
        <v>110</v>
      </c>
      <c r="C11" s="16" t="s">
        <v>196</v>
      </c>
      <c r="D11" s="17" t="s">
        <v>209</v>
      </c>
      <c r="E11" s="16" t="s">
        <v>210</v>
      </c>
      <c r="F11" s="17" t="s">
        <v>199</v>
      </c>
      <c r="G11" s="18" t="s">
        <v>200</v>
      </c>
    </row>
    <row r="12" spans="1:7" x14ac:dyDescent="0.25">
      <c r="A12" s="16" t="s">
        <v>13</v>
      </c>
      <c r="B12" s="16" t="s">
        <v>110</v>
      </c>
      <c r="C12" s="16" t="s">
        <v>196</v>
      </c>
      <c r="D12" s="17" t="s">
        <v>211</v>
      </c>
      <c r="E12" s="16" t="s">
        <v>190</v>
      </c>
      <c r="F12" s="17" t="s">
        <v>199</v>
      </c>
      <c r="G12" s="18" t="s">
        <v>200</v>
      </c>
    </row>
    <row r="13" spans="1:7" x14ac:dyDescent="0.25">
      <c r="A13" s="16" t="s">
        <v>13</v>
      </c>
      <c r="B13" s="16" t="s">
        <v>110</v>
      </c>
      <c r="C13" s="16" t="s">
        <v>196</v>
      </c>
      <c r="D13" s="17" t="s">
        <v>212</v>
      </c>
      <c r="E13" s="16" t="s">
        <v>213</v>
      </c>
      <c r="F13" s="17" t="s">
        <v>199</v>
      </c>
      <c r="G13" s="18" t="s">
        <v>200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22" t="s">
        <v>214</v>
      </c>
      <c r="E14" s="14" t="s">
        <v>215</v>
      </c>
      <c r="F14" s="22" t="s">
        <v>216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22" t="s">
        <v>217</v>
      </c>
      <c r="E15" s="14" t="s">
        <v>218</v>
      </c>
      <c r="F15" s="22" t="s">
        <v>216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219</v>
      </c>
      <c r="E16" s="14" t="s">
        <v>220</v>
      </c>
      <c r="F16" s="22" t="s">
        <v>216</v>
      </c>
      <c r="G16" s="14" t="s">
        <v>6</v>
      </c>
    </row>
    <row r="17" spans="1:7" x14ac:dyDescent="0.25">
      <c r="A17" s="14" t="s">
        <v>14</v>
      </c>
      <c r="B17" s="14" t="s">
        <v>60</v>
      </c>
      <c r="C17" s="14" t="s">
        <v>221</v>
      </c>
      <c r="D17" s="22" t="s">
        <v>222</v>
      </c>
      <c r="E17" s="14" t="s">
        <v>223</v>
      </c>
      <c r="F17" s="22" t="s">
        <v>224</v>
      </c>
      <c r="G17" s="14" t="s">
        <v>6</v>
      </c>
    </row>
    <row r="18" spans="1:7" x14ac:dyDescent="0.25">
      <c r="A18" s="14" t="s">
        <v>14</v>
      </c>
      <c r="B18" s="14" t="s">
        <v>62</v>
      </c>
      <c r="C18" s="14" t="s">
        <v>221</v>
      </c>
      <c r="D18" s="22" t="s">
        <v>225</v>
      </c>
      <c r="E18" s="14" t="s">
        <v>226</v>
      </c>
      <c r="F18" s="22" t="s">
        <v>227</v>
      </c>
      <c r="G18" s="14" t="s">
        <v>6</v>
      </c>
    </row>
    <row r="19" spans="1:7" x14ac:dyDescent="0.25">
      <c r="A19" s="14" t="s">
        <v>14</v>
      </c>
      <c r="B19" s="14" t="s">
        <v>62</v>
      </c>
      <c r="C19" s="14" t="s">
        <v>221</v>
      </c>
      <c r="D19" s="22" t="s">
        <v>228</v>
      </c>
      <c r="E19" s="14" t="s">
        <v>229</v>
      </c>
      <c r="F19" s="22" t="s">
        <v>227</v>
      </c>
      <c r="G19" s="14" t="s">
        <v>6</v>
      </c>
    </row>
    <row r="20" spans="1:7" x14ac:dyDescent="0.25">
      <c r="A20" s="14" t="s">
        <v>14</v>
      </c>
      <c r="B20" s="14" t="s">
        <v>62</v>
      </c>
      <c r="C20" s="14" t="s">
        <v>221</v>
      </c>
      <c r="D20" s="22" t="s">
        <v>230</v>
      </c>
      <c r="E20" s="14" t="s">
        <v>231</v>
      </c>
      <c r="F20" s="22" t="s">
        <v>227</v>
      </c>
      <c r="G20" s="14" t="s">
        <v>6</v>
      </c>
    </row>
    <row r="21" spans="1:7" x14ac:dyDescent="0.25">
      <c r="A21" s="14" t="s">
        <v>14</v>
      </c>
      <c r="B21" s="14" t="s">
        <v>62</v>
      </c>
      <c r="C21" s="14" t="s">
        <v>221</v>
      </c>
      <c r="D21" s="22" t="s">
        <v>232</v>
      </c>
      <c r="E21" s="14" t="s">
        <v>233</v>
      </c>
      <c r="F21" s="22" t="s">
        <v>227</v>
      </c>
      <c r="G21" s="14" t="s">
        <v>6</v>
      </c>
    </row>
    <row r="22" spans="1:7" x14ac:dyDescent="0.25">
      <c r="A22" s="14" t="s">
        <v>14</v>
      </c>
      <c r="B22" s="14" t="s">
        <v>62</v>
      </c>
      <c r="C22" s="14" t="s">
        <v>221</v>
      </c>
      <c r="D22" s="22" t="s">
        <v>234</v>
      </c>
      <c r="E22" s="14" t="s">
        <v>235</v>
      </c>
      <c r="F22" s="22" t="s">
        <v>227</v>
      </c>
      <c r="G22" s="14" t="s">
        <v>6</v>
      </c>
    </row>
    <row r="23" spans="1:7" x14ac:dyDescent="0.25">
      <c r="A23" s="14" t="s">
        <v>14</v>
      </c>
      <c r="B23" s="14" t="s">
        <v>78</v>
      </c>
      <c r="C23" s="14" t="s">
        <v>236</v>
      </c>
      <c r="D23" s="22" t="s">
        <v>237</v>
      </c>
      <c r="E23" s="14" t="s">
        <v>194</v>
      </c>
      <c r="F23" s="22" t="s">
        <v>238</v>
      </c>
      <c r="G23" s="14" t="s">
        <v>6</v>
      </c>
    </row>
    <row r="24" spans="1:7" x14ac:dyDescent="0.25">
      <c r="A24" s="14" t="s">
        <v>14</v>
      </c>
      <c r="B24" s="14" t="s">
        <v>88</v>
      </c>
      <c r="C24" s="14" t="s">
        <v>192</v>
      </c>
      <c r="D24" s="22" t="s">
        <v>239</v>
      </c>
      <c r="E24" s="14" t="s">
        <v>240</v>
      </c>
      <c r="F24" s="22" t="s">
        <v>241</v>
      </c>
      <c r="G24" s="14" t="s">
        <v>6</v>
      </c>
    </row>
    <row r="25" spans="1:7" x14ac:dyDescent="0.25">
      <c r="A25" s="14" t="s">
        <v>14</v>
      </c>
      <c r="B25" s="14" t="s">
        <v>92</v>
      </c>
      <c r="C25" s="14" t="s">
        <v>242</v>
      </c>
      <c r="D25" s="22" t="s">
        <v>243</v>
      </c>
      <c r="E25" s="14" t="s">
        <v>244</v>
      </c>
      <c r="F25" s="22" t="s">
        <v>245</v>
      </c>
      <c r="G25" s="14" t="s">
        <v>6</v>
      </c>
    </row>
    <row r="26" spans="1:7" x14ac:dyDescent="0.25">
      <c r="A26" s="14" t="s">
        <v>14</v>
      </c>
      <c r="B26" s="14" t="s">
        <v>96</v>
      </c>
      <c r="C26" s="14" t="s">
        <v>246</v>
      </c>
      <c r="D26" s="22" t="s">
        <v>247</v>
      </c>
      <c r="E26" s="14" t="s">
        <v>248</v>
      </c>
      <c r="F26" s="22" t="s">
        <v>249</v>
      </c>
      <c r="G26" s="14" t="s">
        <v>6</v>
      </c>
    </row>
    <row r="27" spans="1:7" x14ac:dyDescent="0.25">
      <c r="A27" s="14" t="s">
        <v>14</v>
      </c>
      <c r="B27" s="14" t="s">
        <v>96</v>
      </c>
      <c r="C27" s="14" t="s">
        <v>246</v>
      </c>
      <c r="D27" s="22" t="s">
        <v>250</v>
      </c>
      <c r="E27" s="14" t="s">
        <v>248</v>
      </c>
      <c r="F27" s="22" t="s">
        <v>251</v>
      </c>
      <c r="G27" s="14" t="s">
        <v>6</v>
      </c>
    </row>
    <row r="28" spans="1:7" x14ac:dyDescent="0.25">
      <c r="A28" s="14" t="s">
        <v>14</v>
      </c>
      <c r="B28" s="14" t="s">
        <v>98</v>
      </c>
      <c r="C28" s="14" t="s">
        <v>246</v>
      </c>
      <c r="D28" s="22" t="s">
        <v>252</v>
      </c>
      <c r="E28" s="14" t="s">
        <v>253</v>
      </c>
      <c r="F28" s="22" t="s">
        <v>254</v>
      </c>
      <c r="G28" s="14" t="s">
        <v>6</v>
      </c>
    </row>
    <row r="29" spans="1:7" x14ac:dyDescent="0.25">
      <c r="A29" s="14" t="s">
        <v>14</v>
      </c>
      <c r="B29" s="14" t="s">
        <v>98</v>
      </c>
      <c r="C29" s="14" t="s">
        <v>246</v>
      </c>
      <c r="D29" s="22" t="s">
        <v>255</v>
      </c>
      <c r="E29" s="14" t="s">
        <v>256</v>
      </c>
      <c r="F29" s="22" t="s">
        <v>254</v>
      </c>
      <c r="G29" s="14" t="s">
        <v>6</v>
      </c>
    </row>
    <row r="30" spans="1:7" x14ac:dyDescent="0.25">
      <c r="A30" s="14" t="s">
        <v>14</v>
      </c>
      <c r="B30" s="14" t="s">
        <v>104</v>
      </c>
      <c r="C30" s="14" t="s">
        <v>257</v>
      </c>
      <c r="D30" s="22" t="s">
        <v>258</v>
      </c>
      <c r="E30" s="14" t="s">
        <v>259</v>
      </c>
      <c r="F30" s="22" t="s">
        <v>260</v>
      </c>
      <c r="G30" s="14" t="s">
        <v>6</v>
      </c>
    </row>
    <row r="31" spans="1:7" x14ac:dyDescent="0.25">
      <c r="A31" s="14" t="s">
        <v>14</v>
      </c>
      <c r="B31" s="14" t="s">
        <v>104</v>
      </c>
      <c r="C31" s="14" t="s">
        <v>257</v>
      </c>
      <c r="D31" s="22" t="s">
        <v>261</v>
      </c>
      <c r="E31" s="14" t="s">
        <v>262</v>
      </c>
      <c r="F31" s="22" t="s">
        <v>260</v>
      </c>
      <c r="G31" s="14" t="s">
        <v>6</v>
      </c>
    </row>
    <row r="32" spans="1:7" x14ac:dyDescent="0.25">
      <c r="A32" s="14" t="s">
        <v>14</v>
      </c>
      <c r="B32" s="14" t="s">
        <v>112</v>
      </c>
      <c r="C32" s="14" t="s">
        <v>196</v>
      </c>
      <c r="D32" s="22" t="s">
        <v>263</v>
      </c>
      <c r="E32" s="14" t="s">
        <v>264</v>
      </c>
      <c r="F32" s="22" t="s">
        <v>265</v>
      </c>
      <c r="G32" s="23" t="s">
        <v>200</v>
      </c>
    </row>
    <row r="33" spans="1:7" x14ac:dyDescent="0.25">
      <c r="A33" s="19" t="s">
        <v>6</v>
      </c>
      <c r="B33" s="19" t="s">
        <v>6</v>
      </c>
      <c r="C33" s="19" t="s">
        <v>6</v>
      </c>
      <c r="D33" s="20" t="s">
        <v>266</v>
      </c>
      <c r="E33" s="19" t="s">
        <v>267</v>
      </c>
      <c r="F33" s="20" t="s">
        <v>6</v>
      </c>
      <c r="G33" s="21" t="s">
        <v>206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268</v>
      </c>
      <c r="E34" s="19" t="s">
        <v>269</v>
      </c>
      <c r="F34" s="20" t="s">
        <v>6</v>
      </c>
      <c r="G34" s="21" t="s">
        <v>206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270</v>
      </c>
      <c r="E35" s="19" t="s">
        <v>271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272</v>
      </c>
      <c r="E36" s="19" t="s">
        <v>273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274</v>
      </c>
      <c r="E37" s="19" t="s">
        <v>275</v>
      </c>
      <c r="F37" s="20" t="s">
        <v>6</v>
      </c>
      <c r="G37" s="21" t="s">
        <v>206</v>
      </c>
    </row>
    <row r="38" spans="1:7" x14ac:dyDescent="0.25">
      <c r="A38" s="14" t="s">
        <v>14</v>
      </c>
      <c r="B38" s="14" t="s">
        <v>112</v>
      </c>
      <c r="C38" s="14" t="s">
        <v>196</v>
      </c>
      <c r="D38" s="22" t="s">
        <v>276</v>
      </c>
      <c r="E38" s="14" t="s">
        <v>277</v>
      </c>
      <c r="F38" s="22" t="s">
        <v>265</v>
      </c>
      <c r="G38" s="23" t="s">
        <v>200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266</v>
      </c>
      <c r="E39" s="19" t="s">
        <v>278</v>
      </c>
      <c r="F39" s="20" t="s">
        <v>6</v>
      </c>
      <c r="G39" s="21" t="s">
        <v>206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279</v>
      </c>
      <c r="E40" s="19" t="s">
        <v>280</v>
      </c>
      <c r="F40" s="20" t="s">
        <v>6</v>
      </c>
      <c r="G40" s="21" t="s">
        <v>206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281</v>
      </c>
      <c r="E41" s="19" t="s">
        <v>282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283</v>
      </c>
      <c r="E42" s="19" t="s">
        <v>284</v>
      </c>
      <c r="F42" s="20" t="s">
        <v>6</v>
      </c>
      <c r="G42" s="21" t="s">
        <v>206</v>
      </c>
    </row>
    <row r="43" spans="1:7" x14ac:dyDescent="0.25">
      <c r="A43" s="14" t="s">
        <v>14</v>
      </c>
      <c r="B43" s="14" t="s">
        <v>112</v>
      </c>
      <c r="C43" s="14" t="s">
        <v>196</v>
      </c>
      <c r="D43" s="22" t="s">
        <v>285</v>
      </c>
      <c r="E43" s="14" t="s">
        <v>286</v>
      </c>
      <c r="F43" s="22" t="s">
        <v>265</v>
      </c>
      <c r="G43" s="23" t="s">
        <v>200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266</v>
      </c>
      <c r="E44" s="19" t="s">
        <v>287</v>
      </c>
      <c r="F44" s="20" t="s">
        <v>6</v>
      </c>
      <c r="G44" s="21" t="s">
        <v>206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288</v>
      </c>
      <c r="E45" s="19" t="s">
        <v>289</v>
      </c>
      <c r="F45" s="20" t="s">
        <v>6</v>
      </c>
      <c r="G45" s="21" t="s">
        <v>206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290</v>
      </c>
      <c r="E46" s="19" t="s">
        <v>291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292</v>
      </c>
      <c r="E47" s="19" t="s">
        <v>293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274</v>
      </c>
      <c r="E48" s="19" t="s">
        <v>294</v>
      </c>
      <c r="F48" s="20" t="s">
        <v>6</v>
      </c>
      <c r="G48" s="21" t="s">
        <v>206</v>
      </c>
    </row>
    <row r="49" spans="1:7" x14ac:dyDescent="0.25">
      <c r="A49" s="14" t="s">
        <v>14</v>
      </c>
      <c r="B49" s="14" t="s">
        <v>112</v>
      </c>
      <c r="C49" s="14" t="s">
        <v>196</v>
      </c>
      <c r="D49" s="22" t="s">
        <v>295</v>
      </c>
      <c r="E49" s="14" t="s">
        <v>296</v>
      </c>
      <c r="F49" s="22" t="s">
        <v>265</v>
      </c>
      <c r="G49" s="23" t="s">
        <v>200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297</v>
      </c>
      <c r="E50" s="19" t="s">
        <v>298</v>
      </c>
      <c r="F50" s="20" t="s">
        <v>6</v>
      </c>
      <c r="G50" s="21" t="s">
        <v>206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299</v>
      </c>
      <c r="E51" s="19" t="s">
        <v>300</v>
      </c>
      <c r="F51" s="20" t="s">
        <v>6</v>
      </c>
      <c r="G51" s="21" t="s">
        <v>206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301</v>
      </c>
      <c r="E52" s="19" t="s">
        <v>302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303</v>
      </c>
      <c r="E53" s="19" t="s">
        <v>304</v>
      </c>
      <c r="F53" s="20" t="s">
        <v>6</v>
      </c>
      <c r="G53" s="21" t="s">
        <v>206</v>
      </c>
    </row>
    <row r="54" spans="1:7" x14ac:dyDescent="0.25">
      <c r="A54" s="14" t="s">
        <v>14</v>
      </c>
      <c r="B54" s="14" t="s">
        <v>112</v>
      </c>
      <c r="C54" s="14" t="s">
        <v>196</v>
      </c>
      <c r="D54" s="22" t="s">
        <v>305</v>
      </c>
      <c r="E54" s="14" t="s">
        <v>306</v>
      </c>
      <c r="F54" s="22" t="s">
        <v>265</v>
      </c>
      <c r="G54" s="23" t="s">
        <v>200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266</v>
      </c>
      <c r="E55" s="19" t="s">
        <v>307</v>
      </c>
      <c r="F55" s="20" t="s">
        <v>6</v>
      </c>
      <c r="G55" s="21" t="s">
        <v>206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308</v>
      </c>
      <c r="E56" s="19" t="s">
        <v>309</v>
      </c>
      <c r="F56" s="20" t="s">
        <v>6</v>
      </c>
      <c r="G56" s="21" t="s">
        <v>206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310</v>
      </c>
      <c r="E57" s="19" t="s">
        <v>311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312</v>
      </c>
      <c r="E58" s="19" t="s">
        <v>313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314</v>
      </c>
      <c r="E59" s="19" t="s">
        <v>315</v>
      </c>
      <c r="F59" s="20" t="s">
        <v>6</v>
      </c>
      <c r="G59" s="21" t="s">
        <v>206</v>
      </c>
    </row>
    <row r="60" spans="1:7" x14ac:dyDescent="0.25">
      <c r="A60" s="14" t="s">
        <v>14</v>
      </c>
      <c r="B60" s="14" t="s">
        <v>112</v>
      </c>
      <c r="C60" s="14" t="s">
        <v>196</v>
      </c>
      <c r="D60" s="22" t="s">
        <v>316</v>
      </c>
      <c r="E60" s="14" t="s">
        <v>317</v>
      </c>
      <c r="F60" s="22" t="s">
        <v>265</v>
      </c>
      <c r="G60" s="23" t="s">
        <v>200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310</v>
      </c>
      <c r="E61" s="19" t="s">
        <v>318</v>
      </c>
      <c r="F61" s="20" t="s">
        <v>6</v>
      </c>
      <c r="G61" s="21" t="s">
        <v>206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308</v>
      </c>
      <c r="E62" s="19" t="s">
        <v>319</v>
      </c>
      <c r="F62" s="20" t="s">
        <v>6</v>
      </c>
      <c r="G62" s="21" t="s">
        <v>206</v>
      </c>
    </row>
    <row r="63" spans="1:7" x14ac:dyDescent="0.25">
      <c r="A63" s="14" t="s">
        <v>14</v>
      </c>
      <c r="B63" s="14" t="s">
        <v>112</v>
      </c>
      <c r="C63" s="14" t="s">
        <v>196</v>
      </c>
      <c r="D63" s="22" t="s">
        <v>320</v>
      </c>
      <c r="E63" s="14" t="s">
        <v>321</v>
      </c>
      <c r="F63" s="22" t="s">
        <v>265</v>
      </c>
      <c r="G63" s="23" t="s">
        <v>200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281</v>
      </c>
      <c r="E64" s="19" t="s">
        <v>322</v>
      </c>
      <c r="F64" s="20" t="s">
        <v>6</v>
      </c>
      <c r="G64" s="21" t="s">
        <v>206</v>
      </c>
    </row>
    <row r="65" spans="1:7" x14ac:dyDescent="0.25">
      <c r="A65" s="19" t="s">
        <v>6</v>
      </c>
      <c r="B65" s="19" t="s">
        <v>6</v>
      </c>
      <c r="C65" s="19" t="s">
        <v>6</v>
      </c>
      <c r="D65" s="20" t="s">
        <v>272</v>
      </c>
      <c r="E65" s="19" t="s">
        <v>322</v>
      </c>
      <c r="F65" s="20" t="s">
        <v>6</v>
      </c>
      <c r="G65" s="21" t="s">
        <v>206</v>
      </c>
    </row>
    <row r="66" spans="1:7" x14ac:dyDescent="0.25">
      <c r="A66" s="14" t="s">
        <v>14</v>
      </c>
      <c r="B66" s="14" t="s">
        <v>112</v>
      </c>
      <c r="C66" s="14" t="s">
        <v>196</v>
      </c>
      <c r="D66" s="22" t="s">
        <v>323</v>
      </c>
      <c r="E66" s="14" t="s">
        <v>324</v>
      </c>
      <c r="F66" s="22" t="s">
        <v>265</v>
      </c>
      <c r="G66" s="23" t="s">
        <v>200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270</v>
      </c>
      <c r="E67" s="19" t="s">
        <v>325</v>
      </c>
      <c r="F67" s="20" t="s">
        <v>6</v>
      </c>
      <c r="G67" s="21" t="s">
        <v>206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326</v>
      </c>
      <c r="E68" s="19" t="s">
        <v>327</v>
      </c>
      <c r="F68" s="20" t="s">
        <v>6</v>
      </c>
      <c r="G68" s="21" t="s">
        <v>206</v>
      </c>
    </row>
    <row r="69" spans="1:7" x14ac:dyDescent="0.25">
      <c r="A69" s="14" t="s">
        <v>14</v>
      </c>
      <c r="B69" s="14" t="s">
        <v>112</v>
      </c>
      <c r="C69" s="14" t="s">
        <v>196</v>
      </c>
      <c r="D69" s="22" t="s">
        <v>328</v>
      </c>
      <c r="E69" s="14" t="s">
        <v>329</v>
      </c>
      <c r="F69" s="22" t="s">
        <v>265</v>
      </c>
      <c r="G69" s="23" t="s">
        <v>200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266</v>
      </c>
      <c r="E70" s="19" t="s">
        <v>330</v>
      </c>
      <c r="F70" s="20" t="s">
        <v>6</v>
      </c>
      <c r="G70" s="21" t="s">
        <v>206</v>
      </c>
    </row>
    <row r="71" spans="1:7" x14ac:dyDescent="0.25">
      <c r="A71" s="19" t="s">
        <v>6</v>
      </c>
      <c r="B71" s="19" t="s">
        <v>6</v>
      </c>
      <c r="C71" s="19" t="s">
        <v>6</v>
      </c>
      <c r="D71" s="20" t="s">
        <v>331</v>
      </c>
      <c r="E71" s="19" t="s">
        <v>332</v>
      </c>
      <c r="F71" s="20" t="s">
        <v>6</v>
      </c>
      <c r="G71" s="21" t="s">
        <v>206</v>
      </c>
    </row>
    <row r="72" spans="1:7" x14ac:dyDescent="0.25">
      <c r="A72" s="14" t="s">
        <v>14</v>
      </c>
      <c r="B72" s="14" t="s">
        <v>112</v>
      </c>
      <c r="C72" s="14" t="s">
        <v>196</v>
      </c>
      <c r="D72" s="22" t="s">
        <v>333</v>
      </c>
      <c r="E72" s="14" t="s">
        <v>334</v>
      </c>
      <c r="F72" s="22" t="s">
        <v>265</v>
      </c>
      <c r="G72" s="23" t="s">
        <v>200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335</v>
      </c>
      <c r="E73" s="19" t="s">
        <v>336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196</v>
      </c>
      <c r="D74" s="22" t="s">
        <v>337</v>
      </c>
      <c r="E74" s="14" t="s">
        <v>338</v>
      </c>
      <c r="F74" s="22" t="s">
        <v>265</v>
      </c>
      <c r="G74" s="23" t="s">
        <v>200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266</v>
      </c>
      <c r="E75" s="19" t="s">
        <v>339</v>
      </c>
      <c r="F75" s="20" t="s">
        <v>6</v>
      </c>
      <c r="G75" s="21" t="s">
        <v>206</v>
      </c>
    </row>
    <row r="76" spans="1:7" x14ac:dyDescent="0.25">
      <c r="A76" s="19" t="s">
        <v>6</v>
      </c>
      <c r="B76" s="19" t="s">
        <v>6</v>
      </c>
      <c r="C76" s="19" t="s">
        <v>6</v>
      </c>
      <c r="D76" s="20" t="s">
        <v>340</v>
      </c>
      <c r="E76" s="19" t="s">
        <v>341</v>
      </c>
      <c r="F76" s="20" t="s">
        <v>6</v>
      </c>
      <c r="G76" s="21" t="s">
        <v>206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297</v>
      </c>
      <c r="E77" s="19" t="s">
        <v>342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343</v>
      </c>
      <c r="E78" s="19" t="s">
        <v>344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345</v>
      </c>
      <c r="E79" s="19" t="s">
        <v>346</v>
      </c>
      <c r="F79" s="20" t="s">
        <v>6</v>
      </c>
      <c r="G79" s="21" t="s">
        <v>206</v>
      </c>
    </row>
    <row r="80" spans="1:7" x14ac:dyDescent="0.25">
      <c r="A80" s="14" t="s">
        <v>14</v>
      </c>
      <c r="B80" s="14" t="s">
        <v>112</v>
      </c>
      <c r="C80" s="14" t="s">
        <v>196</v>
      </c>
      <c r="D80" s="22" t="s">
        <v>347</v>
      </c>
      <c r="E80" s="14" t="s">
        <v>348</v>
      </c>
      <c r="F80" s="22" t="s">
        <v>265</v>
      </c>
      <c r="G80" s="23" t="s">
        <v>200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266</v>
      </c>
      <c r="E81" s="19" t="s">
        <v>349</v>
      </c>
      <c r="F81" s="20" t="s">
        <v>6</v>
      </c>
      <c r="G81" s="21" t="s">
        <v>206</v>
      </c>
    </row>
    <row r="82" spans="1:7" x14ac:dyDescent="0.25">
      <c r="A82" s="19" t="s">
        <v>6</v>
      </c>
      <c r="B82" s="19" t="s">
        <v>6</v>
      </c>
      <c r="C82" s="19" t="s">
        <v>6</v>
      </c>
      <c r="D82" s="20" t="s">
        <v>350</v>
      </c>
      <c r="E82" s="19" t="s">
        <v>351</v>
      </c>
      <c r="F82" s="20" t="s">
        <v>6</v>
      </c>
      <c r="G82" s="21" t="s">
        <v>206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352</v>
      </c>
      <c r="E83" s="19" t="s">
        <v>353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303</v>
      </c>
      <c r="E84" s="19" t="s">
        <v>354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355</v>
      </c>
      <c r="E85" s="19" t="s">
        <v>356</v>
      </c>
      <c r="F85" s="20" t="s">
        <v>6</v>
      </c>
      <c r="G85" s="21" t="s">
        <v>206</v>
      </c>
    </row>
    <row r="86" spans="1:7" x14ac:dyDescent="0.25">
      <c r="A86" s="14" t="s">
        <v>14</v>
      </c>
      <c r="B86" s="14" t="s">
        <v>112</v>
      </c>
      <c r="C86" s="14" t="s">
        <v>196</v>
      </c>
      <c r="D86" s="22" t="s">
        <v>357</v>
      </c>
      <c r="E86" s="14" t="s">
        <v>358</v>
      </c>
      <c r="F86" s="22" t="s">
        <v>265</v>
      </c>
      <c r="G86" s="23" t="s">
        <v>200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359</v>
      </c>
      <c r="E87" s="19" t="s">
        <v>360</v>
      </c>
      <c r="F87" s="20" t="s">
        <v>6</v>
      </c>
      <c r="G87" s="21" t="s">
        <v>206</v>
      </c>
    </row>
    <row r="88" spans="1:7" x14ac:dyDescent="0.25">
      <c r="A88" s="19" t="s">
        <v>6</v>
      </c>
      <c r="B88" s="19" t="s">
        <v>6</v>
      </c>
      <c r="C88" s="19" t="s">
        <v>6</v>
      </c>
      <c r="D88" s="20" t="s">
        <v>288</v>
      </c>
      <c r="E88" s="19" t="s">
        <v>361</v>
      </c>
      <c r="F88" s="20" t="s">
        <v>6</v>
      </c>
      <c r="G88" s="21" t="s">
        <v>206</v>
      </c>
    </row>
    <row r="89" spans="1:7" x14ac:dyDescent="0.25">
      <c r="A89" s="14" t="s">
        <v>14</v>
      </c>
      <c r="B89" s="14" t="s">
        <v>112</v>
      </c>
      <c r="C89" s="14" t="s">
        <v>196</v>
      </c>
      <c r="D89" s="22" t="s">
        <v>362</v>
      </c>
      <c r="E89" s="14" t="s">
        <v>363</v>
      </c>
      <c r="F89" s="22" t="s">
        <v>265</v>
      </c>
      <c r="G89" s="23" t="s">
        <v>200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274</v>
      </c>
      <c r="E90" s="19" t="s">
        <v>364</v>
      </c>
      <c r="F90" s="20" t="s">
        <v>6</v>
      </c>
      <c r="G90" s="21" t="s">
        <v>206</v>
      </c>
    </row>
    <row r="91" spans="1:7" x14ac:dyDescent="0.25">
      <c r="A91" s="19" t="s">
        <v>6</v>
      </c>
      <c r="B91" s="19" t="s">
        <v>6</v>
      </c>
      <c r="C91" s="19" t="s">
        <v>6</v>
      </c>
      <c r="D91" s="20" t="s">
        <v>281</v>
      </c>
      <c r="E91" s="19" t="s">
        <v>365</v>
      </c>
      <c r="F91" s="20" t="s">
        <v>6</v>
      </c>
      <c r="G91" s="21" t="s">
        <v>206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272</v>
      </c>
      <c r="E92" s="19" t="s">
        <v>366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266</v>
      </c>
      <c r="E93" s="19" t="s">
        <v>367</v>
      </c>
      <c r="F93" s="20" t="s">
        <v>6</v>
      </c>
      <c r="G93" s="21" t="s">
        <v>206</v>
      </c>
    </row>
    <row r="94" spans="1:7" x14ac:dyDescent="0.25">
      <c r="A94" s="14" t="s">
        <v>14</v>
      </c>
      <c r="B94" s="14" t="s">
        <v>114</v>
      </c>
      <c r="C94" s="14" t="s">
        <v>196</v>
      </c>
      <c r="D94" s="22" t="s">
        <v>368</v>
      </c>
      <c r="E94" s="14" t="s">
        <v>336</v>
      </c>
      <c r="F94" s="22" t="s">
        <v>369</v>
      </c>
      <c r="G94" s="23" t="s">
        <v>200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370</v>
      </c>
      <c r="E95" s="19" t="s">
        <v>336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116</v>
      </c>
      <c r="C96" s="14" t="s">
        <v>196</v>
      </c>
      <c r="D96" s="22" t="s">
        <v>371</v>
      </c>
      <c r="E96" s="14" t="s">
        <v>372</v>
      </c>
      <c r="F96" s="22" t="s">
        <v>373</v>
      </c>
      <c r="G96" s="23" t="s">
        <v>200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374</v>
      </c>
      <c r="E97" s="19" t="s">
        <v>375</v>
      </c>
      <c r="F97" s="20" t="s">
        <v>205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196</v>
      </c>
      <c r="D98" s="22" t="s">
        <v>376</v>
      </c>
      <c r="E98" s="14" t="s">
        <v>377</v>
      </c>
      <c r="F98" s="22" t="s">
        <v>373</v>
      </c>
      <c r="G98" s="23" t="s">
        <v>200</v>
      </c>
    </row>
    <row r="99" spans="1:7" x14ac:dyDescent="0.25">
      <c r="A99" s="14" t="s">
        <v>14</v>
      </c>
      <c r="B99" s="14" t="s">
        <v>120</v>
      </c>
      <c r="C99" s="14" t="s">
        <v>378</v>
      </c>
      <c r="D99" s="22" t="s">
        <v>379</v>
      </c>
      <c r="E99" s="14" t="s">
        <v>296</v>
      </c>
      <c r="F99" s="22" t="s">
        <v>380</v>
      </c>
      <c r="G99" s="23" t="s">
        <v>200</v>
      </c>
    </row>
    <row r="100" spans="1:7" x14ac:dyDescent="0.25">
      <c r="A100" s="19" t="s">
        <v>6</v>
      </c>
      <c r="B100" s="19" t="s">
        <v>6</v>
      </c>
      <c r="C100" s="19" t="s">
        <v>6</v>
      </c>
      <c r="D100" s="20" t="s">
        <v>370</v>
      </c>
      <c r="E100" s="19" t="s">
        <v>381</v>
      </c>
      <c r="F100" s="20" t="s">
        <v>6</v>
      </c>
      <c r="G100" s="21" t="s">
        <v>206</v>
      </c>
    </row>
    <row r="101" spans="1:7" x14ac:dyDescent="0.25">
      <c r="A101" s="14" t="s">
        <v>14</v>
      </c>
      <c r="B101" s="14" t="s">
        <v>126</v>
      </c>
      <c r="C101" s="14" t="s">
        <v>378</v>
      </c>
      <c r="D101" s="22" t="s">
        <v>382</v>
      </c>
      <c r="E101" s="14" t="s">
        <v>383</v>
      </c>
      <c r="F101" s="22" t="s">
        <v>384</v>
      </c>
      <c r="G101" s="23" t="s">
        <v>200</v>
      </c>
    </row>
    <row r="102" spans="1:7" x14ac:dyDescent="0.25">
      <c r="A102" s="14" t="s">
        <v>14</v>
      </c>
      <c r="B102" s="14" t="s">
        <v>126</v>
      </c>
      <c r="C102" s="14" t="s">
        <v>378</v>
      </c>
      <c r="D102" s="22" t="s">
        <v>385</v>
      </c>
      <c r="E102" s="14" t="s">
        <v>383</v>
      </c>
      <c r="F102" s="22" t="s">
        <v>386</v>
      </c>
      <c r="G102" s="23" t="s">
        <v>200</v>
      </c>
    </row>
    <row r="103" spans="1:7" x14ac:dyDescent="0.25">
      <c r="A103" s="14" t="s">
        <v>14</v>
      </c>
      <c r="B103" s="14" t="s">
        <v>126</v>
      </c>
      <c r="C103" s="14" t="s">
        <v>378</v>
      </c>
      <c r="D103" s="22" t="s">
        <v>387</v>
      </c>
      <c r="E103" s="14" t="s">
        <v>383</v>
      </c>
      <c r="F103" s="22" t="s">
        <v>388</v>
      </c>
      <c r="G103" s="23" t="s">
        <v>200</v>
      </c>
    </row>
    <row r="104" spans="1:7" x14ac:dyDescent="0.25">
      <c r="A104" s="14" t="s">
        <v>14</v>
      </c>
      <c r="B104" s="14" t="s">
        <v>146</v>
      </c>
      <c r="C104" s="14" t="s">
        <v>389</v>
      </c>
      <c r="D104" s="22" t="s">
        <v>390</v>
      </c>
      <c r="E104" s="14" t="s">
        <v>391</v>
      </c>
      <c r="F104" s="22" t="s">
        <v>392</v>
      </c>
      <c r="G104" s="23" t="s">
        <v>200</v>
      </c>
    </row>
    <row r="105" spans="1:7" x14ac:dyDescent="0.25">
      <c r="A105" s="24" t="s">
        <v>15</v>
      </c>
      <c r="B105" s="24" t="s">
        <v>54</v>
      </c>
      <c r="C105" s="24" t="s">
        <v>184</v>
      </c>
      <c r="D105" s="25" t="s">
        <v>393</v>
      </c>
      <c r="E105" s="24" t="s">
        <v>394</v>
      </c>
      <c r="F105" s="25" t="s">
        <v>395</v>
      </c>
      <c r="G105" s="24" t="s">
        <v>6</v>
      </c>
    </row>
    <row r="106" spans="1:7" x14ac:dyDescent="0.25">
      <c r="A106" s="24" t="s">
        <v>15</v>
      </c>
      <c r="B106" s="24" t="s">
        <v>56</v>
      </c>
      <c r="C106" s="24" t="s">
        <v>184</v>
      </c>
      <c r="D106" s="25" t="s">
        <v>396</v>
      </c>
      <c r="E106" s="24" t="s">
        <v>397</v>
      </c>
      <c r="F106" s="25" t="s">
        <v>398</v>
      </c>
      <c r="G106" s="24" t="s">
        <v>6</v>
      </c>
    </row>
    <row r="107" spans="1:7" x14ac:dyDescent="0.25">
      <c r="A107" s="24" t="s">
        <v>15</v>
      </c>
      <c r="B107" s="24" t="s">
        <v>90</v>
      </c>
      <c r="C107" s="24" t="s">
        <v>192</v>
      </c>
      <c r="D107" s="25" t="s">
        <v>399</v>
      </c>
      <c r="E107" s="24" t="s">
        <v>194</v>
      </c>
      <c r="F107" s="25" t="s">
        <v>400</v>
      </c>
      <c r="G107" s="24" t="s">
        <v>6</v>
      </c>
    </row>
    <row r="108" spans="1:7" x14ac:dyDescent="0.25">
      <c r="A108" s="24" t="s">
        <v>15</v>
      </c>
      <c r="B108" s="24" t="s">
        <v>108</v>
      </c>
      <c r="C108" s="24" t="s">
        <v>257</v>
      </c>
      <c r="D108" s="25" t="s">
        <v>401</v>
      </c>
      <c r="E108" s="24" t="s">
        <v>402</v>
      </c>
      <c r="F108" s="25" t="s">
        <v>403</v>
      </c>
      <c r="G108" s="24" t="s">
        <v>6</v>
      </c>
    </row>
    <row r="109" spans="1:7" x14ac:dyDescent="0.25">
      <c r="A109" s="24" t="s">
        <v>15</v>
      </c>
      <c r="B109" s="24" t="s">
        <v>108</v>
      </c>
      <c r="C109" s="24" t="s">
        <v>257</v>
      </c>
      <c r="D109" s="25" t="s">
        <v>404</v>
      </c>
      <c r="E109" s="24" t="s">
        <v>405</v>
      </c>
      <c r="F109" s="25" t="s">
        <v>403</v>
      </c>
      <c r="G109" s="24" t="s">
        <v>6</v>
      </c>
    </row>
    <row r="110" spans="1:7" x14ac:dyDescent="0.25">
      <c r="A110" s="24" t="s">
        <v>15</v>
      </c>
      <c r="B110" s="24" t="s">
        <v>108</v>
      </c>
      <c r="C110" s="24" t="s">
        <v>257</v>
      </c>
      <c r="D110" s="25" t="s">
        <v>406</v>
      </c>
      <c r="E110" s="24" t="s">
        <v>407</v>
      </c>
      <c r="F110" s="25" t="s">
        <v>403</v>
      </c>
      <c r="G110" s="24" t="s">
        <v>6</v>
      </c>
    </row>
    <row r="111" spans="1:7" x14ac:dyDescent="0.25">
      <c r="A111" s="24" t="s">
        <v>15</v>
      </c>
      <c r="B111" s="24" t="s">
        <v>108</v>
      </c>
      <c r="C111" s="24" t="s">
        <v>257</v>
      </c>
      <c r="D111" s="25" t="s">
        <v>408</v>
      </c>
      <c r="E111" s="24" t="s">
        <v>409</v>
      </c>
      <c r="F111" s="25" t="s">
        <v>403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257</v>
      </c>
      <c r="D112" s="25" t="s">
        <v>410</v>
      </c>
      <c r="E112" s="24" t="s">
        <v>411</v>
      </c>
      <c r="F112" s="25" t="s">
        <v>403</v>
      </c>
      <c r="G112" s="24" t="s">
        <v>6</v>
      </c>
    </row>
    <row r="113" spans="1:7" x14ac:dyDescent="0.25">
      <c r="A113" s="24" t="s">
        <v>15</v>
      </c>
      <c r="B113" s="24" t="s">
        <v>118</v>
      </c>
      <c r="C113" s="24" t="s">
        <v>196</v>
      </c>
      <c r="D113" s="25" t="s">
        <v>412</v>
      </c>
      <c r="E113" s="24" t="s">
        <v>186</v>
      </c>
      <c r="F113" s="25" t="s">
        <v>369</v>
      </c>
      <c r="G113" s="26" t="s">
        <v>200</v>
      </c>
    </row>
    <row r="114" spans="1:7" x14ac:dyDescent="0.25">
      <c r="A114" s="19" t="s">
        <v>6</v>
      </c>
      <c r="B114" s="19" t="s">
        <v>6</v>
      </c>
      <c r="C114" s="19" t="s">
        <v>6</v>
      </c>
      <c r="D114" s="20" t="s">
        <v>374</v>
      </c>
      <c r="E114" s="19" t="s">
        <v>375</v>
      </c>
      <c r="F114" s="20" t="s">
        <v>205</v>
      </c>
      <c r="G114" s="21" t="s">
        <v>206</v>
      </c>
    </row>
    <row r="115" spans="1:7" x14ac:dyDescent="0.25">
      <c r="A115" s="24" t="s">
        <v>15</v>
      </c>
      <c r="B115" s="24" t="s">
        <v>128</v>
      </c>
      <c r="C115" s="24" t="s">
        <v>378</v>
      </c>
      <c r="D115" s="25" t="s">
        <v>413</v>
      </c>
      <c r="E115" s="24" t="s">
        <v>414</v>
      </c>
      <c r="F115" s="25" t="s">
        <v>415</v>
      </c>
      <c r="G115" s="26" t="s">
        <v>200</v>
      </c>
    </row>
    <row r="116" spans="1:7" x14ac:dyDescent="0.25">
      <c r="A116" s="24" t="s">
        <v>15</v>
      </c>
      <c r="B116" s="24" t="s">
        <v>128</v>
      </c>
      <c r="C116" s="24" t="s">
        <v>378</v>
      </c>
      <c r="D116" s="25" t="s">
        <v>416</v>
      </c>
      <c r="E116" s="24" t="s">
        <v>417</v>
      </c>
      <c r="F116" s="25" t="s">
        <v>415</v>
      </c>
      <c r="G116" s="26" t="s">
        <v>200</v>
      </c>
    </row>
    <row r="117" spans="1:7" x14ac:dyDescent="0.25">
      <c r="A117" s="24" t="s">
        <v>15</v>
      </c>
      <c r="B117" s="24" t="s">
        <v>128</v>
      </c>
      <c r="C117" s="24" t="s">
        <v>378</v>
      </c>
      <c r="D117" s="25" t="s">
        <v>418</v>
      </c>
      <c r="E117" s="24" t="s">
        <v>419</v>
      </c>
      <c r="F117" s="25" t="s">
        <v>415</v>
      </c>
      <c r="G117" s="26" t="s">
        <v>200</v>
      </c>
    </row>
    <row r="118" spans="1:7" x14ac:dyDescent="0.25">
      <c r="A118" s="24" t="s">
        <v>15</v>
      </c>
      <c r="B118" s="24" t="s">
        <v>128</v>
      </c>
      <c r="C118" s="24" t="s">
        <v>378</v>
      </c>
      <c r="D118" s="25" t="s">
        <v>420</v>
      </c>
      <c r="E118" s="24" t="s">
        <v>421</v>
      </c>
      <c r="F118" s="25" t="s">
        <v>415</v>
      </c>
      <c r="G118" s="26" t="s">
        <v>200</v>
      </c>
    </row>
  </sheetData>
  <autoFilter ref="A1:G118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04" r:id="rId80"/>
    <hyperlink ref="G113" r:id="rId81"/>
    <hyperlink ref="G114" r:id="rId82"/>
    <hyperlink ref="G115" r:id="rId83"/>
    <hyperlink ref="G116" r:id="rId84"/>
    <hyperlink ref="G117" r:id="rId85"/>
    <hyperlink ref="G118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422</v>
      </c>
      <c r="B1" s="5" t="s">
        <v>423</v>
      </c>
      <c r="C1" s="5" t="s">
        <v>424</v>
      </c>
      <c r="D1" s="5" t="s">
        <v>425</v>
      </c>
      <c r="E1" s="5" t="s">
        <v>426</v>
      </c>
      <c r="F1" s="5" t="s">
        <v>427</v>
      </c>
      <c r="G1" s="5" t="s">
        <v>428</v>
      </c>
    </row>
    <row r="2" spans="1:7" x14ac:dyDescent="0.25">
      <c r="A2" s="10" t="s">
        <v>429</v>
      </c>
      <c r="B2" s="27">
        <v>25471581</v>
      </c>
      <c r="C2" s="27">
        <v>22964730</v>
      </c>
      <c r="D2" s="27">
        <v>2506851</v>
      </c>
      <c r="E2" s="28" t="s">
        <v>430</v>
      </c>
      <c r="F2" s="10" t="s">
        <v>6</v>
      </c>
      <c r="G2" s="29" t="s">
        <v>431</v>
      </c>
    </row>
    <row r="3" spans="1:7" x14ac:dyDescent="0.25">
      <c r="A3" s="10" t="s">
        <v>432</v>
      </c>
      <c r="B3" s="27">
        <v>1031441</v>
      </c>
      <c r="C3" s="27">
        <v>1031441</v>
      </c>
      <c r="D3" s="27">
        <v>0</v>
      </c>
      <c r="E3" s="28" t="s">
        <v>433</v>
      </c>
      <c r="F3" s="10" t="s">
        <v>6</v>
      </c>
      <c r="G3" s="29" t="s">
        <v>431</v>
      </c>
    </row>
    <row r="4" spans="1:7" x14ac:dyDescent="0.25">
      <c r="A4" s="10" t="s">
        <v>434</v>
      </c>
      <c r="B4" s="27">
        <v>310384</v>
      </c>
      <c r="C4" s="27">
        <v>310384</v>
      </c>
      <c r="D4" s="27">
        <v>0</v>
      </c>
      <c r="E4" s="28" t="s">
        <v>433</v>
      </c>
      <c r="F4" s="10" t="s">
        <v>6</v>
      </c>
      <c r="G4" s="29" t="s">
        <v>431</v>
      </c>
    </row>
    <row r="5" spans="1:7" x14ac:dyDescent="0.25">
      <c r="A5" s="10" t="s">
        <v>435</v>
      </c>
      <c r="B5" s="30">
        <v>-350413</v>
      </c>
      <c r="C5" s="27">
        <v>-350413</v>
      </c>
      <c r="D5" s="27">
        <v>0</v>
      </c>
      <c r="E5" s="28" t="s">
        <v>433</v>
      </c>
      <c r="F5" s="10" t="s">
        <v>30</v>
      </c>
      <c r="G5" s="29" t="s">
        <v>431</v>
      </c>
    </row>
    <row r="6" spans="1:7" x14ac:dyDescent="0.25">
      <c r="A6" s="10" t="s">
        <v>436</v>
      </c>
      <c r="B6" s="27">
        <v>19045379</v>
      </c>
      <c r="C6" s="27">
        <v>17263679</v>
      </c>
      <c r="D6" s="27">
        <v>1781700</v>
      </c>
      <c r="E6" s="28" t="s">
        <v>437</v>
      </c>
      <c r="F6" s="10" t="s">
        <v>6</v>
      </c>
      <c r="G6" s="29" t="s">
        <v>431</v>
      </c>
    </row>
    <row r="7" spans="1:7" x14ac:dyDescent="0.25">
      <c r="A7" s="10" t="s">
        <v>438</v>
      </c>
      <c r="B7" s="30">
        <v>-50000</v>
      </c>
      <c r="C7" s="27">
        <v>-50000</v>
      </c>
      <c r="D7" s="27">
        <v>0</v>
      </c>
      <c r="E7" s="28" t="s">
        <v>433</v>
      </c>
      <c r="F7" s="10" t="s">
        <v>30</v>
      </c>
      <c r="G7" s="29" t="s">
        <v>431</v>
      </c>
    </row>
    <row r="8" spans="1:7" x14ac:dyDescent="0.25">
      <c r="A8" s="10" t="s">
        <v>439</v>
      </c>
      <c r="B8" s="27">
        <v>162374</v>
      </c>
      <c r="C8" s="27">
        <v>162062</v>
      </c>
      <c r="D8" s="27">
        <v>312</v>
      </c>
      <c r="E8" s="28" t="s">
        <v>440</v>
      </c>
      <c r="F8" s="10" t="s">
        <v>6</v>
      </c>
      <c r="G8" s="29" t="s">
        <v>431</v>
      </c>
    </row>
    <row r="9" spans="1:7" x14ac:dyDescent="0.25">
      <c r="A9" s="10" t="s">
        <v>441</v>
      </c>
      <c r="B9" s="27">
        <v>812709</v>
      </c>
      <c r="C9" s="27">
        <v>812709</v>
      </c>
      <c r="D9" s="27">
        <v>0</v>
      </c>
      <c r="E9" s="28" t="s">
        <v>433</v>
      </c>
      <c r="F9" s="10" t="s">
        <v>6</v>
      </c>
      <c r="G9" s="29" t="s">
        <v>431</v>
      </c>
    </row>
    <row r="10" spans="1:7" x14ac:dyDescent="0.25">
      <c r="A10" s="10" t="s">
        <v>442</v>
      </c>
      <c r="B10" s="27">
        <v>0</v>
      </c>
      <c r="C10" s="27">
        <v>0</v>
      </c>
      <c r="D10" s="27">
        <v>0</v>
      </c>
      <c r="E10" s="28" t="s">
        <v>6</v>
      </c>
      <c r="F10" s="10" t="s">
        <v>6</v>
      </c>
      <c r="G10" s="29" t="s">
        <v>431</v>
      </c>
    </row>
    <row r="11" spans="1:7" x14ac:dyDescent="0.25">
      <c r="A11" s="10" t="s">
        <v>443</v>
      </c>
      <c r="B11" s="27">
        <v>0</v>
      </c>
      <c r="C11" s="27">
        <v>0</v>
      </c>
      <c r="D11" s="27">
        <v>0</v>
      </c>
      <c r="E11" s="28" t="s">
        <v>6</v>
      </c>
      <c r="F11" s="10" t="s">
        <v>6</v>
      </c>
      <c r="G11" s="29" t="s">
        <v>431</v>
      </c>
    </row>
    <row r="12" spans="1:7" x14ac:dyDescent="0.25">
      <c r="A12" s="10" t="s">
        <v>444</v>
      </c>
      <c r="B12" s="30">
        <v>-1644</v>
      </c>
      <c r="C12" s="27">
        <v>-1644</v>
      </c>
      <c r="D12" s="27">
        <v>0</v>
      </c>
      <c r="E12" s="28" t="s">
        <v>433</v>
      </c>
      <c r="F12" s="10" t="s">
        <v>30</v>
      </c>
      <c r="G12" s="29" t="s">
        <v>431</v>
      </c>
    </row>
    <row r="13" spans="1:7" x14ac:dyDescent="0.25">
      <c r="A13" s="10" t="s">
        <v>445</v>
      </c>
      <c r="B13" s="27">
        <v>510490</v>
      </c>
      <c r="C13" s="27">
        <v>510490</v>
      </c>
      <c r="D13" s="27">
        <v>0</v>
      </c>
      <c r="E13" s="28" t="s">
        <v>433</v>
      </c>
      <c r="F13" s="10" t="s">
        <v>6</v>
      </c>
      <c r="G13" s="29" t="s">
        <v>431</v>
      </c>
    </row>
    <row r="14" spans="1:7" x14ac:dyDescent="0.25">
      <c r="A14" s="10" t="s">
        <v>446</v>
      </c>
      <c r="B14" s="27">
        <v>327800</v>
      </c>
      <c r="C14" s="27">
        <v>327800</v>
      </c>
      <c r="D14" s="27">
        <v>0</v>
      </c>
      <c r="E14" s="28" t="s">
        <v>433</v>
      </c>
      <c r="F14" s="10" t="s">
        <v>6</v>
      </c>
      <c r="G14" s="29" t="s">
        <v>431</v>
      </c>
    </row>
    <row r="15" spans="1:7" x14ac:dyDescent="0.25">
      <c r="A15" s="10" t="s">
        <v>447</v>
      </c>
      <c r="B15" s="30">
        <v>-472984</v>
      </c>
      <c r="C15" s="27">
        <v>-462946</v>
      </c>
      <c r="D15" s="27">
        <v>-10038</v>
      </c>
      <c r="E15" s="28" t="s">
        <v>448</v>
      </c>
      <c r="F15" s="10" t="s">
        <v>30</v>
      </c>
      <c r="G15" s="29" t="s">
        <v>431</v>
      </c>
    </row>
    <row r="16" spans="1:7" x14ac:dyDescent="0.25">
      <c r="A16" s="10" t="s">
        <v>449</v>
      </c>
      <c r="B16" s="27">
        <v>3084000</v>
      </c>
      <c r="C16" s="27">
        <v>3175250</v>
      </c>
      <c r="D16" s="27">
        <v>-91250</v>
      </c>
      <c r="E16" s="28" t="s">
        <v>450</v>
      </c>
      <c r="F16" s="10" t="s">
        <v>6</v>
      </c>
      <c r="G16" s="29" t="s">
        <v>431</v>
      </c>
    </row>
    <row r="17" spans="1:7" x14ac:dyDescent="0.25">
      <c r="A17" s="10" t="s">
        <v>451</v>
      </c>
      <c r="B17" s="27">
        <v>20000</v>
      </c>
      <c r="C17" s="27">
        <v>20000</v>
      </c>
      <c r="D17" s="27">
        <v>0</v>
      </c>
      <c r="E17" s="28" t="s">
        <v>433</v>
      </c>
      <c r="F17" s="10" t="s">
        <v>6</v>
      </c>
      <c r="G17" s="29" t="s">
        <v>431</v>
      </c>
    </row>
    <row r="18" spans="1:7" x14ac:dyDescent="0.25">
      <c r="A18" s="10" t="s">
        <v>452</v>
      </c>
      <c r="B18" s="27">
        <v>262000</v>
      </c>
      <c r="C18" s="27">
        <v>262000</v>
      </c>
      <c r="D18" s="27">
        <v>0</v>
      </c>
      <c r="E18" s="28" t="s">
        <v>433</v>
      </c>
      <c r="F18" s="10" t="s">
        <v>6</v>
      </c>
      <c r="G18" s="29" t="s">
        <v>431</v>
      </c>
    </row>
    <row r="19" spans="1:7" x14ac:dyDescent="0.25">
      <c r="A19" s="10" t="s">
        <v>453</v>
      </c>
      <c r="B19" s="27">
        <v>547635</v>
      </c>
      <c r="C19" s="27">
        <v>566912</v>
      </c>
      <c r="D19" s="27">
        <v>-19277</v>
      </c>
      <c r="E19" s="28" t="s">
        <v>454</v>
      </c>
      <c r="F19" s="10" t="s">
        <v>6</v>
      </c>
      <c r="G19" s="29" t="s">
        <v>431</v>
      </c>
    </row>
    <row r="20" spans="1:7" x14ac:dyDescent="0.25">
      <c r="A20" s="10" t="s">
        <v>455</v>
      </c>
      <c r="B20" s="27">
        <v>9676750</v>
      </c>
      <c r="C20" s="27">
        <v>9676750</v>
      </c>
      <c r="D20" s="27">
        <v>0</v>
      </c>
      <c r="E20" s="28" t="s">
        <v>433</v>
      </c>
      <c r="F20" s="10" t="s">
        <v>6</v>
      </c>
      <c r="G20" s="29" t="s">
        <v>431</v>
      </c>
    </row>
    <row r="21" spans="1:7" x14ac:dyDescent="0.25">
      <c r="A21" s="10" t="s">
        <v>456</v>
      </c>
      <c r="B21" s="27">
        <v>12000000</v>
      </c>
      <c r="C21" s="27">
        <v>7000000</v>
      </c>
      <c r="D21" s="31">
        <v>5000000</v>
      </c>
      <c r="E21" s="28" t="s">
        <v>457</v>
      </c>
      <c r="F21" s="10" t="s">
        <v>458</v>
      </c>
      <c r="G21" s="29" t="s">
        <v>431</v>
      </c>
    </row>
    <row r="22" spans="1:7" x14ac:dyDescent="0.25">
      <c r="A22" s="10" t="s">
        <v>459</v>
      </c>
      <c r="B22" s="27">
        <v>2873403</v>
      </c>
      <c r="C22" s="27">
        <v>2873403</v>
      </c>
      <c r="D22" s="27">
        <v>0</v>
      </c>
      <c r="E22" s="28" t="s">
        <v>433</v>
      </c>
      <c r="F22" s="10" t="s">
        <v>6</v>
      </c>
      <c r="G22" s="29" t="s">
        <v>431</v>
      </c>
    </row>
    <row r="23" spans="1:7" x14ac:dyDescent="0.25">
      <c r="A23" s="10" t="s">
        <v>460</v>
      </c>
      <c r="B23" s="27">
        <v>2559468</v>
      </c>
      <c r="C23" s="27">
        <v>6040473</v>
      </c>
      <c r="D23" s="31">
        <v>-3481005</v>
      </c>
      <c r="E23" s="28" t="s">
        <v>461</v>
      </c>
      <c r="F23" s="10" t="s">
        <v>458</v>
      </c>
      <c r="G23" s="29" t="s">
        <v>431</v>
      </c>
    </row>
    <row r="24" spans="1:7" x14ac:dyDescent="0.25">
      <c r="A24" s="10" t="s">
        <v>462</v>
      </c>
      <c r="B24" s="27">
        <v>0</v>
      </c>
      <c r="C24" s="27">
        <v>0</v>
      </c>
      <c r="D24" s="27">
        <v>0</v>
      </c>
      <c r="E24" s="28" t="s">
        <v>6</v>
      </c>
      <c r="F24" s="10" t="s">
        <v>6</v>
      </c>
      <c r="G24" s="29" t="s">
        <v>431</v>
      </c>
    </row>
    <row r="25" spans="1:7" x14ac:dyDescent="0.25">
      <c r="A25" s="10" t="s">
        <v>463</v>
      </c>
      <c r="B25" s="27">
        <v>0</v>
      </c>
      <c r="C25" s="27">
        <v>0</v>
      </c>
      <c r="D25" s="27">
        <v>0</v>
      </c>
      <c r="E25" s="28" t="s">
        <v>6</v>
      </c>
      <c r="F25" s="10" t="s">
        <v>6</v>
      </c>
      <c r="G25" s="29" t="s">
        <v>431</v>
      </c>
    </row>
    <row r="26" spans="1:7" x14ac:dyDescent="0.25">
      <c r="A26" s="10" t="s">
        <v>464</v>
      </c>
      <c r="B26" s="30">
        <v>-1897000</v>
      </c>
      <c r="C26" s="27">
        <v>0</v>
      </c>
      <c r="D26" s="27">
        <v>-1897000</v>
      </c>
      <c r="E26" s="28" t="s">
        <v>6</v>
      </c>
      <c r="F26" s="10" t="s">
        <v>30</v>
      </c>
      <c r="G26" s="29" t="s">
        <v>431</v>
      </c>
    </row>
    <row r="27" spans="1:7" x14ac:dyDescent="0.25">
      <c r="A27" s="10" t="s">
        <v>465</v>
      </c>
      <c r="B27" s="27">
        <v>113300</v>
      </c>
      <c r="C27" s="27">
        <v>113300</v>
      </c>
      <c r="D27" s="27">
        <v>0</v>
      </c>
      <c r="E27" s="28" t="s">
        <v>433</v>
      </c>
      <c r="F27" s="10" t="s">
        <v>6</v>
      </c>
      <c r="G27" s="29" t="s">
        <v>431</v>
      </c>
    </row>
    <row r="28" spans="1:7" x14ac:dyDescent="0.25">
      <c r="A28" s="10" t="s">
        <v>466</v>
      </c>
      <c r="B28" s="27">
        <v>729853</v>
      </c>
      <c r="C28" s="27">
        <v>1443916</v>
      </c>
      <c r="D28" s="27">
        <v>-714063</v>
      </c>
      <c r="E28" s="28" t="s">
        <v>467</v>
      </c>
      <c r="F28" s="10" t="s">
        <v>6</v>
      </c>
      <c r="G28" s="29" t="s">
        <v>431</v>
      </c>
    </row>
    <row r="29" spans="1:7" x14ac:dyDescent="0.25">
      <c r="A29" s="10" t="s">
        <v>468</v>
      </c>
      <c r="B29" s="27">
        <v>373434</v>
      </c>
      <c r="C29" s="27">
        <v>272340</v>
      </c>
      <c r="D29" s="27">
        <v>101094</v>
      </c>
      <c r="E29" s="28" t="s">
        <v>469</v>
      </c>
      <c r="F29" s="10" t="s">
        <v>6</v>
      </c>
      <c r="G29" s="29" t="s">
        <v>431</v>
      </c>
    </row>
    <row r="30" spans="1:7" x14ac:dyDescent="0.25">
      <c r="A30" s="10" t="s">
        <v>470</v>
      </c>
      <c r="B30" s="30">
        <v>-11395</v>
      </c>
      <c r="C30" s="27">
        <v>27563</v>
      </c>
      <c r="D30" s="27">
        <v>-38958</v>
      </c>
      <c r="E30" s="28" t="s">
        <v>471</v>
      </c>
      <c r="F30" s="10" t="s">
        <v>30</v>
      </c>
      <c r="G30" s="29" t="s">
        <v>431</v>
      </c>
    </row>
    <row r="31" spans="1:7" x14ac:dyDescent="0.25">
      <c r="A31" s="10" t="s">
        <v>472</v>
      </c>
      <c r="B31" s="30">
        <v>-137018</v>
      </c>
      <c r="C31" s="27">
        <v>-139997</v>
      </c>
      <c r="D31" s="27">
        <v>2979</v>
      </c>
      <c r="E31" s="28" t="s">
        <v>473</v>
      </c>
      <c r="F31" s="10" t="s">
        <v>30</v>
      </c>
      <c r="G31" s="29" t="s">
        <v>431</v>
      </c>
    </row>
    <row r="32" spans="1:7" x14ac:dyDescent="0.25">
      <c r="A32" s="10" t="s">
        <v>474</v>
      </c>
      <c r="B32" s="27">
        <v>11880</v>
      </c>
      <c r="C32" s="27">
        <v>11880</v>
      </c>
      <c r="D32" s="27">
        <v>0</v>
      </c>
      <c r="E32" s="28" t="s">
        <v>433</v>
      </c>
      <c r="F32" s="10" t="s">
        <v>6</v>
      </c>
      <c r="G32" s="29" t="s">
        <v>431</v>
      </c>
    </row>
    <row r="33" spans="1:7" x14ac:dyDescent="0.25">
      <c r="A33" s="10" t="s">
        <v>475</v>
      </c>
      <c r="B33" s="30">
        <v>-148743</v>
      </c>
      <c r="C33" s="27">
        <v>-159343</v>
      </c>
      <c r="D33" s="27">
        <v>10600</v>
      </c>
      <c r="E33" s="28" t="s">
        <v>476</v>
      </c>
      <c r="F33" s="10" t="s">
        <v>30</v>
      </c>
      <c r="G33" s="29" t="s">
        <v>431</v>
      </c>
    </row>
    <row r="34" spans="1:7" x14ac:dyDescent="0.25">
      <c r="A34" s="10" t="s">
        <v>477</v>
      </c>
      <c r="B34" s="27">
        <v>129052</v>
      </c>
      <c r="C34" s="27">
        <v>129052</v>
      </c>
      <c r="D34" s="27">
        <v>0</v>
      </c>
      <c r="E34" s="28" t="s">
        <v>433</v>
      </c>
      <c r="F34" s="10" t="s">
        <v>6</v>
      </c>
      <c r="G34" s="29" t="s">
        <v>431</v>
      </c>
    </row>
    <row r="35" spans="1:7" x14ac:dyDescent="0.25">
      <c r="A35" s="10" t="s">
        <v>478</v>
      </c>
      <c r="B35" s="27">
        <v>1331810</v>
      </c>
      <c r="C35" s="27">
        <v>1331810</v>
      </c>
      <c r="D35" s="27">
        <v>0</v>
      </c>
      <c r="E35" s="28" t="s">
        <v>433</v>
      </c>
      <c r="F35" s="10" t="s">
        <v>6</v>
      </c>
      <c r="G35" s="29" t="s">
        <v>431</v>
      </c>
    </row>
    <row r="36" spans="1:7" x14ac:dyDescent="0.25">
      <c r="A36" s="10" t="s">
        <v>479</v>
      </c>
      <c r="B36" s="30">
        <v>-17878</v>
      </c>
      <c r="C36" s="27">
        <v>-4767</v>
      </c>
      <c r="D36" s="27">
        <v>-13111</v>
      </c>
      <c r="E36" s="28" t="s">
        <v>480</v>
      </c>
      <c r="F36" s="10" t="s">
        <v>30</v>
      </c>
      <c r="G36" s="29" t="s">
        <v>431</v>
      </c>
    </row>
    <row r="37" spans="1:7" x14ac:dyDescent="0.25">
      <c r="A37" s="10" t="s">
        <v>481</v>
      </c>
      <c r="B37" s="27">
        <v>13255000</v>
      </c>
      <c r="C37" s="27">
        <v>13255000</v>
      </c>
      <c r="D37" s="27">
        <v>0</v>
      </c>
      <c r="E37" s="28" t="s">
        <v>433</v>
      </c>
      <c r="F37" s="10" t="s">
        <v>6</v>
      </c>
      <c r="G37" s="29" t="s">
        <v>431</v>
      </c>
    </row>
    <row r="38" spans="1:7" x14ac:dyDescent="0.25">
      <c r="A38" s="10" t="s">
        <v>482</v>
      </c>
      <c r="B38" s="27">
        <v>3325000</v>
      </c>
      <c r="C38" s="27">
        <v>3375000</v>
      </c>
      <c r="D38" s="27">
        <v>-50000</v>
      </c>
      <c r="E38" s="28" t="s">
        <v>483</v>
      </c>
      <c r="F38" s="10" t="s">
        <v>6</v>
      </c>
      <c r="G38" s="29" t="s">
        <v>431</v>
      </c>
    </row>
    <row r="39" spans="1:7" x14ac:dyDescent="0.25">
      <c r="A39" s="10" t="s">
        <v>484</v>
      </c>
      <c r="B39" s="27">
        <v>1500000</v>
      </c>
      <c r="C39" s="27">
        <v>1500000</v>
      </c>
      <c r="D39" s="27">
        <v>0</v>
      </c>
      <c r="E39" s="28" t="s">
        <v>433</v>
      </c>
      <c r="F39" s="10" t="s">
        <v>6</v>
      </c>
      <c r="G39" s="29" t="s">
        <v>431</v>
      </c>
    </row>
    <row r="40" spans="1:7" x14ac:dyDescent="0.25">
      <c r="A40" s="10" t="s">
        <v>485</v>
      </c>
      <c r="B40" s="27">
        <v>25021393</v>
      </c>
      <c r="C40" s="27">
        <v>25021393</v>
      </c>
      <c r="D40" s="27">
        <v>0</v>
      </c>
      <c r="E40" s="28" t="s">
        <v>433</v>
      </c>
      <c r="F40" s="10" t="s">
        <v>6</v>
      </c>
      <c r="G40" s="29" t="s">
        <v>431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2" t="s">
        <v>486</v>
      </c>
      <c r="B1" s="32"/>
      <c r="C1" s="32"/>
      <c r="D1" s="32"/>
      <c r="E1" s="32"/>
      <c r="F1" s="32"/>
      <c r="G1" s="32"/>
      <c r="H1" s="32"/>
      <c r="I1" s="32"/>
    </row>
    <row r="3" ht="22" customHeight="1" spans="1:9" x14ac:dyDescent="0.25">
      <c r="A3" s="5" t="s">
        <v>422</v>
      </c>
      <c r="B3" s="5" t="s">
        <v>487</v>
      </c>
      <c r="C3" s="5" t="s">
        <v>488</v>
      </c>
      <c r="D3" s="5" t="s">
        <v>489</v>
      </c>
      <c r="E3" s="5" t="s">
        <v>490</v>
      </c>
      <c r="F3" s="5" t="s">
        <v>491</v>
      </c>
      <c r="G3" s="33" t="s">
        <v>492</v>
      </c>
      <c r="H3" s="5" t="s">
        <v>493</v>
      </c>
      <c r="I3" s="5" t="s">
        <v>428</v>
      </c>
    </row>
    <row r="4" spans="1:9" x14ac:dyDescent="0.25">
      <c r="A4" s="10" t="s">
        <v>494</v>
      </c>
      <c r="B4" s="27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7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7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1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7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1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4">
        <f>SUM(B4:G4)</f>
        <v>60514555</v>
      </c>
      <c r="I4" s="29" t="s">
        <v>428</v>
      </c>
    </row>
    <row r="5" spans="1:9" x14ac:dyDescent="0.25">
      <c r="A5" s="10"/>
      <c r="B5" s="27">
        <v>6688314</v>
      </c>
      <c r="C5" s="27">
        <v>7553184</v>
      </c>
      <c r="D5" s="27">
        <v>7894139</v>
      </c>
      <c r="E5" s="31">
        <v>13950459</v>
      </c>
      <c r="F5" s="27">
        <v>8050804</v>
      </c>
      <c r="G5" s="31">
        <v>16377655</v>
      </c>
      <c r="H5" s="34">
        <f>SUM(B5:G5)</f>
        <v>60514555</v>
      </c>
      <c r="I5" s="35"/>
    </row>
    <row r="6" spans="1:9" x14ac:dyDescent="0.25">
      <c r="A6" s="10"/>
      <c r="B6" s="27">
        <v>6688314</v>
      </c>
      <c r="C6" s="27">
        <v>7553184</v>
      </c>
      <c r="D6" s="27">
        <v>7894139</v>
      </c>
      <c r="E6" s="31">
        <v>13950459</v>
      </c>
      <c r="F6" s="27">
        <v>8050804</v>
      </c>
      <c r="G6" s="31">
        <v>16377655</v>
      </c>
      <c r="H6" s="34">
        <f>SUM(B6:G6)</f>
        <v>60514555</v>
      </c>
      <c r="I6" s="35"/>
    </row>
    <row r="7" spans="1:9" x14ac:dyDescent="0.25">
      <c r="A7" s="10"/>
      <c r="B7" s="27">
        <v>6688314</v>
      </c>
      <c r="C7" s="27">
        <v>7553184</v>
      </c>
      <c r="D7" s="27">
        <v>7894139</v>
      </c>
      <c r="E7" s="31">
        <v>13950459</v>
      </c>
      <c r="F7" s="27">
        <v>8050804</v>
      </c>
      <c r="G7" s="31">
        <v>16377655</v>
      </c>
      <c r="H7" s="34">
        <f>SUM(B7:G7)</f>
        <v>60514555</v>
      </c>
      <c r="I7" s="35"/>
    </row>
    <row r="8" spans="1:9" x14ac:dyDescent="0.25">
      <c r="A8" s="10"/>
      <c r="B8" s="27">
        <v>6688314</v>
      </c>
      <c r="C8" s="27">
        <v>7553184</v>
      </c>
      <c r="D8" s="27">
        <v>7894139</v>
      </c>
      <c r="E8" s="31">
        <v>13950459</v>
      </c>
      <c r="F8" s="27">
        <v>8050804</v>
      </c>
      <c r="G8" s="31">
        <v>16377655</v>
      </c>
      <c r="H8" s="34">
        <f>SUM(B8:G8)</f>
        <v>60514555</v>
      </c>
      <c r="I8" s="35"/>
    </row>
    <row r="9" spans="1:9" x14ac:dyDescent="0.25">
      <c r="A9" s="10"/>
      <c r="B9" s="27">
        <v>6688314</v>
      </c>
      <c r="C9" s="27">
        <v>7553184</v>
      </c>
      <c r="D9" s="27">
        <v>7894139</v>
      </c>
      <c r="E9" s="31">
        <v>13950459</v>
      </c>
      <c r="F9" s="27">
        <v>8050804</v>
      </c>
      <c r="G9" s="31">
        <v>16377655</v>
      </c>
      <c r="H9" s="34">
        <f>SUM(B9:G9)</f>
        <v>60514555</v>
      </c>
      <c r="I9" s="35"/>
    </row>
    <row r="10" spans="1:9" x14ac:dyDescent="0.25">
      <c r="A10" s="10"/>
      <c r="B10" s="27">
        <v>6688314</v>
      </c>
      <c r="C10" s="27">
        <v>7553184</v>
      </c>
      <c r="D10" s="27">
        <v>7894139</v>
      </c>
      <c r="E10" s="31">
        <v>13950459</v>
      </c>
      <c r="F10" s="27">
        <v>8050804</v>
      </c>
      <c r="G10" s="31">
        <v>16377655</v>
      </c>
      <c r="H10" s="34">
        <f>SUM(B10:G10)</f>
        <v>60514555</v>
      </c>
      <c r="I10" s="35"/>
    </row>
    <row r="11" spans="1:9" x14ac:dyDescent="0.25">
      <c r="A11" s="10"/>
      <c r="B11" s="27">
        <v>6688314</v>
      </c>
      <c r="C11" s="27">
        <v>7553184</v>
      </c>
      <c r="D11" s="27">
        <v>7894139</v>
      </c>
      <c r="E11" s="31">
        <v>13950459</v>
      </c>
      <c r="F11" s="27">
        <v>8050804</v>
      </c>
      <c r="G11" s="31">
        <v>16377655</v>
      </c>
      <c r="H11" s="34">
        <f>SUM(B11:G11)</f>
        <v>60514555</v>
      </c>
      <c r="I11" s="35"/>
    </row>
    <row r="12" spans="1:9" x14ac:dyDescent="0.25">
      <c r="A12" s="10"/>
      <c r="B12" s="27">
        <v>6688314</v>
      </c>
      <c r="C12" s="27">
        <v>7553184</v>
      </c>
      <c r="D12" s="27">
        <v>7894139</v>
      </c>
      <c r="E12" s="31">
        <v>13950459</v>
      </c>
      <c r="F12" s="27">
        <v>8050804</v>
      </c>
      <c r="G12" s="31">
        <v>16377655</v>
      </c>
      <c r="H12" s="34">
        <f>SUM(B12:G12)</f>
        <v>60514555</v>
      </c>
      <c r="I12" s="35"/>
    </row>
    <row r="13" spans="1:9" x14ac:dyDescent="0.25">
      <c r="A13" s="10" t="s">
        <v>495</v>
      </c>
      <c r="B13" s="27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7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7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7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7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6">
        <v>0</v>
      </c>
      <c r="H13" s="34">
        <f>SUM(B13:G13)</f>
        <v>13910000</v>
      </c>
      <c r="I13" s="29" t="s">
        <v>428</v>
      </c>
    </row>
    <row r="14" spans="1:9" x14ac:dyDescent="0.25">
      <c r="A14" s="10" t="s">
        <v>496</v>
      </c>
      <c r="B14" s="27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7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7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7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7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6">
        <v>0</v>
      </c>
      <c r="H14" s="34">
        <f>SUM(B14:G14)</f>
        <v>9793764</v>
      </c>
      <c r="I14" s="29" t="s">
        <v>428</v>
      </c>
    </row>
    <row r="15" spans="1:9" x14ac:dyDescent="0.25">
      <c r="A15" s="10" t="s">
        <v>497</v>
      </c>
      <c r="B15" s="37">
        <v>0</v>
      </c>
      <c r="C15" s="37">
        <v>0</v>
      </c>
      <c r="D15" s="27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6">
        <v>0</v>
      </c>
      <c r="F15" s="37">
        <v>0</v>
      </c>
      <c r="G15" s="38">
        <v>0</v>
      </c>
      <c r="H15" s="34">
        <f>SUM(B15:G15)</f>
        <v>1265650</v>
      </c>
      <c r="I15" s="29" t="s">
        <v>428</v>
      </c>
    </row>
    <row r="16" spans="1:9" x14ac:dyDescent="0.25">
      <c r="A16" s="10" t="s">
        <v>498</v>
      </c>
      <c r="B16" s="27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7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7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7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1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1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4">
        <f>SUM(B16:G16)</f>
        <v>536500</v>
      </c>
      <c r="I16" s="29" t="s">
        <v>428</v>
      </c>
    </row>
    <row r="17" spans="1:9" x14ac:dyDescent="0.25">
      <c r="A17" s="10" t="s">
        <v>499</v>
      </c>
      <c r="B17" s="27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7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7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7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7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6">
        <v>0</v>
      </c>
      <c r="H17" s="34">
        <f>SUM(B17:G17)</f>
        <v>2492206</v>
      </c>
      <c r="I17" s="29" t="s">
        <v>428</v>
      </c>
    </row>
    <row r="18" spans="1:9" x14ac:dyDescent="0.25">
      <c r="A18" s="10" t="s">
        <v>500</v>
      </c>
      <c r="B18" s="27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7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1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7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6">
        <v>0</v>
      </c>
      <c r="G18" s="38">
        <v>0</v>
      </c>
      <c r="H18" s="34">
        <f>SUM(B18:G18)</f>
        <v>103532</v>
      </c>
      <c r="I18" s="29" t="s">
        <v>428</v>
      </c>
    </row>
    <row r="19" spans="1:9" x14ac:dyDescent="0.25">
      <c r="A19" s="10" t="s">
        <v>501</v>
      </c>
      <c r="B19" s="27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1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1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1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7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1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4">
        <f>SUM(B19:G19)</f>
        <v>1551808</v>
      </c>
      <c r="I19" s="29" t="s">
        <v>428</v>
      </c>
    </row>
    <row r="20" spans="1:9" x14ac:dyDescent="0.25">
      <c r="A20" s="10" t="s">
        <v>242</v>
      </c>
      <c r="B20" s="27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1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1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1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7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9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4">
        <f>SUM(B20:G20)</f>
        <v>417827</v>
      </c>
      <c r="I20" s="29" t="s">
        <v>428</v>
      </c>
    </row>
    <row r="21" spans="1:9" x14ac:dyDescent="0.25">
      <c r="A21" s="10" t="s">
        <v>502</v>
      </c>
      <c r="B21" s="37">
        <v>0</v>
      </c>
      <c r="C21" s="27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7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7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6">
        <v>0</v>
      </c>
      <c r="G21" s="38">
        <v>0</v>
      </c>
      <c r="H21" s="34">
        <f>SUM(B21:G21)</f>
        <v>15000</v>
      </c>
      <c r="I21" s="29" t="s">
        <v>428</v>
      </c>
    </row>
    <row r="22" spans="1:9" x14ac:dyDescent="0.25">
      <c r="A22" s="10" t="s">
        <v>503</v>
      </c>
      <c r="B22" s="27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6">
        <v>0</v>
      </c>
      <c r="D22" s="27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6">
        <v>0</v>
      </c>
      <c r="F22" s="37">
        <v>0</v>
      </c>
      <c r="G22" s="38">
        <v>0</v>
      </c>
      <c r="H22" s="34">
        <f>SUM(B22:G22)</f>
        <v>53850</v>
      </c>
      <c r="I22" s="29" t="s">
        <v>428</v>
      </c>
    </row>
    <row r="23" spans="1:9" x14ac:dyDescent="0.25">
      <c r="A23" s="10" t="s">
        <v>504</v>
      </c>
      <c r="B23" s="27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1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1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1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7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9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4">
        <f>SUM(B23:G23)</f>
        <v>23090</v>
      </c>
      <c r="I23" s="29" t="s">
        <v>428</v>
      </c>
    </row>
    <row r="24" spans="1:9" x14ac:dyDescent="0.25">
      <c r="A24" s="10" t="s">
        <v>505</v>
      </c>
      <c r="B24" s="27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1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1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1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1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1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4">
        <f>SUM(B24:G24)</f>
        <v>375814</v>
      </c>
      <c r="I24" s="29" t="s">
        <v>428</v>
      </c>
    </row>
    <row r="25" spans="1:9" x14ac:dyDescent="0.25">
      <c r="A25" s="10" t="s">
        <v>506</v>
      </c>
      <c r="B25" s="27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1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1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7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7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1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4">
        <f>SUM(B25:G25)</f>
        <v>961644</v>
      </c>
      <c r="I25" s="29" t="s">
        <v>428</v>
      </c>
    </row>
    <row r="26" spans="1:9" x14ac:dyDescent="0.25">
      <c r="A26" s="10" t="s">
        <v>507</v>
      </c>
      <c r="B26" s="27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7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7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1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7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9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4">
        <f>SUM(B26:G26)</f>
        <v>256733</v>
      </c>
      <c r="I26" s="29" t="s">
        <v>428</v>
      </c>
    </row>
    <row r="27" spans="1:9" x14ac:dyDescent="0.25">
      <c r="A27" s="10" t="s">
        <v>508</v>
      </c>
      <c r="B27" s="27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7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7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7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7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9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4">
        <f>SUM(B27:G27)</f>
        <v>291533</v>
      </c>
      <c r="I27" s="29" t="s">
        <v>428</v>
      </c>
    </row>
    <row r="28" spans="1:9" x14ac:dyDescent="0.25">
      <c r="A28" s="10" t="s">
        <v>509</v>
      </c>
      <c r="B28" s="27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7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1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7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7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9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4">
        <f>SUM(B28:G28)</f>
        <v>75167</v>
      </c>
      <c r="I28" s="29" t="s">
        <v>428</v>
      </c>
    </row>
    <row r="29" spans="1:9" x14ac:dyDescent="0.25">
      <c r="A29" s="10" t="s">
        <v>510</v>
      </c>
      <c r="B29" s="27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7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6">
        <v>0</v>
      </c>
      <c r="E29" s="27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6">
        <v>0</v>
      </c>
      <c r="G29" s="38">
        <v>0</v>
      </c>
      <c r="H29" s="34">
        <f>SUM(B29:G29)</f>
        <v>237000</v>
      </c>
      <c r="I29" s="29" t="s">
        <v>428</v>
      </c>
    </row>
    <row r="30" spans="1:9" x14ac:dyDescent="0.25">
      <c r="A30" s="10" t="s">
        <v>511</v>
      </c>
      <c r="B30" s="27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7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1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7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7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9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4">
        <f>SUM(B30:G30)</f>
        <v>2999942</v>
      </c>
      <c r="I30" s="29" t="s">
        <v>428</v>
      </c>
    </row>
    <row r="31" spans="1:9" x14ac:dyDescent="0.25">
      <c r="A31" s="10" t="s">
        <v>236</v>
      </c>
      <c r="B31" s="27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7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7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7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1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6">
        <v>0</v>
      </c>
      <c r="H31" s="34">
        <f>SUM(B31:G31)</f>
        <v>846365</v>
      </c>
      <c r="I31" s="29" t="s">
        <v>428</v>
      </c>
    </row>
    <row r="32" spans="1:9" x14ac:dyDescent="0.25">
      <c r="A32" s="10" t="s">
        <v>512</v>
      </c>
      <c r="B32" s="27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7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7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7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7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1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4">
        <f>SUM(B32:G32)</f>
        <v>665250</v>
      </c>
      <c r="I32" s="29" t="s">
        <v>428</v>
      </c>
    </row>
    <row r="33" spans="1:9" x14ac:dyDescent="0.25">
      <c r="A33" s="10" t="s">
        <v>513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9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4">
        <f>SUM(B33:G33)</f>
        <v>600</v>
      </c>
      <c r="I33" s="29" t="s">
        <v>428</v>
      </c>
    </row>
    <row r="34" spans="1:9" x14ac:dyDescent="0.25">
      <c r="A34" s="10" t="s">
        <v>514</v>
      </c>
      <c r="B34" s="27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7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7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7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7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9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4">
        <f>SUM(B34:G34)</f>
        <v>596528</v>
      </c>
      <c r="I34" s="29" t="s">
        <v>428</v>
      </c>
    </row>
    <row r="35" spans="1:9" x14ac:dyDescent="0.25">
      <c r="A35" s="10" t="s">
        <v>515</v>
      </c>
      <c r="B35" s="27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7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7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7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7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9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4">
        <f>SUM(B35:G35)</f>
        <v>75666</v>
      </c>
      <c r="I35" s="29" t="s">
        <v>428</v>
      </c>
    </row>
    <row r="36" spans="1:9" x14ac:dyDescent="0.25">
      <c r="A36" s="10" t="s">
        <v>516</v>
      </c>
      <c r="B36" s="27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6">
        <v>0</v>
      </c>
      <c r="D36" s="37">
        <v>0</v>
      </c>
      <c r="E36" s="37">
        <v>0</v>
      </c>
      <c r="F36" s="37">
        <v>0</v>
      </c>
      <c r="G36" s="38">
        <v>0</v>
      </c>
      <c r="H36" s="34">
        <f>SUM(B36:G36)</f>
        <v>6195</v>
      </c>
      <c r="I36" s="29" t="s">
        <v>428</v>
      </c>
    </row>
    <row r="37" spans="1:9" x14ac:dyDescent="0.25">
      <c r="A37" s="10"/>
      <c r="B37" s="27">
        <v>6688314</v>
      </c>
      <c r="C37" s="27">
        <v>7553184</v>
      </c>
      <c r="D37" s="27">
        <v>7894139</v>
      </c>
      <c r="E37" s="31">
        <v>13950459</v>
      </c>
      <c r="F37" s="27">
        <v>8050804</v>
      </c>
      <c r="G37" s="31">
        <v>16377655</v>
      </c>
      <c r="H37" s="34">
        <f>SUM(B37:G37)</f>
        <v>60514555</v>
      </c>
      <c r="I37" s="35"/>
    </row>
    <row r="38" spans="1:9" x14ac:dyDescent="0.25">
      <c r="A38" s="10"/>
      <c r="B38" s="27">
        <v>6688314</v>
      </c>
      <c r="C38" s="27">
        <v>7553184</v>
      </c>
      <c r="D38" s="27">
        <v>7894139</v>
      </c>
      <c r="E38" s="31">
        <v>13950459</v>
      </c>
      <c r="F38" s="27">
        <v>8050804</v>
      </c>
      <c r="G38" s="31">
        <v>16377655</v>
      </c>
      <c r="H38" s="34">
        <f>SUM(B38:G38)</f>
        <v>60514555</v>
      </c>
      <c r="I38" s="35"/>
    </row>
    <row r="39" spans="1:9" x14ac:dyDescent="0.25">
      <c r="A39" s="10"/>
      <c r="B39" s="27">
        <v>6688314</v>
      </c>
      <c r="C39" s="27">
        <v>7553184</v>
      </c>
      <c r="D39" s="27">
        <v>7894139</v>
      </c>
      <c r="E39" s="31">
        <v>13950459</v>
      </c>
      <c r="F39" s="27">
        <v>8050804</v>
      </c>
      <c r="G39" s="31">
        <v>16377655</v>
      </c>
      <c r="H39" s="34">
        <f>SUM(B39:G39)</f>
        <v>60514555</v>
      </c>
      <c r="I39" s="35"/>
    </row>
    <row r="40" spans="1:9" x14ac:dyDescent="0.25">
      <c r="A40" s="10" t="s">
        <v>517</v>
      </c>
      <c r="B40" s="27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7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7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7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7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9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4">
        <f>SUM(B40:G40)</f>
        <v>29467</v>
      </c>
      <c r="I40" s="29" t="s">
        <v>428</v>
      </c>
    </row>
    <row r="41" spans="1:9" x14ac:dyDescent="0.25">
      <c r="A41" s="10" t="s">
        <v>518</v>
      </c>
      <c r="B41" s="37">
        <v>0</v>
      </c>
      <c r="C41" s="37">
        <v>0</v>
      </c>
      <c r="D41" s="37">
        <v>0</v>
      </c>
      <c r="E41" s="27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6">
        <v>0</v>
      </c>
      <c r="G41" s="38">
        <v>0</v>
      </c>
      <c r="H41" s="34">
        <f>SUM(B41:G41)</f>
        <v>400000</v>
      </c>
      <c r="I41" s="29" t="s">
        <v>428</v>
      </c>
    </row>
    <row r="42" spans="1:9" x14ac:dyDescent="0.25">
      <c r="A42" s="10"/>
      <c r="B42" s="27">
        <v>6688314</v>
      </c>
      <c r="C42" s="27">
        <v>7553184</v>
      </c>
      <c r="D42" s="27">
        <v>7894139</v>
      </c>
      <c r="E42" s="31">
        <v>13950459</v>
      </c>
      <c r="F42" s="27">
        <v>8050804</v>
      </c>
      <c r="G42" s="31">
        <v>16377655</v>
      </c>
      <c r="H42" s="34">
        <f>SUM(B42:G42)</f>
        <v>60514555</v>
      </c>
      <c r="I42" s="35"/>
    </row>
    <row r="43" spans="1:9" x14ac:dyDescent="0.25">
      <c r="A43" s="10" t="s">
        <v>519</v>
      </c>
      <c r="B43" s="27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6">
        <v>0</v>
      </c>
      <c r="D43" s="37">
        <v>0</v>
      </c>
      <c r="E43" s="37">
        <v>0</v>
      </c>
      <c r="F43" s="37">
        <v>0</v>
      </c>
      <c r="G43" s="38">
        <v>0</v>
      </c>
      <c r="H43" s="34">
        <f>SUM(B43:G43)</f>
        <v>11903</v>
      </c>
      <c r="I43" s="29" t="s">
        <v>428</v>
      </c>
    </row>
    <row r="44" spans="1:9" x14ac:dyDescent="0.25">
      <c r="A44" s="10"/>
      <c r="B44" s="27">
        <v>6688314</v>
      </c>
      <c r="C44" s="27">
        <v>7553184</v>
      </c>
      <c r="D44" s="27">
        <v>7894139</v>
      </c>
      <c r="E44" s="31">
        <v>13950459</v>
      </c>
      <c r="F44" s="27">
        <v>8050804</v>
      </c>
      <c r="G44" s="31">
        <v>16377655</v>
      </c>
      <c r="H44" s="34">
        <f>SUM(B44:G44)</f>
        <v>60514555</v>
      </c>
      <c r="I44" s="35"/>
    </row>
    <row r="45" spans="1:9" x14ac:dyDescent="0.25">
      <c r="A45" s="10"/>
      <c r="B45" s="27">
        <v>6688314</v>
      </c>
      <c r="C45" s="27">
        <v>7553184</v>
      </c>
      <c r="D45" s="27">
        <v>7894139</v>
      </c>
      <c r="E45" s="31">
        <v>13950459</v>
      </c>
      <c r="F45" s="27">
        <v>8050804</v>
      </c>
      <c r="G45" s="31">
        <v>16377655</v>
      </c>
      <c r="H45" s="34">
        <f>SUM(B45:G45)</f>
        <v>60514555</v>
      </c>
      <c r="I45" s="35"/>
    </row>
    <row r="46" spans="1:9" x14ac:dyDescent="0.25">
      <c r="A46" s="10"/>
      <c r="B46" s="27">
        <v>6688314</v>
      </c>
      <c r="C46" s="27">
        <v>7553184</v>
      </c>
      <c r="D46" s="27">
        <v>7894139</v>
      </c>
      <c r="E46" s="31">
        <v>13950459</v>
      </c>
      <c r="F46" s="27">
        <v>8050804</v>
      </c>
      <c r="G46" s="31">
        <v>16377655</v>
      </c>
      <c r="H46" s="34">
        <f>SUM(B46:G46)</f>
        <v>60514555</v>
      </c>
      <c r="I46" s="35"/>
    </row>
    <row r="47" spans="1:9" x14ac:dyDescent="0.25">
      <c r="A47" s="10"/>
      <c r="B47" s="27">
        <v>6688314</v>
      </c>
      <c r="C47" s="27">
        <v>7553184</v>
      </c>
      <c r="D47" s="27">
        <v>7894139</v>
      </c>
      <c r="E47" s="31">
        <v>13950459</v>
      </c>
      <c r="F47" s="27">
        <v>8050804</v>
      </c>
      <c r="G47" s="31">
        <v>16377655</v>
      </c>
      <c r="H47" s="34">
        <f>SUM(B47:G47)</f>
        <v>60514555</v>
      </c>
      <c r="I47" s="35"/>
    </row>
    <row r="48" spans="1:9" x14ac:dyDescent="0.25">
      <c r="A48" s="10"/>
      <c r="B48" s="27">
        <v>6688314</v>
      </c>
      <c r="C48" s="27">
        <v>7553184</v>
      </c>
      <c r="D48" s="27">
        <v>7894139</v>
      </c>
      <c r="E48" s="31">
        <v>13950459</v>
      </c>
      <c r="F48" s="27">
        <v>8050804</v>
      </c>
      <c r="G48" s="31">
        <v>16377655</v>
      </c>
      <c r="H48" s="34">
        <f>SUM(B48:G48)</f>
        <v>60514555</v>
      </c>
      <c r="I48" s="35"/>
    </row>
    <row r="49" spans="1:9" x14ac:dyDescent="0.25">
      <c r="A49" s="10" t="s">
        <v>520</v>
      </c>
      <c r="B49" s="27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7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7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7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7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9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4">
        <f>SUM(B49:G49)</f>
        <v>4512</v>
      </c>
      <c r="I49" s="29" t="s">
        <v>428</v>
      </c>
    </row>
    <row r="50" spans="1:9" x14ac:dyDescent="0.25">
      <c r="A50" s="10"/>
      <c r="B50" s="27">
        <v>6688314</v>
      </c>
      <c r="C50" s="27">
        <v>7553184</v>
      </c>
      <c r="D50" s="27">
        <v>7894139</v>
      </c>
      <c r="E50" s="31">
        <v>13950459</v>
      </c>
      <c r="F50" s="27">
        <v>8050804</v>
      </c>
      <c r="G50" s="31">
        <v>16377655</v>
      </c>
      <c r="H50" s="34">
        <f>SUM(B50:G50)</f>
        <v>60514555</v>
      </c>
      <c r="I50" s="35"/>
    </row>
    <row r="51" spans="1:9" x14ac:dyDescent="0.25">
      <c r="A51" s="10"/>
      <c r="B51" s="27">
        <v>6688314</v>
      </c>
      <c r="C51" s="27">
        <v>7553184</v>
      </c>
      <c r="D51" s="27">
        <v>7894139</v>
      </c>
      <c r="E51" s="31">
        <v>13950459</v>
      </c>
      <c r="F51" s="27">
        <v>8050804</v>
      </c>
      <c r="G51" s="31">
        <v>16377655</v>
      </c>
      <c r="H51" s="34">
        <f>SUM(B51:G51)</f>
        <v>60514555</v>
      </c>
      <c r="I51" s="35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422</v>
      </c>
      <c r="B1" s="5" t="s">
        <v>521</v>
      </c>
      <c r="C1" s="5" t="s">
        <v>522</v>
      </c>
      <c r="D1" s="5" t="s">
        <v>523</v>
      </c>
    </row>
    <row r="2" spans="1:4" x14ac:dyDescent="0.25">
      <c r="A2" s="10" t="s">
        <v>436</v>
      </c>
      <c r="B2" s="10" t="s">
        <v>524</v>
      </c>
      <c r="C2" s="27">
        <v>16859895</v>
      </c>
      <c r="D2" s="14" t="s">
        <v>525</v>
      </c>
    </row>
    <row r="3" spans="1:4" x14ac:dyDescent="0.25">
      <c r="A3" s="10" t="s">
        <v>459</v>
      </c>
      <c r="B3" s="10" t="s">
        <v>526</v>
      </c>
      <c r="C3" s="27">
        <v>2471518</v>
      </c>
      <c r="D3" s="14" t="s">
        <v>525</v>
      </c>
    </row>
    <row r="4" spans="1:4" x14ac:dyDescent="0.25">
      <c r="A4" s="10" t="s">
        <v>436</v>
      </c>
      <c r="B4" s="10" t="s">
        <v>527</v>
      </c>
      <c r="C4" s="27">
        <v>880000</v>
      </c>
      <c r="D4" s="10" t="s">
        <v>6</v>
      </c>
    </row>
    <row r="5" spans="1:4" x14ac:dyDescent="0.25">
      <c r="A5" s="10" t="s">
        <v>459</v>
      </c>
      <c r="B5" s="10" t="s">
        <v>528</v>
      </c>
      <c r="C5" s="27">
        <v>401885</v>
      </c>
      <c r="D5" s="14" t="s">
        <v>525</v>
      </c>
    </row>
    <row r="6" spans="1:4" x14ac:dyDescent="0.25">
      <c r="A6" s="10" t="s">
        <v>436</v>
      </c>
      <c r="B6" s="10" t="s">
        <v>529</v>
      </c>
      <c r="C6" s="27">
        <v>300984</v>
      </c>
      <c r="D6" s="14" t="s">
        <v>525</v>
      </c>
    </row>
    <row r="7" spans="1:4" x14ac:dyDescent="0.25">
      <c r="A7" s="10" t="s">
        <v>436</v>
      </c>
      <c r="B7" s="10" t="s">
        <v>530</v>
      </c>
      <c r="C7" s="27">
        <v>176000</v>
      </c>
      <c r="D7" s="10" t="s">
        <v>6</v>
      </c>
    </row>
    <row r="8" spans="1:4" x14ac:dyDescent="0.25">
      <c r="A8" s="10" t="s">
        <v>436</v>
      </c>
      <c r="B8" s="10" t="s">
        <v>531</v>
      </c>
      <c r="C8" s="27">
        <v>143000</v>
      </c>
      <c r="D8" s="10" t="s">
        <v>6</v>
      </c>
    </row>
    <row r="9" spans="1:4" x14ac:dyDescent="0.25">
      <c r="A9" s="10" t="s">
        <v>436</v>
      </c>
      <c r="B9" s="10" t="s">
        <v>532</v>
      </c>
      <c r="C9" s="27">
        <v>111100</v>
      </c>
      <c r="D9" s="10" t="s">
        <v>6</v>
      </c>
    </row>
    <row r="10" spans="1:4" x14ac:dyDescent="0.25">
      <c r="A10" s="10" t="s">
        <v>436</v>
      </c>
      <c r="B10" s="10" t="s">
        <v>533</v>
      </c>
      <c r="C10" s="27">
        <v>110000</v>
      </c>
      <c r="D10" s="10" t="s">
        <v>6</v>
      </c>
    </row>
    <row r="11" spans="1:4" x14ac:dyDescent="0.25">
      <c r="A11" s="10" t="s">
        <v>436</v>
      </c>
      <c r="B11" s="10" t="s">
        <v>534</v>
      </c>
      <c r="C11" s="27">
        <v>93500</v>
      </c>
      <c r="D11" s="10" t="s">
        <v>6</v>
      </c>
    </row>
    <row r="12" spans="1:4" x14ac:dyDescent="0.25">
      <c r="A12" s="10" t="s">
        <v>436</v>
      </c>
      <c r="B12" s="10" t="s">
        <v>535</v>
      </c>
      <c r="C12" s="27">
        <v>85800</v>
      </c>
      <c r="D12" s="10" t="s">
        <v>6</v>
      </c>
    </row>
    <row r="13" spans="1:4" x14ac:dyDescent="0.25">
      <c r="A13" s="10" t="s">
        <v>436</v>
      </c>
      <c r="B13" s="10" t="s">
        <v>536</v>
      </c>
      <c r="C13" s="27">
        <v>66000</v>
      </c>
      <c r="D13" s="10" t="s">
        <v>6</v>
      </c>
    </row>
    <row r="14" spans="1:4" x14ac:dyDescent="0.25">
      <c r="A14" s="10" t="s">
        <v>436</v>
      </c>
      <c r="B14" s="10" t="s">
        <v>537</v>
      </c>
      <c r="C14" s="27">
        <v>61800</v>
      </c>
      <c r="D14" s="10" t="s">
        <v>6</v>
      </c>
    </row>
    <row r="15" spans="1:4" x14ac:dyDescent="0.25">
      <c r="A15" s="10" t="s">
        <v>436</v>
      </c>
      <c r="B15" s="10" t="s">
        <v>538</v>
      </c>
      <c r="C15" s="27">
        <v>38500</v>
      </c>
      <c r="D15" s="10" t="s">
        <v>6</v>
      </c>
    </row>
    <row r="16" spans="1:4" x14ac:dyDescent="0.25">
      <c r="A16" s="10" t="s">
        <v>436</v>
      </c>
      <c r="B16" s="10" t="s">
        <v>539</v>
      </c>
      <c r="C16" s="27">
        <v>31900</v>
      </c>
      <c r="D16" s="10" t="s">
        <v>6</v>
      </c>
    </row>
    <row r="17" spans="1:4" x14ac:dyDescent="0.25">
      <c r="A17" s="10" t="s">
        <v>436</v>
      </c>
      <c r="B17" s="10" t="s">
        <v>540</v>
      </c>
      <c r="C17" s="27">
        <v>29700</v>
      </c>
      <c r="D17" s="10" t="s">
        <v>6</v>
      </c>
    </row>
    <row r="18" spans="1:4" x14ac:dyDescent="0.25">
      <c r="A18" s="10" t="s">
        <v>436</v>
      </c>
      <c r="B18" s="10" t="s">
        <v>541</v>
      </c>
      <c r="C18" s="27">
        <v>27500</v>
      </c>
      <c r="D18" s="10" t="s">
        <v>6</v>
      </c>
    </row>
    <row r="19" spans="1:4" x14ac:dyDescent="0.25">
      <c r="A19" s="10" t="s">
        <v>436</v>
      </c>
      <c r="B19" s="10" t="s">
        <v>542</v>
      </c>
      <c r="C19" s="27">
        <v>18700</v>
      </c>
      <c r="D19" s="10" t="s">
        <v>6</v>
      </c>
    </row>
    <row r="20" spans="1:4" x14ac:dyDescent="0.25">
      <c r="A20" s="10" t="s">
        <v>436</v>
      </c>
      <c r="B20" s="10" t="s">
        <v>543</v>
      </c>
      <c r="C20" s="27">
        <v>11000</v>
      </c>
      <c r="D20" s="10" t="s">
        <v>6</v>
      </c>
    </row>
    <row r="21" spans="1:4" x14ac:dyDescent="0.25">
      <c r="A21" s="10" t="s">
        <v>436</v>
      </c>
      <c r="B21" s="10" t="s">
        <v>544</v>
      </c>
      <c r="C21" s="27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2026-04-03T22:55:48Z</dcterms:created>
  <dcterms:modified xsi:type="dcterms:W3CDTF">2026-04-03T22:55:48Z</dcterms:modified>
</cp:coreProperties>
</file>