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<sst xmlns="http://schemas.openxmlformats.org/spreadsheetml/2006/main" count="1818" uniqueCount="514">
  <si>
    <t>あしたの会計事務所税理士法人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</si>
  <si>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</si>
  <si>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</si>
  <si>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</si>
  <si>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</si>
  <si>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</si>
  <si>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</si>
  <si>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</si>
  <si>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</si>
  <si>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</si>
  <si>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</si>
  <si>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</si>
  <si>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</si>
  <si>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</si>
  <si>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</si>
  <si>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</si>
  <si>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</si>
  <si>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</si>
  <si>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</si>
  <si>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</si>
  <si>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</si>
  <si>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</si>
  <si>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</si>
  <si>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</si>
  <si>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</si>
  <si>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</si>
  <si>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</si>
  <si>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</si>
  <si>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</si>
  <si>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</si>
  <si>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</si>
  <si>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</si>
  <si>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</si>
  <si>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</si>
  <si>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</si>
  <si>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</si>
  <si>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</si>
  <si>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</si>
  <si>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</si>
  <si>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</si>
  <si>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</si>
  <si>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</si>
  <si>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</si>
  <si>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</si>
  <si>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</si>
  <si>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</si>
  <si>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</si>
  <si>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</si>
  <si>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</si>
  <si>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</si>
  <si>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</si>
  <si>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</si>
  <si>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</si>
  <si>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</si>
  <si>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</si>
  <si>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</si>
  <si>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</si>
  <si>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</si>
  <si>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</si>
  <si>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</si>
  <si>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</si>
  <si>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</si>
  <si>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</si>
  <si>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</si>
  <si>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</si>
  <si>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</si>
  <si>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</si>
  <si>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</si>
  <si>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</si>
  <si>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</si>
  <si>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</si>
  <si>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</si>
  <si>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</si>
  <si>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</si>
  <si>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</si>
  <si>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</si>
  <si>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</si>
  <si>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</si>
  <si>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</si>
  <si>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</si>
  <si>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</si>
  <si>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</si>
  <si>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</si>
  <si>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</si>
  <si>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</si>
  <si>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</si>
  <si>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</si>
  <si>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</si>
  <si>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</si>
  <si>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</si>
  <si>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</si>
  <si>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</si>
  <si>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</si>
  <si>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</si>
  <si>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</si>
  <si>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</si>
  <si>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</si>
  <si>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</si>
  <si>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</si>
  <si>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</si>
  <si>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</si>
  <si>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</si>
  <si>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</si>
  <si>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</si>
  <si>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</si>
  <si>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</si>
  <si>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</si>
  <si>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</si>
  <si>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</si>
  <si>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</si>
  <si>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</si>
  <si>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</si>
  <si>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</si>
  <si>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</si>
  <si>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</si>
  <si>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</si>
  <si>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</si>
  <si>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</si>
  <si>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</si>
  <si>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</si>
  <si>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</si>
  <si>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</si>
  <si>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</si>
  <si>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</si>
  <si>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</si>
  <si>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</si>
  <si>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</si>
  <si>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</si>
  <si>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</si>
  <si>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</si>
  <si>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</si>
  <si>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</si>
  <si>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</si>
  <si>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</si>
  <si>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</si>
  <si>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</si>
  <si>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</si>
  <si>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</si>
  <si>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</si>
  <si>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</si>
  <si>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</si>
  <si>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</si>
  <si>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</si>
  <si>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</si>
  <si>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</si>
  <si>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</si>
  <si>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</si>
  <si>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</si>
  <si>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</si>
  <si>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</si>
  <si>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</si>
  <si>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</si>
  <si>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</si>
  <si>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</si>
  <si>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</si>
  <si>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</si>
  <si>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</si>
  <si>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</si>
  <si>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</si>
  <si>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</si>
  <si>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</si>
  <si>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</si>
  <si>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</si>
  <si>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</si>
  <si>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</si>
  <si>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</si>
  <si>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</si>
  <si>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</si>
  <si>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</si>
  <si>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</si>
  <si>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</si>
  <si>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</si>
  <si>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</si>
  <si>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</si>
  <si>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</si>
  <si>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</si>
  <si>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現金・預金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</si>
  <si>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</si>
  <si>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</si>
  <si>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</si>
  <si>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freeeで確認</t>
  </si>
  <si>
    <t>営業外・税金</t>
  </si>
  <si>
    <t>資金諸口に7,000,000円の残高があります。本来ゼロであるべき科目です。入出金の登録はあるが、相手方の仕訳が未処理の状態と考えられます。</t>
  </si>
  <si>
    <t>7,000,000円</t>
  </si>
  <si>
    <t>入出金の相手勘定（仕訳の片側）が未登録の取引を特定し、相手側を登録してください</t>
  </si>
  <si>
    <t>役員・関連取引</t>
  </si>
  <si>
    <t>「未払金（白根裕也）」の残高がマイナス（-159,343円）です。支払超過または仕訳の借貸逆転が考えられます。</t>
  </si>
  <si>
    <t>-159,343円</t>
  </si>
  <si>
    <t>過払い・二重支払いの有無を確認し、相手方への返金または仕訳修正を行ってください</t>
  </si>
  <si>
    <t>人件費</t>
  </si>
  <si>
    <t>役員報酬が前月と異なります。当月: 2,780,000円、前月平均: 2,782,500円（差額: -2,500円）。役員報酬は定期同額性（税務上の原則）を維持する必要があります。</t>
  </si>
  <si>
    <t>当月: 2,780,000円</t>
  </si>
  <si>
    <t>前月平均と同額の 2,782,500円 が正しいか確認してください</t>
  </si>
  <si>
    <t>残高異常</t>
  </si>
  <si>
    <t>「未収還付法人税等」にマイナス残高 -1,644円があります。 取引先「未選択」: -1,644円 ※当月取引からは原因を特定できません。期首からの累積の可能性があります。</t>
  </si>
  <si>
    <t>-1,644円</t>
  </si>
  <si>
    <t>記帳漏れまたは過大計上を確認してください</t>
  </si>
  <si>
    <t>「【税】freeeカード Unlimited」にマイナス残高 -139,997円があります。 取引先「未選択」: -2,086,285円 ※当月取引からは原因を特定できません。期首からの累積の可能性があります。</t>
  </si>
  <si>
    <t>-139,997円</t>
  </si>
  <si>
    <t>「未払金（白根裕也）」にマイナス残高 -159,343円があります。 取引先「税理士協同組合」: -6,596,764円、取引先「白根裕也公認会計士事務所」: -703,582円、取引先「武山　勇」: -110,000円 ※当月取引からは原因を特定できません。期首からの累積の可能性があります。</t>
  </si>
  <si>
    <t>「Amazonビジネス（API）」にマイナス残高 -4,767円があります。 取引先「未選択」: -727,455円 ※当月取引からは原因を特定できません。期首からの累積の可能性があります。</t>
  </si>
  <si>
    <t>-4,767円</t>
  </si>
  <si>
    <t>データ品質</t>
  </si>
  <si>
    <t>対象月（2026-02）末時点で、未登録の明細があります。freeeの「自動で経理」画面で確認してください。</t>
  </si>
  <si>
    <t>あり</t>
  </si>
  <si>
    <t>「取引＞自動で経理」で全件登録してください</t>
  </si>
  <si>
    <t>借入金・リース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</si>
  <si>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</si>
  <si>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</si>
  <si>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</si>
  <si>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</si>
  <si>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</si>
  <si>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</si>
  <si>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</si>
  <si>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</si>
  <si>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</si>
  <si>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</si>
  <si>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</si>
  <si>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</si>
  <si>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</si>
  <si>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</si>
  <si>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地代家賃</t>
  </si>
  <si>
    <t>地代家賃が前月平均比 98%増加しています（当月: 280,073円、前月平均: 141,573円）。（変動あり取引先: 役員・従業員）</t>
  </si>
  <si>
    <t>当月: 280,073円</t>
  </si>
  <si>
    <t>新規契約・解約・更新料等の理由がなければ、仕訳内容を確認してください</t>
  </si>
  <si>
    <t>法定福利費の比率が低すぎます。給与合計 4,790,686円 に対し 法定福利費 442,560円（9.2%）。正常値は概ね14〜15%です。</t>
  </si>
  <si>
    <t>9.2%（給与合計: 4,790,686円、法定福利費: 442,560円）</t>
  </si>
  <si>
    <t>法定福利費は社会保険対象の給与合計の14〜15%程度が正常です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</si>
  <si>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</si>
  <si>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</si>
  <si>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</si>
  <si>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外注費</t>
  </si>
  <si>
    <t>「支払手数料」で士業取引先「税理士協同組合」への支払 53,020円があります。「預り金（源泉所得税（士業））」に残高（24,504円）あり。源泉徴収（推定 5,413円 / 10.21%）の計上・納付を確認してください。</t>
  </si>
  <si>
    <t>支払額: 53,020円</t>
  </si>
  <si>
    <t>源泉所得税 約5,413円 を「預り金（源泉所得税（士業））」として計上し、翌月10日までに納付してください</t>
  </si>
  <si>
    <t>売上・売掛金</t>
  </si>
  <si>
    <t>「売掛金」の「Bemikreh」残高が2ヶ月連続で同額（91,800円）です。回収が滞留している可能性があります。</t>
  </si>
  <si>
    <t>91,800円（前月比変動なし）</t>
  </si>
  <si>
    <t>回収期日を確認し、顧客に入金を依頼してください。回収不能の場合は貸倒引当金の計上を検討してください</t>
  </si>
  <si>
    <t>「売掛金」の「PayPal」残高が2ヶ月連続で同額（300,984円）です。回収が滞留している可能性があります。</t>
  </si>
  <si>
    <t>300,984円（前月比変動なし）</t>
  </si>
  <si>
    <t>仕入・買掛金</t>
  </si>
  <si>
    <t>「外注費」が前月平均比 157%増加しています（当月: 133,554円、前月平均: 52,014円）。</t>
  </si>
  <si>
    <t>当月: 133,554円</t>
  </si>
  <si>
    <t>季節変動・大口発注以外の原因がなければ、計上漏れや二重計上を確認してください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</si>
  <si>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</si>
  <si>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</si>
  <si>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</si>
  <si>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</si>
  <si>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</si>
  <si>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「【税】江東信組（法人）」の残高 1,031,441円が前月から変動ありません（滞留の可能性）。</t>
  </si>
  <si>
    <t>1,031,441円（前月同額）</t>
  </si>
  <si>
    <t>回収・支払状況を確認し、必要に応じて貸倒処理や振替を検討してください</t>
  </si>
  <si>
    <t xml:space="preserve">　　取引先「未選択」で滞留</t>
  </si>
  <si>
    <t>33,259,179円</t>
  </si>
  <si>
    <t>明細を開く</t>
  </si>
  <si>
    <t xml:space="preserve">　　取引先「年金事務所」で滞留</t>
  </si>
  <si>
    <t>-25,074,744円</t>
  </si>
  <si>
    <t xml:space="preserve">　　取引先「独立行政法人 中小企業基盤整備機構」で滞留</t>
  </si>
  <si>
    <t>-3,988,120円</t>
  </si>
  <si>
    <t xml:space="preserve">　　取引先「江東信用組合」で滞留</t>
  </si>
  <si>
    <t>3,713,873円</t>
  </si>
  <si>
    <t xml:space="preserve">　　取引先「日本政策金融公庫」で滞留</t>
  </si>
  <si>
    <t>-3,467,575円</t>
  </si>
  <si>
    <t>「【税】城北信金（法人）」の残高 310,384円が前月から変動ありません（滞留の可能性）。</t>
  </si>
  <si>
    <t>310,384円（前月同額）</t>
  </si>
  <si>
    <t>464,362円</t>
  </si>
  <si>
    <t xml:space="preserve">　　取引先「東京信用保証協会」で滞留</t>
  </si>
  <si>
    <t>-142,450円</t>
  </si>
  <si>
    <t xml:space="preserve">　　取引先「城北信金」で滞留</t>
  </si>
  <si>
    <t>-62,523円</t>
  </si>
  <si>
    <t xml:space="preserve">　　取引先「台東区」で滞留</t>
  </si>
  <si>
    <t>50,995円</t>
  </si>
  <si>
    <t>「【会】ＰａｙＰａｙ銀行」の残高 -350,413円が前月から変動ありません（滞留の可能性）。</t>
  </si>
  <si>
    <t>-350,413円（前月同額）</t>
  </si>
  <si>
    <t>-141,358,554円</t>
  </si>
  <si>
    <t xml:space="preserve">　　取引先「白根裕也公認会計士事務所」で滞留</t>
  </si>
  <si>
    <t>109,339,053円</t>
  </si>
  <si>
    <t xml:space="preserve">　　取引先「税理士協同組合」で滞留</t>
  </si>
  <si>
    <t>66,389,838円</t>
  </si>
  <si>
    <t xml:space="preserve">　　取引先「役員・従業員」で滞留</t>
  </si>
  <si>
    <t>-23,104,696円</t>
  </si>
  <si>
    <t>9,999,780円</t>
  </si>
  <si>
    <t>「前払費用」の残高 812,709円が前月から変動ありません（滞留の可能性）。</t>
  </si>
  <si>
    <t>812,709円（前月同額）</t>
  </si>
  <si>
    <t xml:space="preserve">　　取引先「フリー㈱」で滞留</t>
  </si>
  <si>
    <t>444,386円</t>
  </si>
  <si>
    <t xml:space="preserve">　　取引先「エン・ジャパン㈱」で滞留</t>
  </si>
  <si>
    <t>330,000円</t>
  </si>
  <si>
    <t xml:space="preserve">　　取引先「㈱アックスコンサルティング」で滞留</t>
  </si>
  <si>
    <t>27,500円</t>
  </si>
  <si>
    <t xml:space="preserve">　　取引先「JR東日本（東日本旅客鉄道㈱）」で滞留</t>
  </si>
  <si>
    <t>10,823円</t>
  </si>
  <si>
    <t>「工具器具備品」の残高 510,490円が前月から変動ありません（滞留の可能性）。</t>
  </si>
  <si>
    <t>510,490円（前月同額）</t>
  </si>
  <si>
    <t>-1,249,920円</t>
  </si>
  <si>
    <t xml:space="preserve">　　取引先「㈱日本HP」で滞留</t>
  </si>
  <si>
    <t>1,058,270円</t>
  </si>
  <si>
    <t xml:space="preserve">　　取引先「アマゾンジャパン(同)」で滞留</t>
  </si>
  <si>
    <t>436,942円</t>
  </si>
  <si>
    <t xml:space="preserve">　　取引先「ヨドバシカメラ」で滞留</t>
  </si>
  <si>
    <t>148,280円</t>
  </si>
  <si>
    <t xml:space="preserve">　　取引先「ナビット」で滞留</t>
  </si>
  <si>
    <t>116,918円</t>
  </si>
  <si>
    <t>「一括償却資産」の残高 327,800円が前月から変動ありません（滞留の可能性）。</t>
  </si>
  <si>
    <t>327,800円（前月同額）</t>
  </si>
  <si>
    <t>168,000円</t>
  </si>
  <si>
    <t>159,800円</t>
  </si>
  <si>
    <t>「出資金」の残高 20,000円が前月から変動ありません（滞留の可能性）。</t>
  </si>
  <si>
    <t>20,000円（前月同額）</t>
  </si>
  <si>
    <t>10,000円</t>
  </si>
  <si>
    <t>「前受金」の残高 113,300円が前月から変動ありません（滞留の可能性）。</t>
  </si>
  <si>
    <t>113,300円（前月同額）</t>
  </si>
  <si>
    <t xml:space="preserve">　　取引先「㈱モトジン・ドット・コム」で滞留</t>
  </si>
  <si>
    <t>113,300円</t>
  </si>
  <si>
    <t>「【会】アメリカン・エキスプレス」の残高 11,880円が前月から変動ありません（滞留の可能性）。</t>
  </si>
  <si>
    <t>11,880円（前月同額）</t>
  </si>
  <si>
    <t>-413,633円</t>
  </si>
  <si>
    <t xml:space="preserve">　　取引先「NTT東日本」で滞留</t>
  </si>
  <si>
    <t>172,260円</t>
  </si>
  <si>
    <t>109,560円</t>
  </si>
  <si>
    <t xml:space="preserve">　　取引先「Whereby AS」で滞留</t>
  </si>
  <si>
    <t>67,793円</t>
  </si>
  <si>
    <t xml:space="preserve">　　取引先「efax (j2 Global Japan㈲)」で滞留</t>
  </si>
  <si>
    <t>39,600円</t>
  </si>
  <si>
    <t>「未払金（長瀬祐基）」の残高 129,052円が前月から変動ありません（滞留の可能性）。</t>
  </si>
  <si>
    <t>129,052円（前月同額）</t>
  </si>
  <si>
    <t>-1,905,991円</t>
  </si>
  <si>
    <t xml:space="preserve">　　取引先「公認会計士協会」で滞留</t>
  </si>
  <si>
    <t>768,000円</t>
  </si>
  <si>
    <t xml:space="preserve">　　取引先「中小企業診断士協会」で滞留</t>
  </si>
  <si>
    <t>269,637円</t>
  </si>
  <si>
    <t>165,500円</t>
  </si>
  <si>
    <t xml:space="preserve">　　取引先「日本郵便㈱」で滞留</t>
  </si>
  <si>
    <t>104,455円</t>
  </si>
  <si>
    <t>「役員借入金」の残高 1,331,810円が前月から変動ありません（滞留の可能性）。</t>
  </si>
  <si>
    <t>1,331,810円（前月同額）</t>
  </si>
  <si>
    <t xml:space="preserve">　　取引先「長瀬 祐基」で滞留</t>
  </si>
  <si>
    <t>1,071,389円</t>
  </si>
  <si>
    <t>260,421円</t>
  </si>
  <si>
    <t>「長期借入金」の残高 13,255,000円が前月から変動ありません（滞留の可能性）。</t>
  </si>
  <si>
    <t>13,255,000円（前月同額）</t>
  </si>
  <si>
    <t>4,875,000円</t>
  </si>
  <si>
    <t>4,820,000円</t>
  </si>
  <si>
    <t>4,040,000円</t>
  </si>
  <si>
    <t>-480,000円</t>
  </si>
  <si>
    <t>仮勘定「前受金」に 113,300円の残高があります。</t>
  </si>
  <si>
    <t>内容を確認し、適切な科目に振り替えてください</t>
  </si>
  <si>
    <t xml:space="preserve">　　[品目] 未選択</t>
  </si>
  <si>
    <t>期間配分</t>
  </si>
  <si>
    <t>「前払費用」の残高 812,709円が前月から変動していません。月割償却が行われていない可能性があります。</t>
  </si>
  <si>
    <t>月割で前払費用を取り崩す仕訳を確認してください</t>
  </si>
  <si>
    <t>812,709円</t>
  </si>
  <si>
    <t>「地代家賃」で以下の取引先への計上が当月ありません。計上漏れの可能性があります: 「役員・従業員」（前月平均: 103,875円/月）</t>
  </si>
  <si>
    <t>当月 計上なし</t>
  </si>
  <si>
    <t>役員・従業員: 約103,875円</t>
  </si>
  <si>
    <t>「支払手数料」で以下の取引先への計上が当月ありません。計上漏れの可能性があります: 「㈱TKC」（前月平均: 176,618円/月）、「ベアーズ経営労務コンサルティング 熊倉 智光」（前月平均: 66,000円/月）</t>
  </si>
  <si>
    <t>㈱TKC: 約176,618円、ベアーズ経営労務コンサルティング 熊倉 智光: 約66,000円</t>
  </si>
  <si>
    <t>「通信費」で以下の取引先への計上が当月ありません。計上漏れの可能性があります: 「(一社)GERIA」（前月平均: 12,100円/月）、「日本マイクロソフト㈱」（前月平均: 10,650円/月）、「日本郵便㈱」（前月平均: 9,700円/月）、「Front Agent (Umee Technologies㈱)」（前月平均: 6,578円/月）</t>
  </si>
  <si>
    <t>(一社)GERIA: 約12,100円、日本マイクロソフト㈱: 約10,650円、日本郵便㈱: 約9,700円、Front Agent (Umee Technologies㈱): 約6,578円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</si>
  <si>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</si>
  <si>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</si>
  <si>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</si>
  <si>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受取利息25,338円に対する源泉所得税（15.315%）の計上を確認してください。</t>
  </si>
  <si>
    <t>受取利息: 25,338円</t>
  </si>
  <si>
    <t>源泉税 約3,880円を「法人税・住民税及び事業税」または「仮払法人税等」で処理してください</t>
  </si>
  <si>
    <t>「退職給付費用」が前月平均比 126%変動しています（当月: -28,500円、前月平均: 110,000円）。</t>
  </si>
  <si>
    <t>当月: -28,500円</t>
  </si>
  <si>
    <t>計上内容と金額の妥当性を確認してください</t>
  </si>
  <si>
    <t>「採用教育費」が前月平均比 91%変動しています（当月: 33,000円、前月平均: 376,952円）。</t>
  </si>
  <si>
    <t>当月: 33,000円</t>
  </si>
  <si>
    <t>「旅費交通費」が前月平均比 58%変動しています（当月: 34,588円、前月平均: 82,307円）。</t>
  </si>
  <si>
    <t>当月: 34,588円</t>
  </si>
  <si>
    <t>「資金諸口」に 7,000,000円の残高があります（本来ゼロであるべき科目）。</t>
  </si>
  <si>
    <t>「支払手数料」の取引先「船井総研」が前月平均比 85% 変動しています（前月平均: 107,250円 → 当月: 198,000円）。期間配分の観点から確認を推奨します。</t>
  </si>
  <si>
    <t>当月: 198,000円（前月平均: 107,250円）</t>
  </si>
  <si>
    <t>一時的な金額増減か、契約変更等によるものか確認してください</t>
  </si>
  <si>
    <t>「支払手数料」の取引先「ATSKY㈱」が前月平均比 100% 変動しています（前月平均: 11,000円 → 当月: -22,000円）。期間配分の観点から確認を推奨します。</t>
  </si>
  <si>
    <t>当月: -22,000円（前月平均: 11,000円）</t>
  </si>
  <si>
    <t>「通信費」の取引先「Google」が前月平均比 52% 変動しています（前月平均: 16,552円 → 当月: 25,117円）。期間配分の観点から確認を推奨します。</t>
  </si>
  <si>
    <t>当月: 25,117円（前月平均: 16,552円）</t>
  </si>
  <si>
    <t>「通信費」の取引先「ソフトバンク㈱」が前月平均比 82% 変動しています（前月平均: 12,350円 → 当月: 22,534円）。期間配分の観点から確認を推奨します。</t>
  </si>
  <si>
    <t>当月: 22,534円（前月平均: 12,350円）</t>
  </si>
  <si>
    <t>勘定科目と消費税区分の組み合わせの妥当性を検証します。</t>
  </si>
  <si>
    <t>✅ 指摘事項はありません</t>
  </si>
  <si>
    <t>士業報酬・外注費等の源泉徴収の漏れ・計算誤りを検出します。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</si>
  <si>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</si>
  <si>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</si>
  <si>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</si>
  <si>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</si>
  <si>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</si>
  <si>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</si>
  <si>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</si>
  <si>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</si>
  <si>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</si>
  <si>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</si>
  <si>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</si>
  <si>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【税】ＰａｙＰａｙ銀行</t>
  </si>
  <si>
    <t>-3.5%</t>
  </si>
  <si>
    <t>元帳を開く</t>
  </si>
  <si>
    <t>【税】江東信組（法人）</t>
  </si>
  <si>
    <t>0.0%</t>
  </si>
  <si>
    <t>【税】城北信金（法人）</t>
  </si>
  <si>
    <t>【会】ＰａｙＰａｙ銀行</t>
  </si>
  <si>
    <t>売掛金</t>
  </si>
  <si>
    <t>5.1%</t>
  </si>
  <si>
    <t>貸倒引当金(売)</t>
  </si>
  <si>
    <t>PayPal（法人）</t>
  </si>
  <si>
    <t>684.9%</t>
  </si>
  <si>
    <t>△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</si>
  <si>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</si>
  <si>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</si>
  <si>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</si>
  <si>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</si>
  <si>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</si>
  <si>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</si>
  <si>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</si>
  <si>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-2.2%</t>
  </si>
  <si>
    <t>ソフトウェア</t>
  </si>
  <si>
    <t>-2.8%</t>
  </si>
  <si>
    <t>出資金</t>
  </si>
  <si>
    <t>敷金</t>
  </si>
  <si>
    <t>長期前払費用</t>
  </si>
  <si>
    <t>-3.3%</t>
  </si>
  <si>
    <t>保険積立金</t>
  </si>
  <si>
    <t>0.7%</t>
  </si>
  <si>
    <t>資金諸口</t>
  </si>
  <si>
    <t>40.0%</t>
  </si>
  <si>
    <t>未払金</t>
  </si>
  <si>
    <t>18.2%</t>
  </si>
  <si>
    <t>未払費用</t>
  </si>
  <si>
    <t>9.1%</t>
  </si>
  <si>
    <t>未払法人税等</t>
  </si>
  <si>
    <t>未払消費税等</t>
  </si>
  <si>
    <t>前受金</t>
  </si>
  <si>
    <t>預り金</t>
  </si>
  <si>
    <t>-14.5%</t>
  </si>
  <si>
    <t>【税】アメリカン・エキスプレス</t>
  </si>
  <si>
    <t>-6.8%</t>
  </si>
  <si>
    <t>【税】オリコ</t>
  </si>
  <si>
    <t>1997.6%</t>
  </si>
  <si>
    <t>【税】freeeカード Unlimited</t>
  </si>
  <si>
    <t>-1.8%</t>
  </si>
  <si>
    <t>【会】アメリカン・エキスプレス</t>
  </si>
  <si>
    <t>未払金（白根裕也）</t>
  </si>
  <si>
    <t>6.4%</t>
  </si>
  <si>
    <t>未払金（長瀬祐基）</t>
  </si>
  <si>
    <t>役員借入金</t>
  </si>
  <si>
    <t>Amazonビジネス（API）</t>
  </si>
  <si>
    <t>長期借入金</t>
  </si>
  <si>
    <t>長期未払金</t>
  </si>
  <si>
    <t>-1.5%</t>
  </si>
  <si>
    <t>資本金</t>
  </si>
  <si>
    <t>繰越利益</t>
  </si>
  <si>
    <t>損益計算書 月次推移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</si>
  <si>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</si>
  <si>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</si>
  <si>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</si>
  <si>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</si>
  <si>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</si>
  <si>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</si>
  <si>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</si>
  <si>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</si>
  <si>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</si>
  <si>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</si>
  <si>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給料手当</t>
  </si>
  <si>
    <t xml:space="preserve">  賞与</t>
  </si>
  <si>
    <t xml:space="preserve">  退職給付費用</t>
  </si>
  <si>
    <t xml:space="preserve">  法定福利費</t>
  </si>
  <si>
    <t xml:space="preserve">  福利厚生費</t>
  </si>
  <si>
    <t xml:space="preserve">  採用教育費</t>
  </si>
  <si>
    <t xml:space="preserve">  外注費</t>
  </si>
  <si>
    <t xml:space="preserve">  広告宣伝費</t>
  </si>
  <si>
    <t xml:space="preserve">  交際費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</si>
  <si>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</si>
  <si>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</si>
  <si>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</si>
  <si>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</si>
  <si>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水道光熱費</t>
  </si>
  <si>
    <t xml:space="preserve">  新聞図書費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</si>
  <si>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</si>
  <si>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</si>
  <si>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</si>
  <si>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</si>
  <si>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減価償却費</t>
  </si>
  <si>
    <t xml:space="preserve">  長期前払費用償却</t>
  </si>
  <si>
    <t xml:space="preserve">  雑費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</si>
  <si>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</si>
  <si>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</si>
  <si>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</si>
  <si>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</si>
  <si>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</si>
  <si>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</si>
  <si>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</si>
  <si>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</si>
  <si>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</si>
  <si>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</si>
  <si>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</si>
  <si>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</si>
  <si>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</si>
  <si>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</si>
  <si>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>取引先名</t>
  </si>
  <si>
    <t>残高</t>
  </si>
  <si>
    <t>滞留判定</t>
  </si>
  <si>
    <t>税理士協同組合</t>
  </si>
  <si>
    <t>未選択</t>
  </si>
  <si>
    <t>あしたの会計事務所</t>
  </si>
  <si>
    <t>滞留</t>
  </si>
  <si>
    <t>PayPal</t>
  </si>
  <si>
    <t>Bemikreh</t>
  </si>
  <si>
    <t>加藤 晋介</t>
  </si>
  <si>
    <t>SPACE HEAD㈱</t>
  </si>
  <si>
    <t>㈱本澤式賃金研究所</t>
  </si>
  <si>
    <t>晃桜花プロダクション 株式会社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</si>
</sst>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7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2-01&amp;end_date=2026-02-28" TargetMode="External"/><Relationship Id="rId3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4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5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6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7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8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9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3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4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5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16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17" Type="http://schemas.openxmlformats.org/officeDocument/2006/relationships/hyperlink" Target="https://secure.freee.co.jp/reports/general_ledgers/show?name=%E9%A0%90%E3%82%8A%E9%87%91&amp;start_date=2026-02-01&amp;end_date=2026-02-28" TargetMode="External"/><Relationship Id="rId18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21" Type="http://schemas.openxmlformats.org/officeDocument/2006/relationships/hyperlink" Target="https://secure.freee.co.jp/reports/general_ledgers/show?name=%E5%A4%96%E6%B3%A8%E8%B2%BB&amp;start_date=2026-02-01&amp;end_date=2026-02-28" TargetMode="External"/><Relationship Id="rId22" Type="http://schemas.openxmlformats.org/officeDocument/2006/relationships/hyperlink" Target="https://secure.freee.co.jp/reports/general_ledgers/show?name=%E6%9C%AA%E6%89%95%E9%87%91&amp;start_date=2026-02-01&amp;end_date=2026-02-28" TargetMode="External"/><Relationship Id="rId23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24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25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26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383298" TargetMode="External"/><Relationship Id="rId27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4116745" TargetMode="External"/><Relationship Id="rId28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554360" TargetMode="External"/><Relationship Id="rId29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8906388" TargetMode="External"/><Relationship Id="rId30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31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32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826" TargetMode="External"/><Relationship Id="rId3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575" TargetMode="External"/><Relationship Id="rId34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4436027" TargetMode="External"/><Relationship Id="rId35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36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37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2475309" TargetMode="External"/><Relationship Id="rId38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554601" TargetMode="External"/><Relationship Id="rId39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5030693" TargetMode="External"/><Relationship Id="rId40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8906388" TargetMode="External"/><Relationship Id="rId41" Type="http://schemas.openxmlformats.org/officeDocument/2006/relationships/hyperlink" Target="https://secure.freee.co.jp/reports/journals?start_date=2024-10-01&amp;end_date=2026-02-28&amp;name=%E5%89%8D%E6%89%95%E8%B2%BB%E7%94%A8" TargetMode="External"/><Relationship Id="rId42" Type="http://schemas.openxmlformats.org/officeDocument/2006/relationships/hyperlink" Target="https://secure.freee.co.jp/reports/journals?start_date=2024-10-01&amp;end_date=2026-02-28&amp;name=%E5%89%8D%E6%89%95%E8%B2%BB%E7%94%A8&amp;partner_id=4436058" TargetMode="External"/><Relationship Id="rId43" Type="http://schemas.openxmlformats.org/officeDocument/2006/relationships/hyperlink" Target="https://secure.freee.co.jp/reports/journals?start_date=2024-10-01&amp;end_date=2026-02-28&amp;name=%E5%89%8D%E6%89%95%E8%B2%BB%E7%94%A8&amp;partner_id=105816142" TargetMode="External"/><Relationship Id="rId44" Type="http://schemas.openxmlformats.org/officeDocument/2006/relationships/hyperlink" Target="https://secure.freee.co.jp/reports/journals?start_date=2024-10-01&amp;end_date=2026-02-28&amp;name=%E5%89%8D%E6%89%95%E8%B2%BB%E7%94%A8&amp;partner_id=4388246" TargetMode="External"/><Relationship Id="rId45" Type="http://schemas.openxmlformats.org/officeDocument/2006/relationships/hyperlink" Target="https://secure.freee.co.jp/reports/journals?start_date=2024-10-01&amp;end_date=2026-02-28&amp;name=%E5%89%8D%E6%89%95%E8%B2%BB%E7%94%A8&amp;partner_id=4831438" TargetMode="External"/><Relationship Id="rId46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47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48" Type="http://schemas.openxmlformats.org/officeDocument/2006/relationships/hyperlink" Target="https://secure.freee.co.jp/reports/journals?start_date=2021-10-01&amp;end_date=2026-02-28&amp;name=%E5%B7%A5%E5%85%B7%E5%99%A8%E5%85%B7%E5%82%99%E5%93%81&amp;partner_id=14111819" TargetMode="External"/><Relationship Id="rId49" Type="http://schemas.openxmlformats.org/officeDocument/2006/relationships/hyperlink" Target="https://secure.freee.co.jp/reports/journals?start_date=2021-10-01&amp;end_date=2026-02-28&amp;name=%E5%B7%A5%E5%85%B7%E5%99%A8%E5%85%B7%E5%82%99%E5%93%81&amp;partner_id=3554901" TargetMode="External"/><Relationship Id="rId50" Type="http://schemas.openxmlformats.org/officeDocument/2006/relationships/hyperlink" Target="https://secure.freee.co.jp/reports/journals?start_date=2021-10-01&amp;end_date=2026-02-28&amp;name=%E5%B7%A5%E5%85%B7%E5%99%A8%E5%85%B7%E5%82%99%E5%93%81&amp;partner_id=3554733" TargetMode="External"/><Relationship Id="rId51" Type="http://schemas.openxmlformats.org/officeDocument/2006/relationships/hyperlink" Target="https://secure.freee.co.jp/reports/journals?start_date=2021-10-01&amp;end_date=2026-02-28&amp;name=%E5%B7%A5%E5%85%B7%E5%99%A8%E5%85%B7%E5%82%99%E5%93%81&amp;partner_id=7287393" TargetMode="External"/><Relationship Id="rId52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53" Type="http://schemas.openxmlformats.org/officeDocument/2006/relationships/hyperlink" Target="https://secure.freee.co.jp/reports/journals?start_date=2024-10-01&amp;end_date=2026-02-28&amp;name=%E4%B8%80%E6%8B%AC%E5%84%9F%E5%8D%B4%E8%B3%87%E7%94%A3&amp;partner_id=3554901" TargetMode="External"/><Relationship Id="rId54" Type="http://schemas.openxmlformats.org/officeDocument/2006/relationships/hyperlink" Target="https://secure.freee.co.jp/reports/journals?start_date=2024-10-01&amp;end_date=2026-02-28&amp;name=%E4%B8%80%E6%8B%AC%E5%84%9F%E5%8D%B4%E8%B3%87%E7%94%A3&amp;partner_id=14111819" TargetMode="External"/><Relationship Id="rId55" Type="http://schemas.openxmlformats.org/officeDocument/2006/relationships/hyperlink" Target="https://secure.freee.co.jp/reports/journals?start_date=2022-10-01&amp;end_date=2026-02-28&amp;name=%E5%87%BA%E8%B3%87%E9%87%91" TargetMode="External"/><Relationship Id="rId56" Type="http://schemas.openxmlformats.org/officeDocument/2006/relationships/hyperlink" Target="https://secure.freee.co.jp/reports/journals?start_date=2022-10-01&amp;end_date=2026-02-28&amp;name=%E5%87%BA%E8%B3%87%E9%87%91&amp;partner_id=87636575" TargetMode="External"/><Relationship Id="rId57" Type="http://schemas.openxmlformats.org/officeDocument/2006/relationships/hyperlink" Target="https://secure.freee.co.jp/reports/journals?start_date=2022-10-01&amp;end_date=2026-02-28&amp;name=%E5%87%BA%E8%B3%87%E9%87%91&amp;partner_id=3554360" TargetMode="External"/><Relationship Id="rId58" Type="http://schemas.openxmlformats.org/officeDocument/2006/relationships/hyperlink" Target="https://secure.freee.co.jp/reports/journals?start_date=2023-10-01&amp;end_date=2026-02-28&amp;name=%E5%89%8D%E5%8F%97%E9%87%91" TargetMode="External"/><Relationship Id="rId59" Type="http://schemas.openxmlformats.org/officeDocument/2006/relationships/hyperlink" Target="https://secure.freee.co.jp/reports/journals?start_date=2023-10-01&amp;end_date=2026-02-28&amp;name=%E5%89%8D%E5%8F%97%E9%87%91&amp;partner_id=42939021" TargetMode="External"/><Relationship Id="rId6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61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62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4533977" TargetMode="External"/><Relationship Id="rId63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4436058" TargetMode="External"/><Relationship Id="rId64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67809478" TargetMode="External"/><Relationship Id="rId65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8765821" TargetMode="External"/><Relationship Id="rId66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67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68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436009" TargetMode="External"/><Relationship Id="rId69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5005671" TargetMode="External"/><Relationship Id="rId70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1438" TargetMode="External"/><Relationship Id="rId71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0713" TargetMode="External"/><Relationship Id="rId72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73" Type="http://schemas.openxmlformats.org/officeDocument/2006/relationships/hyperlink" Target="https://secure.freee.co.jp/reports/journals?start_date=2024-10-01&amp;end_date=2026-02-28&amp;name=%E5%BD%B9%E5%93%A1%E5%80%9F%E5%85%A5%E9%87%91&amp;partner_id=3351933" TargetMode="External"/><Relationship Id="rId74" Type="http://schemas.openxmlformats.org/officeDocument/2006/relationships/hyperlink" Target="https://secure.freee.co.jp/reports/journals?start_date=2024-10-01&amp;end_date=2026-02-28&amp;name=%E5%BD%B9%E5%93%A1%E5%80%9F%E5%85%A5%E9%87%91&amp;partner_id=2475309" TargetMode="External"/><Relationship Id="rId75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76" Type="http://schemas.openxmlformats.org/officeDocument/2006/relationships/hyperlink" Target="https://secure.freee.co.jp/reports/journals?start_date=2024-10-01&amp;end_date=2026-02-28&amp;name=%E9%95%B7%E6%9C%9F%E5%80%9F%E5%85%A5%E9%87%91&amp;partner_id=38906388" TargetMode="External"/><Relationship Id="rId77" Type="http://schemas.openxmlformats.org/officeDocument/2006/relationships/hyperlink" Target="https://secure.freee.co.jp/reports/journals?start_date=2024-10-01&amp;end_date=2026-02-28&amp;name=%E9%95%B7%E6%9C%9F%E5%80%9F%E5%85%A5%E9%87%91&amp;partner_id=87636575" TargetMode="External"/><Relationship Id="rId78" Type="http://schemas.openxmlformats.org/officeDocument/2006/relationships/hyperlink" Target="https://secure.freee.co.jp/reports/journals?start_date=2024-10-01&amp;end_date=2026-02-28&amp;name=%E9%95%B7%E6%9C%9F%E5%80%9F%E5%85%A5%E9%87%91&amp;partner_id=3554360" TargetMode="External"/><Relationship Id="rId79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80" Type="http://schemas.openxmlformats.org/officeDocument/2006/relationships/hyperlink" Target="https://secure.freee.co.jp/reports/journals?start_date=2023-10-01&amp;end_date=2026-02-28&amp;name=%E5%89%8D%E5%8F%97%E9%87%91" TargetMode="External"/><Relationship Id="rId81" Type="http://schemas.openxmlformats.org/officeDocument/2006/relationships/hyperlink" Target="https://secure.freee.co.jp/reports/journals?start_date=2023-10-01&amp;end_date=2026-02-28&amp;name=%E5%89%8D%E5%8F%97%E9%87%91" TargetMode="External"/><Relationship Id="rId82" Type="http://schemas.openxmlformats.org/officeDocument/2006/relationships/hyperlink" Target="https://secure.freee.co.jp/reports/journals?start_date=2024-10-01&amp;end_date=2026-02-28&amp;name=%E5%89%8D%E6%89%95%E8%B2%BB%E7%94%A8" TargetMode="External"/><Relationship Id="rId83" Type="http://schemas.openxmlformats.org/officeDocument/2006/relationships/hyperlink" Target="https://secure.freee.co.jp/reports/journals?start_date=2024-10-01&amp;end_date=2026-02-28&amp;name=%E5%89%8D%E6%89%95%E8%B2%BB%E7%94%A8" TargetMode="External"/><Relationship Id="rId84" Type="http://schemas.openxmlformats.org/officeDocument/2006/relationships/hyperlink" Target="https://secure.freee.co.jp/reports/journals?start_date=2025-10-01&amp;end_date=2026-02-28&amp;name=%E5%9C%B0%E4%BB%A3%E5%AE%B6%E8%B3%83" TargetMode="External"/><Relationship Id="rId85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86" Type="http://schemas.openxmlformats.org/officeDocument/2006/relationships/hyperlink" Target="https://secure.freee.co.jp/reports/journals?start_date=2025-10-01&amp;end_date=2026-02-28&amp;name=%E9%80%9A%E4%BF%A1%E8%B2%BB" TargetMode="External"/><Relationship Id="rId87" Type="http://schemas.openxmlformats.org/officeDocument/2006/relationships/hyperlink" Target="https://secure.freee.co.jp/reports/general_ledgers/show?name=%E9%9B%91%E5%8F%8E%E5%85%A5&amp;start_date=2026-02-01&amp;end_date=2026-02-28" TargetMode="External"/><Relationship Id="rId88" Type="http://schemas.openxmlformats.org/officeDocument/2006/relationships/hyperlink" Target="https://secure.freee.co.jp/reports/general_ledgers/show?name=%E9%80%80%E8%81%B7%E7%B5%A6%E4%BB%98%E8%B2%BB%E7%94%A8&amp;start_date=2026-02-01&amp;end_date=2026-02-28" TargetMode="External"/><Relationship Id="rId89" Type="http://schemas.openxmlformats.org/officeDocument/2006/relationships/hyperlink" Target="https://secure.freee.co.jp/reports/general_ledgers/show?name=%E6%8E%A1%E7%94%A8%E6%95%99%E8%82%B2%E8%B2%BB&amp;start_date=2026-02-01&amp;end_date=2026-02-28" TargetMode="External"/><Relationship Id="rId90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91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Relationship Id="rId92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93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94" Type="http://schemas.openxmlformats.org/officeDocument/2006/relationships/hyperlink" Target="https://secure.freee.co.jp/reports/journals?start_date=2025-10-01&amp;end_date=2026-02-28&amp;name=%E9%80%9A%E4%BF%A1%E8%B2%BB" TargetMode="External"/><Relationship Id="rId95" Type="http://schemas.openxmlformats.org/officeDocument/2006/relationships/hyperlink" Target="https://secure.freee.co.jp/reports/journals?start_date=2025-10-01&amp;end_date=2026-02-28&amp;name=%E9%80%9A%E4%BF%A1%E8%B2%BB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4%BC%9A%E3%80%91%EF%BC%B0%EF%BD%81%EF%BD%99%EF%BC%B0%EF%BD%81%EF%BD%99%E9%8A%80%E8%A1%8C&amp;start_date=2026-02-01&amp;end_date=2026-02-28" TargetMode="External"/><Relationship Id="rId2" Type="http://schemas.openxmlformats.org/officeDocument/2006/relationships/hyperlink" Target="https://secure.freee.co.jp/reports/general_ledgers/show?name=%E6%9C%AA%E6%89%95%E9%87%91%EF%BC%88%E7%99%BD%E6%A0%B9%E8%A3%95%E4%B9%9F%EF%BC%89&amp;start_date=2026-02-01&amp;end_date=2026-02-28" TargetMode="External"/><Relationship Id="rId3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4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5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6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7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8" Type="http://schemas.openxmlformats.org/officeDocument/2006/relationships/hyperlink" Target="https://secure.freee.co.jp/reports/general_ledgers/show?name=%E5%BD%B9%E5%93%A1%E5%80%9F%E5%85%A5%E9%87%91&amp;start_date=2026-02-01&amp;end_date=2026-02-28" TargetMode="External"/><Relationship Id="rId9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0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1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2" Type="http://schemas.openxmlformats.org/officeDocument/2006/relationships/hyperlink" Target="https://secure.freee.co.jp/reports/general_ledgers/show?name=%E9%95%B7%E6%9C%9F%E5%80%9F%E5%85%A5%E9%87%91&amp;start_date=2026-02-01&amp;end_date=2026-02-28" TargetMode="External"/><Relationship Id="rId13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14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15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383298" TargetMode="External"/><Relationship Id="rId16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4116745" TargetMode="External"/><Relationship Id="rId17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554360" TargetMode="External"/><Relationship Id="rId18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&amp;partner_id=38906388" TargetMode="External"/><Relationship Id="rId19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20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21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826" TargetMode="External"/><Relationship Id="rId22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87636575" TargetMode="External"/><Relationship Id="rId2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&amp;partner_id=4436027" TargetMode="External"/><Relationship Id="rId24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25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26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2475309" TargetMode="External"/><Relationship Id="rId27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554601" TargetMode="External"/><Relationship Id="rId28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5030693" TargetMode="External"/><Relationship Id="rId29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&amp;partner_id=38906388" TargetMode="External"/><Relationship Id="rId30" Type="http://schemas.openxmlformats.org/officeDocument/2006/relationships/hyperlink" Target="https://secure.freee.co.jp/reports/journals?start_date=2024-10-01&amp;end_date=2026-02-28&amp;name=%E5%89%8D%E6%89%95%E8%B2%BB%E7%94%A8" TargetMode="External"/><Relationship Id="rId31" Type="http://schemas.openxmlformats.org/officeDocument/2006/relationships/hyperlink" Target="https://secure.freee.co.jp/reports/journals?start_date=2024-10-01&amp;end_date=2026-02-28&amp;name=%E5%89%8D%E6%89%95%E8%B2%BB%E7%94%A8&amp;partner_id=4436058" TargetMode="External"/><Relationship Id="rId32" Type="http://schemas.openxmlformats.org/officeDocument/2006/relationships/hyperlink" Target="https://secure.freee.co.jp/reports/journals?start_date=2024-10-01&amp;end_date=2026-02-28&amp;name=%E5%89%8D%E6%89%95%E8%B2%BB%E7%94%A8&amp;partner_id=105816142" TargetMode="External"/><Relationship Id="rId33" Type="http://schemas.openxmlformats.org/officeDocument/2006/relationships/hyperlink" Target="https://secure.freee.co.jp/reports/journals?start_date=2024-10-01&amp;end_date=2026-02-28&amp;name=%E5%89%8D%E6%89%95%E8%B2%BB%E7%94%A8&amp;partner_id=4388246" TargetMode="External"/><Relationship Id="rId34" Type="http://schemas.openxmlformats.org/officeDocument/2006/relationships/hyperlink" Target="https://secure.freee.co.jp/reports/journals?start_date=2024-10-01&amp;end_date=2026-02-28&amp;name=%E5%89%8D%E6%89%95%E8%B2%BB%E7%94%A8&amp;partner_id=4831438" TargetMode="External"/><Relationship Id="rId35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36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37" Type="http://schemas.openxmlformats.org/officeDocument/2006/relationships/hyperlink" Target="https://secure.freee.co.jp/reports/journals?start_date=2021-10-01&amp;end_date=2026-02-28&amp;name=%E5%B7%A5%E5%85%B7%E5%99%A8%E5%85%B7%E5%82%99%E5%93%81&amp;partner_id=14111819" TargetMode="External"/><Relationship Id="rId38" Type="http://schemas.openxmlformats.org/officeDocument/2006/relationships/hyperlink" Target="https://secure.freee.co.jp/reports/journals?start_date=2021-10-01&amp;end_date=2026-02-28&amp;name=%E5%B7%A5%E5%85%B7%E5%99%A8%E5%85%B7%E5%82%99%E5%93%81&amp;partner_id=3554901" TargetMode="External"/><Relationship Id="rId39" Type="http://schemas.openxmlformats.org/officeDocument/2006/relationships/hyperlink" Target="https://secure.freee.co.jp/reports/journals?start_date=2021-10-01&amp;end_date=2026-02-28&amp;name=%E5%B7%A5%E5%85%B7%E5%99%A8%E5%85%B7%E5%82%99%E5%93%81&amp;partner_id=3554733" TargetMode="External"/><Relationship Id="rId40" Type="http://schemas.openxmlformats.org/officeDocument/2006/relationships/hyperlink" Target="https://secure.freee.co.jp/reports/journals?start_date=2021-10-01&amp;end_date=2026-02-28&amp;name=%E5%B7%A5%E5%85%B7%E5%99%A8%E5%85%B7%E5%82%99%E5%93%81&amp;partner_id=7287393" TargetMode="External"/><Relationship Id="rId41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42" Type="http://schemas.openxmlformats.org/officeDocument/2006/relationships/hyperlink" Target="https://secure.freee.co.jp/reports/journals?start_date=2024-10-01&amp;end_date=2026-02-28&amp;name=%E4%B8%80%E6%8B%AC%E5%84%9F%E5%8D%B4%E8%B3%87%E7%94%A3&amp;partner_id=3554901" TargetMode="External"/><Relationship Id="rId43" Type="http://schemas.openxmlformats.org/officeDocument/2006/relationships/hyperlink" Target="https://secure.freee.co.jp/reports/journals?start_date=2024-10-01&amp;end_date=2026-02-28&amp;name=%E4%B8%80%E6%8B%AC%E5%84%9F%E5%8D%B4%E8%B3%87%E7%94%A3&amp;partner_id=14111819" TargetMode="External"/><Relationship Id="rId44" Type="http://schemas.openxmlformats.org/officeDocument/2006/relationships/hyperlink" Target="https://secure.freee.co.jp/reports/journals?start_date=2022-10-01&amp;end_date=2026-02-28&amp;name=%E5%87%BA%E8%B3%87%E9%87%91" TargetMode="External"/><Relationship Id="rId45" Type="http://schemas.openxmlformats.org/officeDocument/2006/relationships/hyperlink" Target="https://secure.freee.co.jp/reports/journals?start_date=2022-10-01&amp;end_date=2026-02-28&amp;name=%E5%87%BA%E8%B3%87%E9%87%91&amp;partner_id=87636575" TargetMode="External"/><Relationship Id="rId46" Type="http://schemas.openxmlformats.org/officeDocument/2006/relationships/hyperlink" Target="https://secure.freee.co.jp/reports/journals?start_date=2022-10-01&amp;end_date=2026-02-28&amp;name=%E5%87%BA%E8%B3%87%E9%87%91&amp;partner_id=3554360" TargetMode="External"/><Relationship Id="rId47" Type="http://schemas.openxmlformats.org/officeDocument/2006/relationships/hyperlink" Target="https://secure.freee.co.jp/reports/journals?start_date=2023-10-01&amp;end_date=2026-02-28&amp;name=%E5%89%8D%E5%8F%97%E9%87%91" TargetMode="External"/><Relationship Id="rId48" Type="http://schemas.openxmlformats.org/officeDocument/2006/relationships/hyperlink" Target="https://secure.freee.co.jp/reports/journals?start_date=2023-10-01&amp;end_date=2026-02-28&amp;name=%E5%89%8D%E5%8F%97%E9%87%91&amp;partner_id=42939021" TargetMode="External"/><Relationship Id="rId49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5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51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4533977" TargetMode="External"/><Relationship Id="rId52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4436058" TargetMode="External"/><Relationship Id="rId53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67809478" TargetMode="External"/><Relationship Id="rId54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&amp;partner_id=28765821" TargetMode="External"/><Relationship Id="rId55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56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57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436009" TargetMode="External"/><Relationship Id="rId58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5005671" TargetMode="External"/><Relationship Id="rId59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1438" TargetMode="External"/><Relationship Id="rId60" Type="http://schemas.openxmlformats.org/officeDocument/2006/relationships/hyperlink" Target="https://secure.freee.co.jp/reports/journals?start_date=2024-10-01&amp;end_date=2026-02-28&amp;name=%E6%9C%AA%E6%89%95%E9%87%91%EF%BC%88%E9%95%B7%E7%80%AC%E7%A5%90%E5%9F%BA%EF%BC%89&amp;partner_id=4830713" TargetMode="External"/><Relationship Id="rId61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62" Type="http://schemas.openxmlformats.org/officeDocument/2006/relationships/hyperlink" Target="https://secure.freee.co.jp/reports/journals?start_date=2024-10-01&amp;end_date=2026-02-28&amp;name=%E5%BD%B9%E5%93%A1%E5%80%9F%E5%85%A5%E9%87%91&amp;partner_id=3351933" TargetMode="External"/><Relationship Id="rId63" Type="http://schemas.openxmlformats.org/officeDocument/2006/relationships/hyperlink" Target="https://secure.freee.co.jp/reports/journals?start_date=2024-10-01&amp;end_date=2026-02-28&amp;name=%E5%BD%B9%E5%93%A1%E5%80%9F%E5%85%A5%E9%87%91&amp;partner_id=2475309" TargetMode="External"/><Relationship Id="rId64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65" Type="http://schemas.openxmlformats.org/officeDocument/2006/relationships/hyperlink" Target="https://secure.freee.co.jp/reports/journals?start_date=2024-10-01&amp;end_date=2026-02-28&amp;name=%E9%95%B7%E6%9C%9F%E5%80%9F%E5%85%A5%E9%87%91&amp;partner_id=38906388" TargetMode="External"/><Relationship Id="rId66" Type="http://schemas.openxmlformats.org/officeDocument/2006/relationships/hyperlink" Target="https://secure.freee.co.jp/reports/journals?start_date=2024-10-01&amp;end_date=2026-02-28&amp;name=%E9%95%B7%E6%9C%9F%E5%80%9F%E5%85%A5%E9%87%91&amp;partner_id=87636575" TargetMode="External"/><Relationship Id="rId67" Type="http://schemas.openxmlformats.org/officeDocument/2006/relationships/hyperlink" Target="https://secure.freee.co.jp/reports/journals?start_date=2024-10-01&amp;end_date=2026-02-28&amp;name=%E9%95%B7%E6%9C%9F%E5%80%9F%E5%85%A5%E9%87%91&amp;partner_id=3554360" TargetMode="External"/><Relationship Id="rId68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69" Type="http://schemas.openxmlformats.org/officeDocument/2006/relationships/hyperlink" Target="https://secure.freee.co.jp/reports/journals?start_date=2023-10-01&amp;end_date=2026-02-28&amp;name=%E5%89%8D%E5%8F%97%E9%87%91" TargetMode="External"/><Relationship Id="rId70" Type="http://schemas.openxmlformats.org/officeDocument/2006/relationships/hyperlink" Target="https://secure.freee.co.jp/reports/journals?start_date=2023-10-01&amp;end_date=2026-02-28&amp;name=%E5%89%8D%E5%8F%97%E9%87%91" TargetMode="External"/><Relationship Id="rId71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6-02-01&amp;end_date=2026-02-28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3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4" Type="http://schemas.openxmlformats.org/officeDocument/2006/relationships/hyperlink" Target="https://secure.freee.co.jp/reports/general_ledgers/show?name=%E9%A0%90%E3%82%8A%E9%87%91&amp;start_date=2026-02-01&amp;end_date=2026-02-28" TargetMode="External"/><Relationship Id="rId5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4%96%E6%B3%A8%E8%B2%BB&amp;start_date=2026-02-01&amp;end_date=2026-02-28" TargetMode="External"/><Relationship Id="rId9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0" Type="http://schemas.openxmlformats.org/officeDocument/2006/relationships/hyperlink" Target="https://secure.freee.co.jp/reports/general_ledgers/show?name=%E6%9C%AA%E6%89%95%E8%B2%BB%E7%94%A8&amp;start_date=2026-02-01&amp;end_date=2026-02-28" TargetMode="External"/><Relationship Id="rId11" Type="http://schemas.openxmlformats.org/officeDocument/2006/relationships/hyperlink" Target="https://secure.freee.co.jp/reports/journals?start_date=2024-10-01&amp;end_date=2026-02-28&amp;name=%E5%89%8D%E6%89%95%E8%B2%BB%E7%94%A8" TargetMode="External"/><Relationship Id="rId12" Type="http://schemas.openxmlformats.org/officeDocument/2006/relationships/hyperlink" Target="https://secure.freee.co.jp/reports/journals?start_date=2024-10-01&amp;end_date=2026-02-28&amp;name=%E5%89%8D%E6%89%95%E8%B2%BB%E7%94%A8" TargetMode="External"/><Relationship Id="rId13" Type="http://schemas.openxmlformats.org/officeDocument/2006/relationships/hyperlink" Target="https://secure.freee.co.jp/reports/journals?start_date=2025-10-01&amp;end_date=2026-02-28&amp;name=%E5%9C%B0%E4%BB%A3%E5%AE%B6%E8%B3%83" TargetMode="External"/><Relationship Id="rId14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10-01&amp;end_date=2026-02-28&amp;name=%E9%80%9A%E4%BF%A1%E8%B2%BB" TargetMode="External"/><Relationship Id="rId16" Type="http://schemas.openxmlformats.org/officeDocument/2006/relationships/hyperlink" Target="https://secure.freee.co.jp/reports/general_ledgers/show?name=%E9%80%80%E8%81%B7%E7%B5%A6%E4%BB%98%E8%B2%BB%E7%94%A8&amp;start_date=2026-02-01&amp;end_date=2026-02-28" TargetMode="External"/><Relationship Id="rId17" Type="http://schemas.openxmlformats.org/officeDocument/2006/relationships/hyperlink" Target="https://secure.freee.co.jp/reports/general_ledgers/show?name=%E6%8E%A1%E7%94%A8%E6%95%99%E8%82%B2%E8%B2%BB&amp;start_date=2026-02-01&amp;end_date=2026-02-28" TargetMode="External"/><Relationship Id="rId18" Type="http://schemas.openxmlformats.org/officeDocument/2006/relationships/hyperlink" Target="https://secure.freee.co.jp/reports/general_ledgers/show?name=%E6%97%85%E8%B2%BB%E4%BA%A4%E9%80%9A%E8%B2%BB&amp;start_date=2026-02-01&amp;end_date=2026-02-28" TargetMode="External"/><Relationship Id="rId19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20" Type="http://schemas.openxmlformats.org/officeDocument/2006/relationships/hyperlink" Target="https://secure.freee.co.jp/reports/journals?start_date=2025-10-01&amp;end_date=2026-02-28&amp;name=%E6%94%AF%E6%89%95%E6%89%8B%E6%95%B0%E6%96%99" TargetMode="External"/><Relationship Id="rId21" Type="http://schemas.openxmlformats.org/officeDocument/2006/relationships/hyperlink" Target="https://secure.freee.co.jp/reports/journals?start_date=2025-10-01&amp;end_date=2026-02-28&amp;name=%E9%80%9A%E4%BF%A1%E8%B2%BB" TargetMode="External"/><Relationship Id="rId22" Type="http://schemas.openxmlformats.org/officeDocument/2006/relationships/hyperlink" Target="https://secure.freee.co.jp/reports/journals?start_date=2025-10-01&amp;end_date=2026-02-28&amp;name=%E9%80%9A%E4%BF%A1%E8%B2%BB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wallet_txns/stream?end_date=2026-02-28&amp;ignore_unsettle=true&amp;limit=100&amp;offset=0&amp;order=asc&amp;registration_auto_action=false&amp;registration_manual_action=false&amp;registration_no_action=false&amp;registration_status=unreconciled&amp;suggestion_type=all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3%80%90%E7%A8%8E%E3%80%91%EF%BC%B0%EF%BD%81%EF%BD%99%EF%BC%B0%EF%BD%81%EF%BD%99%E9%8A%80%E8%A1%8C&amp;start_date=2025-10-01&amp;end_date=2026-02-28&amp;fiscal_year_id=10840688" TargetMode="External"/><Relationship Id="rId2" Type="http://schemas.openxmlformats.org/officeDocument/2006/relationships/hyperlink" Target="https://secure.freee.co.jp/reports/journals?start_date=2024-10-01&amp;end_date=2026-02-28&amp;name=%E3%80%90%E7%A8%8E%E3%80%91%E6%B1%9F%E6%9D%B1%E4%BF%A1%E7%B5%84%EF%BC%88%E6%B3%95%E4%BA%BA%EF%BC%89" TargetMode="External"/><Relationship Id="rId3" Type="http://schemas.openxmlformats.org/officeDocument/2006/relationships/hyperlink" Target="https://secure.freee.co.jp/reports/journals?start_date=2024-10-01&amp;end_date=2026-02-28&amp;name=%E3%80%90%E7%A8%8E%E3%80%91%E5%9F%8E%E5%8C%97%E4%BF%A1%E9%87%91%EF%BC%88%E6%B3%95%E4%BA%BA%EF%BC%89" TargetMode="External"/><Relationship Id="rId4" Type="http://schemas.openxmlformats.org/officeDocument/2006/relationships/hyperlink" Target="https://secure.freee.co.jp/reports/journals?start_date=2024-10-01&amp;end_date=2026-02-28&amp;name=%E3%80%90%E4%BC%9A%E3%80%91%EF%BC%B0%EF%BD%81%EF%BD%99%EF%BC%B0%EF%BD%81%EF%BD%99%E9%8A%80%E8%A1%8C" TargetMode="External"/><Relationship Id="rId5" Type="http://schemas.openxmlformats.org/officeDocument/2006/relationships/hyperlink" Target="https://secure.freee.co.jp/reports/general_ledgers/show?name=%E5%A3%B2%E6%8E%9B%E9%87%91&amp;start_date=2025-10-01&amp;end_date=2026-02-28&amp;fiscal_year_id=10840688" TargetMode="External"/><Relationship Id="rId6" Type="http://schemas.openxmlformats.org/officeDocument/2006/relationships/hyperlink" Target="https://secure.freee.co.jp/reports/journals?start_date=2021-10-01&amp;end_date=2026-02-28&amp;name=%E8%B2%B8%E5%80%92%E5%BC%95%E5%BD%93%E9%87%91%28%E5%A3%B2%29" TargetMode="External"/><Relationship Id="rId7" Type="http://schemas.openxmlformats.org/officeDocument/2006/relationships/hyperlink" Target="https://secure.freee.co.jp/reports/general_ledgers/show?name=PayPal%EF%BC%88%E6%B3%95%E4%BA%BA%EF%BC%89&amp;start_date=2025-10-01&amp;end_date=2026-02-28&amp;fiscal_year_id=10840688" TargetMode="External"/><Relationship Id="rId8" Type="http://schemas.openxmlformats.org/officeDocument/2006/relationships/hyperlink" Target="https://secure.freee.co.jp/reports/journals?start_date=2024-10-01&amp;end_date=2026-02-28&amp;name=%E5%89%8D%E6%89%95%E8%B2%BB%E7%94%A8" TargetMode="External"/><Relationship Id="rId9" Type="http://schemas.openxmlformats.org/officeDocument/2006/relationships/hyperlink" Target="https://secure.freee.co.jp/reports/journals?start_date=2024-10-01&amp;end_date=2026-02-28&amp;name=%E6%9C%AA%E5%8F%8E%E5%8F%8E%E7%9B%8A" TargetMode="External"/><Relationship Id="rId10" Type="http://schemas.openxmlformats.org/officeDocument/2006/relationships/hyperlink" Target="https://secure.freee.co.jp/reports/journals?start_date=2024-10-01&amp;end_date=2026-02-28&amp;name=%E6%9C%AA%E5%8F%8E%E5%85%A5%E9%87%91" TargetMode="External"/><Relationship Id="rId11" Type="http://schemas.openxmlformats.org/officeDocument/2006/relationships/hyperlink" Target="https://secure.freee.co.jp/reports/journals?start_date=2024-10-01&amp;end_date=2026-02-28&amp;name=%E6%9C%AA%E5%8F%8E%E9%82%84%E4%BB%98%E6%B3%95%E4%BA%BA%E7%A8%8E%E7%AD%89" TargetMode="External"/><Relationship Id="rId12" Type="http://schemas.openxmlformats.org/officeDocument/2006/relationships/hyperlink" Target="https://secure.freee.co.jp/reports/journals?start_date=2021-10-01&amp;end_date=2026-02-28&amp;name=%E5%B7%A5%E5%85%B7%E5%99%A8%E5%85%B7%E5%82%99%E5%93%81" TargetMode="External"/><Relationship Id="rId13" Type="http://schemas.openxmlformats.org/officeDocument/2006/relationships/hyperlink" Target="https://secure.freee.co.jp/reports/journals?start_date=2024-10-01&amp;end_date=2026-02-28&amp;name=%E4%B8%80%E6%8B%AC%E5%84%9F%E5%8D%B4%E8%B3%87%E7%94%A3" TargetMode="External"/><Relationship Id="rId14" Type="http://schemas.openxmlformats.org/officeDocument/2006/relationships/hyperlink" Target="https://secure.freee.co.jp/reports/general_ledgers/show?name=%E6%B8%9B%E4%BE%A1%E5%84%9F%E5%8D%B4%E7%B4%AF%E8%A8%88%E9%A1%8D&amp;start_date=2025-10-01&amp;end_date=2026-02-28&amp;fiscal_year_id=10840688" TargetMode="External"/><Relationship Id="rId15" Type="http://schemas.openxmlformats.org/officeDocument/2006/relationships/hyperlink" Target="https://secure.freee.co.jp/reports/general_ledgers/show?name=%E3%82%BD%E3%83%95%E3%83%88%E3%82%A6%E3%82%A7%E3%82%A2&amp;start_date=2025-10-01&amp;end_date=2026-02-28&amp;fiscal_year_id=10840688" TargetMode="External"/><Relationship Id="rId16" Type="http://schemas.openxmlformats.org/officeDocument/2006/relationships/hyperlink" Target="https://secure.freee.co.jp/reports/journals?start_date=2022-10-01&amp;end_date=2026-02-28&amp;name=%E5%87%BA%E8%B3%87%E9%87%91" TargetMode="External"/><Relationship Id="rId17" Type="http://schemas.openxmlformats.org/officeDocument/2006/relationships/hyperlink" Target="https://secure.freee.co.jp/reports/journals?start_date=2024-10-01&amp;end_date=2026-02-28&amp;name=%E6%95%B7%E9%87%91" TargetMode="External"/><Relationship Id="rId18" Type="http://schemas.openxmlformats.org/officeDocument/2006/relationships/hyperlink" Target="https://secure.freee.co.jp/reports/general_ledgers/show?name=%E9%95%B7%E6%9C%9F%E5%89%8D%E6%89%95%E8%B2%BB%E7%94%A8&amp;start_date=2025-10-01&amp;end_date=2026-02-28&amp;fiscal_year_id=10840688" TargetMode="External"/><Relationship Id="rId19" Type="http://schemas.openxmlformats.org/officeDocument/2006/relationships/hyperlink" Target="https://secure.freee.co.jp/reports/general_ledgers/show?name=%E4%BF%9D%E9%99%BA%E7%A9%8D%E7%AB%8B%E9%87%91&amp;start_date=2025-10-01&amp;end_date=2026-02-28&amp;fiscal_year_id=10840688" TargetMode="External"/><Relationship Id="rId20" Type="http://schemas.openxmlformats.org/officeDocument/2006/relationships/hyperlink" Target="https://secure.freee.co.jp/reports/general_ledgers/show?name=%E8%B3%87%E9%87%91%E8%AB%B8%E5%8F%A3&amp;start_date=2025-10-01&amp;end_date=2026-02-28&amp;fiscal_year_id=10840688" TargetMode="External"/><Relationship Id="rId21" Type="http://schemas.openxmlformats.org/officeDocument/2006/relationships/hyperlink" Target="https://secure.freee.co.jp/reports/general_ledgers/show?name=%E6%9C%AA%E6%89%95%E9%87%91&amp;start_date=2025-10-01&amp;end_date=2026-02-28&amp;fiscal_year_id=10840688" TargetMode="External"/><Relationship Id="rId22" Type="http://schemas.openxmlformats.org/officeDocument/2006/relationships/hyperlink" Target="https://secure.freee.co.jp/reports/general_ledgers/show?name=%E6%9C%AA%E6%89%95%E8%B2%BB%E7%94%A8&amp;start_date=2025-10-01&amp;end_date=2026-02-28&amp;fiscal_year_id=10840688" TargetMode="External"/><Relationship Id="rId23" Type="http://schemas.openxmlformats.org/officeDocument/2006/relationships/hyperlink" Target="https://secure.freee.co.jp/reports/journals?start_date=2024-10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10-01&amp;end_date=2026-02-28&amp;name=%E6%9C%AA%E6%89%95%E6%B6%88%E8%B2%BB%E7%A8%8E%E7%AD%89" TargetMode="External"/><Relationship Id="rId25" Type="http://schemas.openxmlformats.org/officeDocument/2006/relationships/hyperlink" Target="https://secure.freee.co.jp/reports/journals?start_date=2023-10-01&amp;end_date=2026-02-28&amp;name=%E5%89%8D%E5%8F%97%E9%87%91" TargetMode="External"/><Relationship Id="rId26" Type="http://schemas.openxmlformats.org/officeDocument/2006/relationships/hyperlink" Target="https://secure.freee.co.jp/reports/general_ledgers/show?name=%E9%A0%90%E3%82%8A%E9%87%91&amp;start_date=2025-10-01&amp;end_date=2026-02-28&amp;fiscal_year_id=10840688" TargetMode="External"/><Relationship Id="rId27" Type="http://schemas.openxmlformats.org/officeDocument/2006/relationships/hyperlink" Target="https://secure.freee.co.jp/reports/general_ledgers/show?name=%E3%80%90%E7%A8%8E%E3%80%91%E3%82%A2%E3%83%A1%E3%83%AA%E3%82%AB%E3%83%B3%E3%83%BB%E3%82%A8%E3%82%AD%E3%82%B9%E3%83%97%E3%83%AC%E3%82%B9&amp;start_date=2025-10-01&amp;end_date=2026-02-28&amp;fiscal_year_id=10840688" TargetMode="External"/><Relationship Id="rId28" Type="http://schemas.openxmlformats.org/officeDocument/2006/relationships/hyperlink" Target="https://secure.freee.co.jp/reports/general_ledgers/show?name=%E3%80%90%E7%A8%8E%E3%80%91%E3%82%AA%E3%83%AA%E3%82%B3&amp;start_date=2025-10-01&amp;end_date=2026-02-28&amp;fiscal_year_id=10840688" TargetMode="External"/><Relationship Id="rId29" Type="http://schemas.openxmlformats.org/officeDocument/2006/relationships/hyperlink" Target="https://secure.freee.co.jp/reports/general_ledgers/show?name=%E3%80%90%E7%A8%8E%E3%80%91freee%E3%82%AB%E3%83%BC%E3%83%89+Unlimited&amp;start_date=2025-10-01&amp;end_date=2026-02-28&amp;fiscal_year_id=10840688" TargetMode="External"/><Relationship Id="rId30" Type="http://schemas.openxmlformats.org/officeDocument/2006/relationships/hyperlink" Target="https://secure.freee.co.jp/reports/journals?start_date=2024-10-01&amp;end_date=2026-02-28&amp;name=%E3%80%90%E4%BC%9A%E3%80%91%E3%82%A2%E3%83%A1%E3%83%AA%E3%82%AB%E3%83%B3%E3%83%BB%E3%82%A8%E3%82%AD%E3%82%B9%E3%83%97%E3%83%AC%E3%82%B9" TargetMode="External"/><Relationship Id="rId31" Type="http://schemas.openxmlformats.org/officeDocument/2006/relationships/hyperlink" Target="https://secure.freee.co.jp/reports/general_ledgers/show?name=%E6%9C%AA%E6%89%95%E9%87%91%EF%BC%88%E7%99%BD%E6%A0%B9%E8%A3%95%E4%B9%9F%EF%BC%89&amp;start_date=2025-10-01&amp;end_date=2026-02-28&amp;fiscal_year_id=10840688" TargetMode="External"/><Relationship Id="rId32" Type="http://schemas.openxmlformats.org/officeDocument/2006/relationships/hyperlink" Target="https://secure.freee.co.jp/reports/journals?start_date=2024-10-01&amp;end_date=2026-02-28&amp;name=%E6%9C%AA%E6%89%95%E9%87%91%EF%BC%88%E9%95%B7%E7%80%AC%E7%A5%90%E5%9F%BA%EF%BC%89" TargetMode="External"/><Relationship Id="rId33" Type="http://schemas.openxmlformats.org/officeDocument/2006/relationships/hyperlink" Target="https://secure.freee.co.jp/reports/journals?start_date=2024-10-01&amp;end_date=2026-02-28&amp;name=%E5%BD%B9%E5%93%A1%E5%80%9F%E5%85%A5%E9%87%91" TargetMode="External"/><Relationship Id="rId34" Type="http://schemas.openxmlformats.org/officeDocument/2006/relationships/hyperlink" Target="https://secure.freee.co.jp/reports/journals?start_date=2022-10-01&amp;end_date=2026-02-28&amp;name=Amazon%E3%83%93%E3%82%B8%E3%83%8D%E3%82%B9%EF%BC%88API%EF%BC%89" TargetMode="External"/><Relationship Id="rId35" Type="http://schemas.openxmlformats.org/officeDocument/2006/relationships/hyperlink" Target="https://secure.freee.co.jp/reports/journals?start_date=2024-10-01&amp;end_date=2026-02-28&amp;name=%E9%95%B7%E6%9C%9F%E5%80%9F%E5%85%A5%E9%87%91" TargetMode="External"/><Relationship Id="rId36" Type="http://schemas.openxmlformats.org/officeDocument/2006/relationships/hyperlink" Target="https://secure.freee.co.jp/reports/general_ledgers/show?name=%E9%95%B7%E6%9C%9F%E6%9C%AA%E6%89%95%E9%87%91&amp;start_date=2025-10-01&amp;end_date=2026-02-28&amp;fiscal_year_id=10840688" TargetMode="External"/><Relationship Id="rId37" Type="http://schemas.openxmlformats.org/officeDocument/2006/relationships/hyperlink" Target="https://secure.freee.co.jp/reports/journals?start_date=2021-10-01&amp;end_date=2026-02-28&amp;name=%E8%B3%87%E6%9C%AC%E9%87%91" TargetMode="External"/><Relationship Id="rId38" Type="http://schemas.openxmlformats.org/officeDocument/2006/relationships/hyperlink" Target="https://secure.freee.co.jp/reports/journals?start_date=2024-10-01&amp;end_date=2026-02-28&amp;name=%E7%B9%B0%E8%B6%8A%E5%88%A9%E7%9B%8A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10-01&amp;end_date=2026-02-28&amp;fiscal_year_id=10840688" TargetMode="External"/><Relationship Id="rId2" Type="http://schemas.openxmlformats.org/officeDocument/2006/relationships/hyperlink" Target="https://secure.freee.co.jp/reports/general_ledgers/show?name=%E7%B5%A6%E6%96%99%E6%89%8B%E5%BD%93&amp;start_date=2025-10-01&amp;end_date=2026-02-28&amp;fiscal_year_id=10840688" TargetMode="External"/><Relationship Id="rId3" Type="http://schemas.openxmlformats.org/officeDocument/2006/relationships/hyperlink" Target="https://secure.freee.co.jp/reports/general_ledgers/show?name=%E8%B3%9E%E4%B8%8E&amp;start_date=2025-10-01&amp;end_date=2026-02-28&amp;fiscal_year_id=10840688" TargetMode="External"/><Relationship Id="rId4" Type="http://schemas.openxmlformats.org/officeDocument/2006/relationships/hyperlink" Target="https://secure.freee.co.jp/reports/general_ledgers/show?name=%E9%80%80%E8%81%B7%E7%B5%A6%E4%BB%98%E8%B2%BB%E7%94%A8&amp;start_date=2025-10-01&amp;end_date=2026-02-28&amp;fiscal_year_id=10840688" TargetMode="External"/><Relationship Id="rId5" Type="http://schemas.openxmlformats.org/officeDocument/2006/relationships/hyperlink" Target="https://secure.freee.co.jp/reports/general_ledgers/show?name=%E6%B3%95%E5%AE%9A%E7%A6%8F%E5%88%A9%E8%B2%BB&amp;start_date=2025-10-01&amp;end_date=2026-02-28&amp;fiscal_year_id=10840688" TargetMode="External"/><Relationship Id="rId6" Type="http://schemas.openxmlformats.org/officeDocument/2006/relationships/hyperlink" Target="https://secure.freee.co.jp/reports/general_ledgers/show?name=%E7%A6%8F%E5%88%A9%E5%8E%9A%E7%94%9F%E8%B2%BB&amp;start_date=2025-10-01&amp;end_date=2026-02-28&amp;fiscal_year_id=10840688" TargetMode="External"/><Relationship Id="rId7" Type="http://schemas.openxmlformats.org/officeDocument/2006/relationships/hyperlink" Target="https://secure.freee.co.jp/reports/general_ledgers/show?name=%E6%8E%A1%E7%94%A8%E6%95%99%E8%82%B2%E8%B2%BB&amp;start_date=2025-10-01&amp;end_date=2026-02-28&amp;fiscal_year_id=10840688" TargetMode="External"/><Relationship Id="rId8" Type="http://schemas.openxmlformats.org/officeDocument/2006/relationships/hyperlink" Target="https://secure.freee.co.jp/reports/general_ledgers/show?name=%E5%A4%96%E6%B3%A8%E8%B2%BB&amp;start_date=2025-10-01&amp;end_date=2026-02-28&amp;fiscal_year_id=10840688" TargetMode="External"/><Relationship Id="rId9" Type="http://schemas.openxmlformats.org/officeDocument/2006/relationships/hyperlink" Target="https://secure.freee.co.jp/reports/general_ledgers/show?name=%E5%BA%83%E5%91%8A%E5%AE%A3%E4%BC%9D%E8%B2%BB&amp;start_date=2025-10-01&amp;end_date=2026-02-28&amp;fiscal_year_id=10840688" TargetMode="External"/><Relationship Id="rId10" Type="http://schemas.openxmlformats.org/officeDocument/2006/relationships/hyperlink" Target="https://secure.freee.co.jp/reports/general_ledgers/show?name=%E4%BA%A4%E9%9A%9B%E8%B2%BB&amp;start_date=2025-10-01&amp;end_date=2026-02-28&amp;fiscal_year_id=10840688" TargetMode="External"/><Relationship Id="rId11" Type="http://schemas.openxmlformats.org/officeDocument/2006/relationships/hyperlink" Target="https://secure.freee.co.jp/reports/general_ledgers/show?name=%E4%BC%9A%E8%AD%B0%E8%B2%BB&amp;start_date=2025-10-01&amp;end_date=2026-02-28&amp;fiscal_year_id=10840688" TargetMode="External"/><Relationship Id="rId12" Type="http://schemas.openxmlformats.org/officeDocument/2006/relationships/hyperlink" Target="https://secure.freee.co.jp/reports/general_ledgers/show?name=%E6%97%85%E8%B2%BB%E4%BA%A4%E9%80%9A%E8%B2%BB&amp;start_date=2025-10-01&amp;end_date=2026-02-28&amp;fiscal_year_id=10840688" TargetMode="External"/><Relationship Id="rId13" Type="http://schemas.openxmlformats.org/officeDocument/2006/relationships/hyperlink" Target="https://secure.freee.co.jp/reports/general_ledgers/show?name=%E9%80%9A%E4%BF%A1%E8%B2%BB&amp;start_date=2025-10-01&amp;end_date=2026-02-28&amp;fiscal_year_id=10840688" TargetMode="External"/><Relationship Id="rId14" Type="http://schemas.openxmlformats.org/officeDocument/2006/relationships/hyperlink" Target="https://secure.freee.co.jp/reports/general_ledgers/show?name=%E6%B6%88%E8%80%97%E5%93%81%E8%B2%BB&amp;start_date=2025-10-01&amp;end_date=2026-02-28&amp;fiscal_year_id=10840688" TargetMode="External"/><Relationship Id="rId15" Type="http://schemas.openxmlformats.org/officeDocument/2006/relationships/hyperlink" Target="https://secure.freee.co.jp/reports/general_ledgers/show?name=%E6%B0%B4%E9%81%93%E5%85%89%E7%86%B1%E8%B2%BB&amp;start_date=2025-10-01&amp;end_date=2026-02-28&amp;fiscal_year_id=10840688" TargetMode="External"/><Relationship Id="rId16" Type="http://schemas.openxmlformats.org/officeDocument/2006/relationships/hyperlink" Target="https://secure.freee.co.jp/reports/general_ledgers/show?name=%E6%96%B0%E8%81%9E%E5%9B%B3%E6%9B%B8%E8%B2%BB&amp;start_date=2025-10-01&amp;end_date=2026-02-28&amp;fiscal_year_id=10840688" TargetMode="External"/><Relationship Id="rId17" Type="http://schemas.openxmlformats.org/officeDocument/2006/relationships/hyperlink" Target="https://secure.freee.co.jp/reports/general_ledgers/show?name=%E8%AB%B8%E4%BC%9A%E8%B2%BB&amp;start_date=2025-10-01&amp;end_date=2026-02-28&amp;fiscal_year_id=10840688" TargetMode="External"/><Relationship Id="rId18" Type="http://schemas.openxmlformats.org/officeDocument/2006/relationships/hyperlink" Target="https://secure.freee.co.jp/reports/general_ledgers/show?name=%E6%94%AF%E6%89%95%E6%89%8B%E6%95%B0%E6%96%99&amp;start_date=2025-10-01&amp;end_date=2026-02-28&amp;fiscal_year_id=10840688" TargetMode="External"/><Relationship Id="rId19" Type="http://schemas.openxmlformats.org/officeDocument/2006/relationships/hyperlink" Target="https://secure.freee.co.jp/reports/general_ledgers/show?name=%E5%9C%B0%E4%BB%A3%E5%AE%B6%E8%B3%83&amp;start_date=2025-10-01&amp;end_date=2026-02-28&amp;fiscal_year_id=10840688" TargetMode="External"/><Relationship Id="rId20" Type="http://schemas.openxmlformats.org/officeDocument/2006/relationships/hyperlink" Target="https://secure.freee.co.jp/reports/general_ledgers/show?name=%E4%BF%9D%E9%99%BA%E6%96%99&amp;start_date=2025-10-01&amp;end_date=2026-02-28&amp;fiscal_year_id=10840688" TargetMode="External"/><Relationship Id="rId21" Type="http://schemas.openxmlformats.org/officeDocument/2006/relationships/hyperlink" Target="https://secure.freee.co.jp/reports/general_ledgers/show?name=%E6%B8%9B%E4%BE%A1%E5%84%9F%E5%8D%B4%E8%B2%BB&amp;start_date=2025-10-01&amp;end_date=2026-02-28&amp;fiscal_year_id=10840688" TargetMode="External"/><Relationship Id="rId22" Type="http://schemas.openxmlformats.org/officeDocument/2006/relationships/hyperlink" Target="https://secure.freee.co.jp/reports/general_ledgers/show?name=%E9%95%B7%E6%9C%9F%E5%89%8D%E6%89%95%E8%B2%BB%E7%94%A8%E5%84%9F%E5%8D%B4&amp;start_date=2025-10-01&amp;end_date=2026-02-28&amp;fiscal_year_id=10840688" TargetMode="External"/><Relationship Id="rId23" Type="http://schemas.openxmlformats.org/officeDocument/2006/relationships/hyperlink" Target="https://secure.freee.co.jp/reports/general_ledgers/show?name=%E9%9B%91%E8%B2%BB&amp;start_date=2025-10-01&amp;end_date=2026-02-28&amp;fiscal_year_id=10840688" TargetMode="External"/><Relationship Id="rId24" Type="http://schemas.openxmlformats.org/officeDocument/2006/relationships/hyperlink" Target="https://secure.freee.co.jp/reports/general_ledgers/show?name=%E5%8F%97%E5%8F%96%E5%88%A9%E6%81%AF&amp;start_date=2025-10-01&amp;end_date=2026-02-28&amp;fiscal_year_id=10840688" TargetMode="External"/><Relationship Id="rId25" Type="http://schemas.openxmlformats.org/officeDocument/2006/relationships/hyperlink" Target="https://secure.freee.co.jp/reports/general_ledgers/show?name=%E9%9B%91%E5%8F%8E%E5%85%A5&amp;start_date=2025-10-01&amp;end_date=2026-02-28&amp;fiscal_year_id=10840688" TargetMode="External"/><Relationship Id="rId26" Type="http://schemas.openxmlformats.org/officeDocument/2006/relationships/hyperlink" Target="https://secure.freee.co.jp/reports/general_ledgers/show?name=%E6%94%AF%E6%89%95%E5%88%A9%E6%81%AF&amp;start_date=2025-10-01&amp;end_date=2026-02-28&amp;fiscal_year_id=10840688" TargetMode="External"/><Relationship Id="rId27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10-01&amp;end_date=2026-02-28&amp;fiscal_year_id=108406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8</v>
      </c>
      <c r="C9" s="8">
        <v>33</v>
      </c>
      <c r="D9" s="9">
        <v>10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 t="s">
        <v>18</v>
      </c>
      <c r="D14" s="11" t="s">
        <v>18</v>
      </c>
      <c r="E14" s="11" t="s">
        <v>18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>
        <v>6</v>
      </c>
      <c r="C17" s="11">
        <v>19</v>
      </c>
      <c r="D17" s="11">
        <v>1</v>
      </c>
      <c r="E17" s="11">
        <v>26</v>
      </c>
    </row>
    <row r="18" spans="1:5" x14ac:dyDescent="0.25">
      <c r="A18" s="10" t="s">
        <v>22</v>
      </c>
      <c r="B18" s="11">
        <v>1</v>
      </c>
      <c r="C18" s="11">
        <v>13</v>
      </c>
      <c r="D18" s="11">
        <v>7</v>
      </c>
      <c r="E18" s="11">
        <v>21</v>
      </c>
    </row>
    <row r="19" spans="1:5" x14ac:dyDescent="0.25">
      <c r="A19" s="10" t="s">
        <v>23</v>
      </c>
      <c r="B19" s="11">
        <v>1</v>
      </c>
      <c r="C19" s="11">
        <v>1</v>
      </c>
      <c r="D19" s="11">
        <v>2</v>
      </c>
      <c r="E19" s="11">
        <v>4</v>
      </c>
    </row>
    <row r="20" spans="1:5" x14ac:dyDescent="0.25">
      <c r="A20" s="12" t="s">
        <v>16</v>
      </c>
      <c r="B20" s="13">
        <v>8</v>
      </c>
      <c r="C20" s="13">
        <v>33</v>
      </c>
      <c r="D20" s="13">
        <v>10</v>
      </c>
      <c r="E20" s="13">
        <v>51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4" t="s">
        <v>38</v>
      </c>
      <c r="B29" s="14" t="s">
        <v>39</v>
      </c>
      <c r="C29" s="15" t="s">
        <v>30</v>
      </c>
      <c r="D29" s="15">
        <v>1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4" t="s">
        <v>46</v>
      </c>
      <c r="B33" s="14" t="s">
        <v>47</v>
      </c>
      <c r="C33" s="15" t="s">
        <v>30</v>
      </c>
      <c r="D33" s="15">
        <v>1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4" t="s">
        <v>60</v>
      </c>
      <c r="B40" s="14" t="s">
        <v>61</v>
      </c>
      <c r="C40" s="15" t="s">
        <v>30</v>
      </c>
      <c r="D40" s="15">
        <v>1</v>
      </c>
    </row>
    <row r="41" spans="1:4" x14ac:dyDescent="0.25">
      <c r="A41" s="14" t="s">
        <v>62</v>
      </c>
      <c r="B41" s="14" t="s">
        <v>63</v>
      </c>
      <c r="C41" s="15" t="s">
        <v>30</v>
      </c>
      <c r="D41" s="15">
        <v>5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4" t="s">
        <v>70</v>
      </c>
      <c r="B45" s="14" t="s">
        <v>71</v>
      </c>
      <c r="C45" s="15" t="s">
        <v>30</v>
      </c>
      <c r="D45" s="15">
        <v>1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4" t="s">
        <v>84</v>
      </c>
      <c r="B52" s="14" t="s">
        <v>85</v>
      </c>
      <c r="C52" s="15" t="s">
        <v>30</v>
      </c>
      <c r="D52" s="15">
        <v>1</v>
      </c>
    </row>
    <row r="53" spans="1:4" x14ac:dyDescent="0.25">
      <c r="A53" s="14" t="s">
        <v>86</v>
      </c>
      <c r="B53" s="14" t="s">
        <v>87</v>
      </c>
      <c r="C53" s="15" t="s">
        <v>30</v>
      </c>
      <c r="D53" s="15">
        <v>1</v>
      </c>
    </row>
    <row r="54" spans="1:4" x14ac:dyDescent="0.25">
      <c r="A54" s="14" t="s">
        <v>88</v>
      </c>
      <c r="B54" s="14" t="s">
        <v>89</v>
      </c>
      <c r="C54" s="15" t="s">
        <v>30</v>
      </c>
      <c r="D54" s="15">
        <v>1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0" t="s">
        <v>96</v>
      </c>
      <c r="B58" s="10" t="s">
        <v>97</v>
      </c>
      <c r="C58" s="11" t="s">
        <v>33</v>
      </c>
      <c r="D58" s="11">
        <v>0</v>
      </c>
    </row>
    <row r="59" spans="1:4" x14ac:dyDescent="0.25">
      <c r="A59" s="14" t="s">
        <v>98</v>
      </c>
      <c r="B59" s="14" t="s">
        <v>99</v>
      </c>
      <c r="C59" s="15" t="s">
        <v>30</v>
      </c>
      <c r="D59" s="15">
        <v>2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1</v>
      </c>
    </row>
    <row r="62" spans="1:4" x14ac:dyDescent="0.25">
      <c r="A62" s="14" t="s">
        <v>104</v>
      </c>
      <c r="B62" s="14" t="s">
        <v>105</v>
      </c>
      <c r="C62" s="15" t="s">
        <v>30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3</v>
      </c>
    </row>
    <row r="65" spans="1:4" x14ac:dyDescent="0.25">
      <c r="A65" s="14" t="s">
        <v>110</v>
      </c>
      <c r="B65" s="14" t="s">
        <v>111</v>
      </c>
      <c r="C65" s="15" t="s">
        <v>30</v>
      </c>
      <c r="D65" s="15">
        <v>4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12</v>
      </c>
    </row>
    <row r="67" spans="1:4" x14ac:dyDescent="0.25">
      <c r="A67" s="14" t="s">
        <v>114</v>
      </c>
      <c r="B67" s="14" t="s">
        <v>115</v>
      </c>
      <c r="C67" s="15" t="s">
        <v>30</v>
      </c>
      <c r="D67" s="15">
        <v>1</v>
      </c>
    </row>
    <row r="68" spans="1:4" x14ac:dyDescent="0.25">
      <c r="A68" s="10" t="s">
        <v>116</v>
      </c>
      <c r="B68" s="10" t="s">
        <v>117</v>
      </c>
      <c r="C68" s="11" t="s">
        <v>33</v>
      </c>
      <c r="D68" s="11">
        <v>0</v>
      </c>
    </row>
    <row r="69" spans="1:4" x14ac:dyDescent="0.25">
      <c r="A69" s="14" t="s">
        <v>118</v>
      </c>
      <c r="B69" s="14" t="s">
        <v>119</v>
      </c>
      <c r="C69" s="15" t="s">
        <v>30</v>
      </c>
      <c r="D69" s="15">
        <v>1</v>
      </c>
    </row>
    <row r="70" spans="1:4" x14ac:dyDescent="0.25">
      <c r="A70" s="14" t="s">
        <v>120</v>
      </c>
      <c r="B70" s="14" t="s">
        <v>121</v>
      </c>
      <c r="C70" s="15" t="s">
        <v>30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4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0" t="s">
        <v>146</v>
      </c>
      <c r="B83" s="10" t="s">
        <v>147</v>
      </c>
      <c r="C83" s="11" t="s">
        <v>33</v>
      </c>
      <c r="D83" s="11">
        <v>0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38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6" t="s">
        <v>13</v>
      </c>
      <c r="B3" s="16" t="s">
        <v>46</v>
      </c>
      <c r="C3" s="16" t="s">
        <v>181</v>
      </c>
      <c r="D3" s="17" t="s">
        <v>182</v>
      </c>
      <c r="E3" s="16" t="s">
        <v>183</v>
      </c>
      <c r="F3" s="17" t="s">
        <v>184</v>
      </c>
      <c r="G3" s="16" t="s">
        <v>6</v>
      </c>
    </row>
    <row r="4" spans="1:7" x14ac:dyDescent="0.25">
      <c r="A4" s="16" t="s">
        <v>13</v>
      </c>
      <c r="B4" s="16" t="s">
        <v>70</v>
      </c>
      <c r="C4" s="16" t="s">
        <v>185</v>
      </c>
      <c r="D4" s="17" t="s">
        <v>186</v>
      </c>
      <c r="E4" s="16" t="s">
        <v>187</v>
      </c>
      <c r="F4" s="17" t="s">
        <v>188</v>
      </c>
      <c r="G4" s="18" t="s">
        <v>180</v>
      </c>
    </row>
    <row r="5" spans="1:7" x14ac:dyDescent="0.25">
      <c r="A5" s="16" t="s">
        <v>13</v>
      </c>
      <c r="B5" s="16" t="s">
        <v>84</v>
      </c>
      <c r="C5" s="16" t="s">
        <v>189</v>
      </c>
      <c r="D5" s="17" t="s">
        <v>190</v>
      </c>
      <c r="E5" s="16" t="s">
        <v>191</v>
      </c>
      <c r="F5" s="17" t="s">
        <v>192</v>
      </c>
      <c r="G5" s="18" t="s">
        <v>180</v>
      </c>
    </row>
    <row r="6" spans="1:7" x14ac:dyDescent="0.25">
      <c r="A6" s="16" t="s">
        <v>13</v>
      </c>
      <c r="B6" s="16" t="s">
        <v>110</v>
      </c>
      <c r="C6" s="16" t="s">
        <v>193</v>
      </c>
      <c r="D6" s="17" t="s">
        <v>194</v>
      </c>
      <c r="E6" s="16" t="s">
        <v>195</v>
      </c>
      <c r="F6" s="17" t="s">
        <v>196</v>
      </c>
      <c r="G6" s="18" t="s">
        <v>180</v>
      </c>
    </row>
    <row r="7" spans="1:7" x14ac:dyDescent="0.25">
      <c r="A7" s="16" t="s">
        <v>13</v>
      </c>
      <c r="B7" s="16" t="s">
        <v>110</v>
      </c>
      <c r="C7" s="16" t="s">
        <v>193</v>
      </c>
      <c r="D7" s="17" t="s">
        <v>197</v>
      </c>
      <c r="E7" s="16" t="s">
        <v>198</v>
      </c>
      <c r="F7" s="17" t="s">
        <v>196</v>
      </c>
      <c r="G7" s="18" t="s">
        <v>180</v>
      </c>
    </row>
    <row r="8" spans="1:7" x14ac:dyDescent="0.25">
      <c r="A8" s="16" t="s">
        <v>13</v>
      </c>
      <c r="B8" s="16" t="s">
        <v>110</v>
      </c>
      <c r="C8" s="16" t="s">
        <v>193</v>
      </c>
      <c r="D8" s="17" t="s">
        <v>199</v>
      </c>
      <c r="E8" s="16" t="s">
        <v>187</v>
      </c>
      <c r="F8" s="17" t="s">
        <v>196</v>
      </c>
      <c r="G8" s="18" t="s">
        <v>180</v>
      </c>
    </row>
    <row r="9" spans="1:7" x14ac:dyDescent="0.25">
      <c r="A9" s="16" t="s">
        <v>13</v>
      </c>
      <c r="B9" s="16" t="s">
        <v>110</v>
      </c>
      <c r="C9" s="16" t="s">
        <v>193</v>
      </c>
      <c r="D9" s="17" t="s">
        <v>200</v>
      </c>
      <c r="E9" s="16" t="s">
        <v>201</v>
      </c>
      <c r="F9" s="17" t="s">
        <v>196</v>
      </c>
      <c r="G9" s="18" t="s">
        <v>180</v>
      </c>
    </row>
    <row r="10" spans="1:7" x14ac:dyDescent="0.25">
      <c r="A10" s="14" t="s">
        <v>14</v>
      </c>
      <c r="B10" s="14" t="s">
        <v>28</v>
      </c>
      <c r="C10" s="14" t="s">
        <v>202</v>
      </c>
      <c r="D10" s="19" t="s">
        <v>203</v>
      </c>
      <c r="E10" s="14" t="s">
        <v>204</v>
      </c>
      <c r="F10" s="19" t="s">
        <v>205</v>
      </c>
      <c r="G10" s="20" t="s">
        <v>180</v>
      </c>
    </row>
    <row r="11" spans="1:7" x14ac:dyDescent="0.25">
      <c r="A11" s="14" t="s">
        <v>14</v>
      </c>
      <c r="B11" s="14" t="s">
        <v>60</v>
      </c>
      <c r="C11" s="14" t="s">
        <v>206</v>
      </c>
      <c r="D11" s="19" t="s">
        <v>207</v>
      </c>
      <c r="E11" s="14" t="s">
        <v>208</v>
      </c>
      <c r="F11" s="19" t="s">
        <v>209</v>
      </c>
      <c r="G11" s="20" t="s">
        <v>180</v>
      </c>
    </row>
    <row r="12" spans="1:7" x14ac:dyDescent="0.25">
      <c r="A12" s="14" t="s">
        <v>14</v>
      </c>
      <c r="B12" s="14" t="s">
        <v>62</v>
      </c>
      <c r="C12" s="14" t="s">
        <v>206</v>
      </c>
      <c r="D12" s="19" t="s">
        <v>210</v>
      </c>
      <c r="E12" s="14" t="s">
        <v>211</v>
      </c>
      <c r="F12" s="19" t="s">
        <v>212</v>
      </c>
      <c r="G12" s="20" t="s">
        <v>180</v>
      </c>
    </row>
    <row r="13" spans="1:7" x14ac:dyDescent="0.25">
      <c r="A13" s="14" t="s">
        <v>14</v>
      </c>
      <c r="B13" s="14" t="s">
        <v>62</v>
      </c>
      <c r="C13" s="14" t="s">
        <v>206</v>
      </c>
      <c r="D13" s="19" t="s">
        <v>213</v>
      </c>
      <c r="E13" s="14" t="s">
        <v>214</v>
      </c>
      <c r="F13" s="19" t="s">
        <v>212</v>
      </c>
      <c r="G13" s="20" t="s">
        <v>180</v>
      </c>
    </row>
    <row r="14" spans="1:7" x14ac:dyDescent="0.25">
      <c r="A14" s="14" t="s">
        <v>14</v>
      </c>
      <c r="B14" s="14" t="s">
        <v>62</v>
      </c>
      <c r="C14" s="14" t="s">
        <v>206</v>
      </c>
      <c r="D14" s="19" t="s">
        <v>215</v>
      </c>
      <c r="E14" s="14" t="s">
        <v>216</v>
      </c>
      <c r="F14" s="19" t="s">
        <v>212</v>
      </c>
      <c r="G14" s="20" t="s">
        <v>180</v>
      </c>
    </row>
    <row r="15" spans="1:7" x14ac:dyDescent="0.25">
      <c r="A15" s="14" t="s">
        <v>14</v>
      </c>
      <c r="B15" s="14" t="s">
        <v>62</v>
      </c>
      <c r="C15" s="14" t="s">
        <v>206</v>
      </c>
      <c r="D15" s="19" t="s">
        <v>217</v>
      </c>
      <c r="E15" s="14" t="s">
        <v>218</v>
      </c>
      <c r="F15" s="19" t="s">
        <v>212</v>
      </c>
      <c r="G15" s="20" t="s">
        <v>180</v>
      </c>
    </row>
    <row r="16" spans="1:7" x14ac:dyDescent="0.25">
      <c r="A16" s="14" t="s">
        <v>14</v>
      </c>
      <c r="B16" s="14" t="s">
        <v>62</v>
      </c>
      <c r="C16" s="14" t="s">
        <v>206</v>
      </c>
      <c r="D16" s="19" t="s">
        <v>219</v>
      </c>
      <c r="E16" s="14" t="s">
        <v>220</v>
      </c>
      <c r="F16" s="19" t="s">
        <v>212</v>
      </c>
      <c r="G16" s="20" t="s">
        <v>180</v>
      </c>
    </row>
    <row r="17" spans="1:7" x14ac:dyDescent="0.25">
      <c r="A17" s="14" t="s">
        <v>14</v>
      </c>
      <c r="B17" s="14" t="s">
        <v>78</v>
      </c>
      <c r="C17" s="14" t="s">
        <v>221</v>
      </c>
      <c r="D17" s="19" t="s">
        <v>222</v>
      </c>
      <c r="E17" s="14" t="s">
        <v>223</v>
      </c>
      <c r="F17" s="19" t="s">
        <v>224</v>
      </c>
      <c r="G17" s="20" t="s">
        <v>180</v>
      </c>
    </row>
    <row r="18" spans="1:7" x14ac:dyDescent="0.25">
      <c r="A18" s="14" t="s">
        <v>14</v>
      </c>
      <c r="B18" s="14" t="s">
        <v>86</v>
      </c>
      <c r="C18" s="14" t="s">
        <v>189</v>
      </c>
      <c r="D18" s="19" t="s">
        <v>225</v>
      </c>
      <c r="E18" s="14" t="s">
        <v>226</v>
      </c>
      <c r="F18" s="19" t="s">
        <v>227</v>
      </c>
      <c r="G18" s="20" t="s">
        <v>180</v>
      </c>
    </row>
    <row r="19" spans="1:7" x14ac:dyDescent="0.25">
      <c r="A19" s="14" t="s">
        <v>14</v>
      </c>
      <c r="B19" s="14" t="s">
        <v>88</v>
      </c>
      <c r="C19" s="14" t="s">
        <v>189</v>
      </c>
      <c r="D19" s="19" t="s">
        <v>228</v>
      </c>
      <c r="E19" s="14" t="s">
        <v>229</v>
      </c>
      <c r="F19" s="19" t="s">
        <v>230</v>
      </c>
      <c r="G19" s="20" t="s">
        <v>180</v>
      </c>
    </row>
    <row r="20" spans="1:7" x14ac:dyDescent="0.25">
      <c r="A20" s="14" t="s">
        <v>14</v>
      </c>
      <c r="B20" s="14" t="s">
        <v>92</v>
      </c>
      <c r="C20" s="14" t="s">
        <v>231</v>
      </c>
      <c r="D20" s="19" t="s">
        <v>232</v>
      </c>
      <c r="E20" s="14" t="s">
        <v>233</v>
      </c>
      <c r="F20" s="19" t="s">
        <v>234</v>
      </c>
      <c r="G20" s="20" t="s">
        <v>180</v>
      </c>
    </row>
    <row r="21" spans="1:7" x14ac:dyDescent="0.25">
      <c r="A21" s="14" t="s">
        <v>14</v>
      </c>
      <c r="B21" s="14" t="s">
        <v>98</v>
      </c>
      <c r="C21" s="14" t="s">
        <v>235</v>
      </c>
      <c r="D21" s="19" t="s">
        <v>236</v>
      </c>
      <c r="E21" s="14" t="s">
        <v>237</v>
      </c>
      <c r="F21" s="19" t="s">
        <v>238</v>
      </c>
      <c r="G21" s="20" t="s">
        <v>180</v>
      </c>
    </row>
    <row r="22" spans="1:7" x14ac:dyDescent="0.25">
      <c r="A22" s="14" t="s">
        <v>14</v>
      </c>
      <c r="B22" s="14" t="s">
        <v>98</v>
      </c>
      <c r="C22" s="14" t="s">
        <v>235</v>
      </c>
      <c r="D22" s="19" t="s">
        <v>239</v>
      </c>
      <c r="E22" s="14" t="s">
        <v>240</v>
      </c>
      <c r="F22" s="19" t="s">
        <v>238</v>
      </c>
      <c r="G22" s="20" t="s">
        <v>180</v>
      </c>
    </row>
    <row r="23" spans="1:7" x14ac:dyDescent="0.25">
      <c r="A23" s="14" t="s">
        <v>14</v>
      </c>
      <c r="B23" s="14" t="s">
        <v>102</v>
      </c>
      <c r="C23" s="14" t="s">
        <v>241</v>
      </c>
      <c r="D23" s="19" t="s">
        <v>242</v>
      </c>
      <c r="E23" s="14" t="s">
        <v>243</v>
      </c>
      <c r="F23" s="19" t="s">
        <v>244</v>
      </c>
      <c r="G23" s="20" t="s">
        <v>180</v>
      </c>
    </row>
    <row r="24" spans="1:7" x14ac:dyDescent="0.25">
      <c r="A24" s="14" t="s">
        <v>14</v>
      </c>
      <c r="B24" s="14" t="s">
        <v>104</v>
      </c>
      <c r="C24" s="14" t="s">
        <v>241</v>
      </c>
      <c r="D24" s="19" t="s">
        <v>245</v>
      </c>
      <c r="E24" s="14" t="s">
        <v>246</v>
      </c>
      <c r="F24" s="19" t="s">
        <v>247</v>
      </c>
      <c r="G24" s="20" t="s">
        <v>180</v>
      </c>
    </row>
    <row r="25" spans="1:7" x14ac:dyDescent="0.25">
      <c r="A25" s="14" t="s">
        <v>14</v>
      </c>
      <c r="B25" s="14" t="s">
        <v>104</v>
      </c>
      <c r="C25" s="14" t="s">
        <v>241</v>
      </c>
      <c r="D25" s="19" t="s">
        <v>248</v>
      </c>
      <c r="E25" s="14" t="s">
        <v>249</v>
      </c>
      <c r="F25" s="19" t="s">
        <v>247</v>
      </c>
      <c r="G25" s="20" t="s">
        <v>180</v>
      </c>
    </row>
    <row r="26" spans="1:7" x14ac:dyDescent="0.25">
      <c r="A26" s="14" t="s">
        <v>14</v>
      </c>
      <c r="B26" s="14" t="s">
        <v>112</v>
      </c>
      <c r="C26" s="14" t="s">
        <v>193</v>
      </c>
      <c r="D26" s="19" t="s">
        <v>250</v>
      </c>
      <c r="E26" s="14" t="s">
        <v>251</v>
      </c>
      <c r="F26" s="19" t="s">
        <v>252</v>
      </c>
      <c r="G26" s="20" t="s">
        <v>180</v>
      </c>
    </row>
    <row r="27" spans="1:7" x14ac:dyDescent="0.25">
      <c r="A27" s="21" t="s">
        <v>6</v>
      </c>
      <c r="B27" s="21" t="s">
        <v>6</v>
      </c>
      <c r="C27" s="21" t="s">
        <v>6</v>
      </c>
      <c r="D27" s="22" t="s">
        <v>253</v>
      </c>
      <c r="E27" s="21" t="s">
        <v>254</v>
      </c>
      <c r="F27" s="22" t="s">
        <v>6</v>
      </c>
      <c r="G27" s="23" t="s">
        <v>255</v>
      </c>
    </row>
    <row r="28" spans="1:7" x14ac:dyDescent="0.25">
      <c r="A28" s="21" t="s">
        <v>6</v>
      </c>
      <c r="B28" s="21" t="s">
        <v>6</v>
      </c>
      <c r="C28" s="21" t="s">
        <v>6</v>
      </c>
      <c r="D28" s="22" t="s">
        <v>256</v>
      </c>
      <c r="E28" s="21" t="s">
        <v>257</v>
      </c>
      <c r="F28" s="22" t="s">
        <v>6</v>
      </c>
      <c r="G28" s="23" t="s">
        <v>255</v>
      </c>
    </row>
    <row r="29" spans="1:7" x14ac:dyDescent="0.25">
      <c r="A29" s="21" t="s">
        <v>6</v>
      </c>
      <c r="B29" s="21" t="s">
        <v>6</v>
      </c>
      <c r="C29" s="21" t="s">
        <v>6</v>
      </c>
      <c r="D29" s="22" t="s">
        <v>258</v>
      </c>
      <c r="E29" s="21" t="s">
        <v>259</v>
      </c>
      <c r="F29" s="22" t="s">
        <v>6</v>
      </c>
      <c r="G29" s="23" t="s">
        <v>255</v>
      </c>
    </row>
    <row r="30" spans="1:7" x14ac:dyDescent="0.25">
      <c r="A30" s="21" t="s">
        <v>6</v>
      </c>
      <c r="B30" s="21" t="s">
        <v>6</v>
      </c>
      <c r="C30" s="21" t="s">
        <v>6</v>
      </c>
      <c r="D30" s="22" t="s">
        <v>260</v>
      </c>
      <c r="E30" s="21" t="s">
        <v>261</v>
      </c>
      <c r="F30" s="22" t="s">
        <v>6</v>
      </c>
      <c r="G30" s="23" t="s">
        <v>255</v>
      </c>
    </row>
    <row r="31" spans="1:7" x14ac:dyDescent="0.25">
      <c r="A31" s="21" t="s">
        <v>6</v>
      </c>
      <c r="B31" s="21" t="s">
        <v>6</v>
      </c>
      <c r="C31" s="21" t="s">
        <v>6</v>
      </c>
      <c r="D31" s="22" t="s">
        <v>262</v>
      </c>
      <c r="E31" s="21" t="s">
        <v>263</v>
      </c>
      <c r="F31" s="22" t="s">
        <v>6</v>
      </c>
      <c r="G31" s="23" t="s">
        <v>255</v>
      </c>
    </row>
    <row r="32" spans="1:7" x14ac:dyDescent="0.25">
      <c r="A32" s="14" t="s">
        <v>14</v>
      </c>
      <c r="B32" s="14" t="s">
        <v>112</v>
      </c>
      <c r="C32" s="14" t="s">
        <v>193</v>
      </c>
      <c r="D32" s="19" t="s">
        <v>264</v>
      </c>
      <c r="E32" s="14" t="s">
        <v>265</v>
      </c>
      <c r="F32" s="19" t="s">
        <v>252</v>
      </c>
      <c r="G32" s="20" t="s">
        <v>180</v>
      </c>
    </row>
    <row r="33" spans="1:7" x14ac:dyDescent="0.25">
      <c r="A33" s="21" t="s">
        <v>6</v>
      </c>
      <c r="B33" s="21" t="s">
        <v>6</v>
      </c>
      <c r="C33" s="21" t="s">
        <v>6</v>
      </c>
      <c r="D33" s="22" t="s">
        <v>253</v>
      </c>
      <c r="E33" s="21" t="s">
        <v>266</v>
      </c>
      <c r="F33" s="22" t="s">
        <v>6</v>
      </c>
      <c r="G33" s="23" t="s">
        <v>255</v>
      </c>
    </row>
    <row r="34" spans="1:7" x14ac:dyDescent="0.25">
      <c r="A34" s="21" t="s">
        <v>6</v>
      </c>
      <c r="B34" s="21" t="s">
        <v>6</v>
      </c>
      <c r="C34" s="21" t="s">
        <v>6</v>
      </c>
      <c r="D34" s="22" t="s">
        <v>267</v>
      </c>
      <c r="E34" s="21" t="s">
        <v>268</v>
      </c>
      <c r="F34" s="22" t="s">
        <v>6</v>
      </c>
      <c r="G34" s="23" t="s">
        <v>255</v>
      </c>
    </row>
    <row r="35" spans="1:7" x14ac:dyDescent="0.25">
      <c r="A35" s="21" t="s">
        <v>6</v>
      </c>
      <c r="B35" s="21" t="s">
        <v>6</v>
      </c>
      <c r="C35" s="21" t="s">
        <v>6</v>
      </c>
      <c r="D35" s="22" t="s">
        <v>269</v>
      </c>
      <c r="E35" s="21" t="s">
        <v>270</v>
      </c>
      <c r="F35" s="22" t="s">
        <v>6</v>
      </c>
      <c r="G35" s="23" t="s">
        <v>255</v>
      </c>
    </row>
    <row r="36" spans="1:7" x14ac:dyDescent="0.25">
      <c r="A36" s="21" t="s">
        <v>6</v>
      </c>
      <c r="B36" s="21" t="s">
        <v>6</v>
      </c>
      <c r="C36" s="21" t="s">
        <v>6</v>
      </c>
      <c r="D36" s="22" t="s">
        <v>271</v>
      </c>
      <c r="E36" s="21" t="s">
        <v>272</v>
      </c>
      <c r="F36" s="22" t="s">
        <v>6</v>
      </c>
      <c r="G36" s="23" t="s">
        <v>255</v>
      </c>
    </row>
    <row r="37" spans="1:7" x14ac:dyDescent="0.25">
      <c r="A37" s="14" t="s">
        <v>14</v>
      </c>
      <c r="B37" s="14" t="s">
        <v>112</v>
      </c>
      <c r="C37" s="14" t="s">
        <v>193</v>
      </c>
      <c r="D37" s="19" t="s">
        <v>273</v>
      </c>
      <c r="E37" s="14" t="s">
        <v>274</v>
      </c>
      <c r="F37" s="19" t="s">
        <v>252</v>
      </c>
      <c r="G37" s="20" t="s">
        <v>180</v>
      </c>
    </row>
    <row r="38" spans="1:7" x14ac:dyDescent="0.25">
      <c r="A38" s="21" t="s">
        <v>6</v>
      </c>
      <c r="B38" s="21" t="s">
        <v>6</v>
      </c>
      <c r="C38" s="21" t="s">
        <v>6</v>
      </c>
      <c r="D38" s="22" t="s">
        <v>253</v>
      </c>
      <c r="E38" s="21" t="s">
        <v>275</v>
      </c>
      <c r="F38" s="22" t="s">
        <v>6</v>
      </c>
      <c r="G38" s="23" t="s">
        <v>255</v>
      </c>
    </row>
    <row r="39" spans="1:7" x14ac:dyDescent="0.25">
      <c r="A39" s="21" t="s">
        <v>6</v>
      </c>
      <c r="B39" s="21" t="s">
        <v>6</v>
      </c>
      <c r="C39" s="21" t="s">
        <v>6</v>
      </c>
      <c r="D39" s="22" t="s">
        <v>276</v>
      </c>
      <c r="E39" s="21" t="s">
        <v>277</v>
      </c>
      <c r="F39" s="22" t="s">
        <v>6</v>
      </c>
      <c r="G39" s="23" t="s">
        <v>255</v>
      </c>
    </row>
    <row r="40" spans="1:7" x14ac:dyDescent="0.25">
      <c r="A40" s="21" t="s">
        <v>6</v>
      </c>
      <c r="B40" s="21" t="s">
        <v>6</v>
      </c>
      <c r="C40" s="21" t="s">
        <v>6</v>
      </c>
      <c r="D40" s="22" t="s">
        <v>278</v>
      </c>
      <c r="E40" s="21" t="s">
        <v>279</v>
      </c>
      <c r="F40" s="22" t="s">
        <v>6</v>
      </c>
      <c r="G40" s="23" t="s">
        <v>255</v>
      </c>
    </row>
    <row r="41" spans="1:7" x14ac:dyDescent="0.25">
      <c r="A41" s="21" t="s">
        <v>6</v>
      </c>
      <c r="B41" s="21" t="s">
        <v>6</v>
      </c>
      <c r="C41" s="21" t="s">
        <v>6</v>
      </c>
      <c r="D41" s="22" t="s">
        <v>280</v>
      </c>
      <c r="E41" s="21" t="s">
        <v>281</v>
      </c>
      <c r="F41" s="22" t="s">
        <v>6</v>
      </c>
      <c r="G41" s="23" t="s">
        <v>255</v>
      </c>
    </row>
    <row r="42" spans="1:7" x14ac:dyDescent="0.25">
      <c r="A42" s="21" t="s">
        <v>6</v>
      </c>
      <c r="B42" s="21" t="s">
        <v>6</v>
      </c>
      <c r="C42" s="21" t="s">
        <v>6</v>
      </c>
      <c r="D42" s="22" t="s">
        <v>262</v>
      </c>
      <c r="E42" s="21" t="s">
        <v>282</v>
      </c>
      <c r="F42" s="22" t="s">
        <v>6</v>
      </c>
      <c r="G42" s="23" t="s">
        <v>255</v>
      </c>
    </row>
    <row r="43" spans="1:7" x14ac:dyDescent="0.25">
      <c r="A43" s="14" t="s">
        <v>14</v>
      </c>
      <c r="B43" s="14" t="s">
        <v>112</v>
      </c>
      <c r="C43" s="14" t="s">
        <v>193</v>
      </c>
      <c r="D43" s="19" t="s">
        <v>283</v>
      </c>
      <c r="E43" s="14" t="s">
        <v>284</v>
      </c>
      <c r="F43" s="19" t="s">
        <v>252</v>
      </c>
      <c r="G43" s="20" t="s">
        <v>180</v>
      </c>
    </row>
    <row r="44" spans="1:7" x14ac:dyDescent="0.25">
      <c r="A44" s="21" t="s">
        <v>6</v>
      </c>
      <c r="B44" s="21" t="s">
        <v>6</v>
      </c>
      <c r="C44" s="21" t="s">
        <v>6</v>
      </c>
      <c r="D44" s="22" t="s">
        <v>285</v>
      </c>
      <c r="E44" s="21" t="s">
        <v>286</v>
      </c>
      <c r="F44" s="22" t="s">
        <v>6</v>
      </c>
      <c r="G44" s="23" t="s">
        <v>255</v>
      </c>
    </row>
    <row r="45" spans="1:7" x14ac:dyDescent="0.25">
      <c r="A45" s="21" t="s">
        <v>6</v>
      </c>
      <c r="B45" s="21" t="s">
        <v>6</v>
      </c>
      <c r="C45" s="21" t="s">
        <v>6</v>
      </c>
      <c r="D45" s="22" t="s">
        <v>287</v>
      </c>
      <c r="E45" s="21" t="s">
        <v>288</v>
      </c>
      <c r="F45" s="22" t="s">
        <v>6</v>
      </c>
      <c r="G45" s="23" t="s">
        <v>255</v>
      </c>
    </row>
    <row r="46" spans="1:7" x14ac:dyDescent="0.25">
      <c r="A46" s="21" t="s">
        <v>6</v>
      </c>
      <c r="B46" s="21" t="s">
        <v>6</v>
      </c>
      <c r="C46" s="21" t="s">
        <v>6</v>
      </c>
      <c r="D46" s="22" t="s">
        <v>289</v>
      </c>
      <c r="E46" s="21" t="s">
        <v>290</v>
      </c>
      <c r="F46" s="22" t="s">
        <v>6</v>
      </c>
      <c r="G46" s="23" t="s">
        <v>255</v>
      </c>
    </row>
    <row r="47" spans="1:7" x14ac:dyDescent="0.25">
      <c r="A47" s="21" t="s">
        <v>6</v>
      </c>
      <c r="B47" s="21" t="s">
        <v>6</v>
      </c>
      <c r="C47" s="21" t="s">
        <v>6</v>
      </c>
      <c r="D47" s="22" t="s">
        <v>291</v>
      </c>
      <c r="E47" s="21" t="s">
        <v>292</v>
      </c>
      <c r="F47" s="22" t="s">
        <v>6</v>
      </c>
      <c r="G47" s="23" t="s">
        <v>255</v>
      </c>
    </row>
    <row r="48" spans="1:7" x14ac:dyDescent="0.25">
      <c r="A48" s="14" t="s">
        <v>14</v>
      </c>
      <c r="B48" s="14" t="s">
        <v>112</v>
      </c>
      <c r="C48" s="14" t="s">
        <v>193</v>
      </c>
      <c r="D48" s="19" t="s">
        <v>293</v>
      </c>
      <c r="E48" s="14" t="s">
        <v>294</v>
      </c>
      <c r="F48" s="19" t="s">
        <v>252</v>
      </c>
      <c r="G48" s="20" t="s">
        <v>180</v>
      </c>
    </row>
    <row r="49" spans="1:7" x14ac:dyDescent="0.25">
      <c r="A49" s="21" t="s">
        <v>6</v>
      </c>
      <c r="B49" s="21" t="s">
        <v>6</v>
      </c>
      <c r="C49" s="21" t="s">
        <v>6</v>
      </c>
      <c r="D49" s="22" t="s">
        <v>253</v>
      </c>
      <c r="E49" s="21" t="s">
        <v>295</v>
      </c>
      <c r="F49" s="22" t="s">
        <v>6</v>
      </c>
      <c r="G49" s="23" t="s">
        <v>255</v>
      </c>
    </row>
    <row r="50" spans="1:7" x14ac:dyDescent="0.25">
      <c r="A50" s="21" t="s">
        <v>6</v>
      </c>
      <c r="B50" s="21" t="s">
        <v>6</v>
      </c>
      <c r="C50" s="21" t="s">
        <v>6</v>
      </c>
      <c r="D50" s="22" t="s">
        <v>296</v>
      </c>
      <c r="E50" s="21" t="s">
        <v>297</v>
      </c>
      <c r="F50" s="22" t="s">
        <v>6</v>
      </c>
      <c r="G50" s="23" t="s">
        <v>255</v>
      </c>
    </row>
    <row r="51" spans="1:7" x14ac:dyDescent="0.25">
      <c r="A51" s="21" t="s">
        <v>6</v>
      </c>
      <c r="B51" s="21" t="s">
        <v>6</v>
      </c>
      <c r="C51" s="21" t="s">
        <v>6</v>
      </c>
      <c r="D51" s="22" t="s">
        <v>298</v>
      </c>
      <c r="E51" s="21" t="s">
        <v>299</v>
      </c>
      <c r="F51" s="22" t="s">
        <v>6</v>
      </c>
      <c r="G51" s="23" t="s">
        <v>255</v>
      </c>
    </row>
    <row r="52" spans="1:7" x14ac:dyDescent="0.25">
      <c r="A52" s="21" t="s">
        <v>6</v>
      </c>
      <c r="B52" s="21" t="s">
        <v>6</v>
      </c>
      <c r="C52" s="21" t="s">
        <v>6</v>
      </c>
      <c r="D52" s="22" t="s">
        <v>300</v>
      </c>
      <c r="E52" s="21" t="s">
        <v>301</v>
      </c>
      <c r="F52" s="22" t="s">
        <v>6</v>
      </c>
      <c r="G52" s="23" t="s">
        <v>255</v>
      </c>
    </row>
    <row r="53" spans="1:7" x14ac:dyDescent="0.25">
      <c r="A53" s="21" t="s">
        <v>6</v>
      </c>
      <c r="B53" s="21" t="s">
        <v>6</v>
      </c>
      <c r="C53" s="21" t="s">
        <v>6</v>
      </c>
      <c r="D53" s="22" t="s">
        <v>302</v>
      </c>
      <c r="E53" s="21" t="s">
        <v>303</v>
      </c>
      <c r="F53" s="22" t="s">
        <v>6</v>
      </c>
      <c r="G53" s="23" t="s">
        <v>255</v>
      </c>
    </row>
    <row r="54" spans="1:7" x14ac:dyDescent="0.25">
      <c r="A54" s="14" t="s">
        <v>14</v>
      </c>
      <c r="B54" s="14" t="s">
        <v>112</v>
      </c>
      <c r="C54" s="14" t="s">
        <v>193</v>
      </c>
      <c r="D54" s="19" t="s">
        <v>304</v>
      </c>
      <c r="E54" s="14" t="s">
        <v>305</v>
      </c>
      <c r="F54" s="19" t="s">
        <v>252</v>
      </c>
      <c r="G54" s="20" t="s">
        <v>180</v>
      </c>
    </row>
    <row r="55" spans="1:7" x14ac:dyDescent="0.25">
      <c r="A55" s="21" t="s">
        <v>6</v>
      </c>
      <c r="B55" s="21" t="s">
        <v>6</v>
      </c>
      <c r="C55" s="21" t="s">
        <v>6</v>
      </c>
      <c r="D55" s="22" t="s">
        <v>298</v>
      </c>
      <c r="E55" s="21" t="s">
        <v>306</v>
      </c>
      <c r="F55" s="22" t="s">
        <v>6</v>
      </c>
      <c r="G55" s="23" t="s">
        <v>255</v>
      </c>
    </row>
    <row r="56" spans="1:7" x14ac:dyDescent="0.25">
      <c r="A56" s="21" t="s">
        <v>6</v>
      </c>
      <c r="B56" s="21" t="s">
        <v>6</v>
      </c>
      <c r="C56" s="21" t="s">
        <v>6</v>
      </c>
      <c r="D56" s="22" t="s">
        <v>296</v>
      </c>
      <c r="E56" s="21" t="s">
        <v>307</v>
      </c>
      <c r="F56" s="22" t="s">
        <v>6</v>
      </c>
      <c r="G56" s="23" t="s">
        <v>255</v>
      </c>
    </row>
    <row r="57" spans="1:7" x14ac:dyDescent="0.25">
      <c r="A57" s="14" t="s">
        <v>14</v>
      </c>
      <c r="B57" s="14" t="s">
        <v>112</v>
      </c>
      <c r="C57" s="14" t="s">
        <v>193</v>
      </c>
      <c r="D57" s="19" t="s">
        <v>308</v>
      </c>
      <c r="E57" s="14" t="s">
        <v>309</v>
      </c>
      <c r="F57" s="19" t="s">
        <v>252</v>
      </c>
      <c r="G57" s="20" t="s">
        <v>180</v>
      </c>
    </row>
    <row r="58" spans="1:7" x14ac:dyDescent="0.25">
      <c r="A58" s="21" t="s">
        <v>6</v>
      </c>
      <c r="B58" s="21" t="s">
        <v>6</v>
      </c>
      <c r="C58" s="21" t="s">
        <v>6</v>
      </c>
      <c r="D58" s="22" t="s">
        <v>269</v>
      </c>
      <c r="E58" s="21" t="s">
        <v>310</v>
      </c>
      <c r="F58" s="22" t="s">
        <v>6</v>
      </c>
      <c r="G58" s="23" t="s">
        <v>255</v>
      </c>
    </row>
    <row r="59" spans="1:7" x14ac:dyDescent="0.25">
      <c r="A59" s="21" t="s">
        <v>6</v>
      </c>
      <c r="B59" s="21" t="s">
        <v>6</v>
      </c>
      <c r="C59" s="21" t="s">
        <v>6</v>
      </c>
      <c r="D59" s="22" t="s">
        <v>260</v>
      </c>
      <c r="E59" s="21" t="s">
        <v>310</v>
      </c>
      <c r="F59" s="22" t="s">
        <v>6</v>
      </c>
      <c r="G59" s="23" t="s">
        <v>255</v>
      </c>
    </row>
    <row r="60" spans="1:7" x14ac:dyDescent="0.25">
      <c r="A60" s="14" t="s">
        <v>14</v>
      </c>
      <c r="B60" s="14" t="s">
        <v>112</v>
      </c>
      <c r="C60" s="14" t="s">
        <v>193</v>
      </c>
      <c r="D60" s="19" t="s">
        <v>311</v>
      </c>
      <c r="E60" s="14" t="s">
        <v>312</v>
      </c>
      <c r="F60" s="19" t="s">
        <v>252</v>
      </c>
      <c r="G60" s="20" t="s">
        <v>180</v>
      </c>
    </row>
    <row r="61" spans="1:7" x14ac:dyDescent="0.25">
      <c r="A61" s="21" t="s">
        <v>6</v>
      </c>
      <c r="B61" s="21" t="s">
        <v>6</v>
      </c>
      <c r="C61" s="21" t="s">
        <v>6</v>
      </c>
      <c r="D61" s="22" t="s">
        <v>313</v>
      </c>
      <c r="E61" s="21" t="s">
        <v>314</v>
      </c>
      <c r="F61" s="22" t="s">
        <v>6</v>
      </c>
      <c r="G61" s="23" t="s">
        <v>255</v>
      </c>
    </row>
    <row r="62" spans="1:7" x14ac:dyDescent="0.25">
      <c r="A62" s="14" t="s">
        <v>14</v>
      </c>
      <c r="B62" s="14" t="s">
        <v>112</v>
      </c>
      <c r="C62" s="14" t="s">
        <v>193</v>
      </c>
      <c r="D62" s="19" t="s">
        <v>315</v>
      </c>
      <c r="E62" s="14" t="s">
        <v>316</v>
      </c>
      <c r="F62" s="19" t="s">
        <v>252</v>
      </c>
      <c r="G62" s="20" t="s">
        <v>180</v>
      </c>
    </row>
    <row r="63" spans="1:7" x14ac:dyDescent="0.25">
      <c r="A63" s="21" t="s">
        <v>6</v>
      </c>
      <c r="B63" s="21" t="s">
        <v>6</v>
      </c>
      <c r="C63" s="21" t="s">
        <v>6</v>
      </c>
      <c r="D63" s="22" t="s">
        <v>253</v>
      </c>
      <c r="E63" s="21" t="s">
        <v>317</v>
      </c>
      <c r="F63" s="22" t="s">
        <v>6</v>
      </c>
      <c r="G63" s="23" t="s">
        <v>255</v>
      </c>
    </row>
    <row r="64" spans="1:7" x14ac:dyDescent="0.25">
      <c r="A64" s="21" t="s">
        <v>6</v>
      </c>
      <c r="B64" s="21" t="s">
        <v>6</v>
      </c>
      <c r="C64" s="21" t="s">
        <v>6</v>
      </c>
      <c r="D64" s="22" t="s">
        <v>318</v>
      </c>
      <c r="E64" s="21" t="s">
        <v>319</v>
      </c>
      <c r="F64" s="22" t="s">
        <v>6</v>
      </c>
      <c r="G64" s="23" t="s">
        <v>255</v>
      </c>
    </row>
    <row r="65" spans="1:7" x14ac:dyDescent="0.25">
      <c r="A65" s="21" t="s">
        <v>6</v>
      </c>
      <c r="B65" s="21" t="s">
        <v>6</v>
      </c>
      <c r="C65" s="21" t="s">
        <v>6</v>
      </c>
      <c r="D65" s="22" t="s">
        <v>285</v>
      </c>
      <c r="E65" s="21" t="s">
        <v>320</v>
      </c>
      <c r="F65" s="22" t="s">
        <v>6</v>
      </c>
      <c r="G65" s="23" t="s">
        <v>255</v>
      </c>
    </row>
    <row r="66" spans="1:7" x14ac:dyDescent="0.25">
      <c r="A66" s="21" t="s">
        <v>6</v>
      </c>
      <c r="B66" s="21" t="s">
        <v>6</v>
      </c>
      <c r="C66" s="21" t="s">
        <v>6</v>
      </c>
      <c r="D66" s="22" t="s">
        <v>321</v>
      </c>
      <c r="E66" s="21" t="s">
        <v>322</v>
      </c>
      <c r="F66" s="22" t="s">
        <v>6</v>
      </c>
      <c r="G66" s="23" t="s">
        <v>255</v>
      </c>
    </row>
    <row r="67" spans="1:7" x14ac:dyDescent="0.25">
      <c r="A67" s="21" t="s">
        <v>6</v>
      </c>
      <c r="B67" s="21" t="s">
        <v>6</v>
      </c>
      <c r="C67" s="21" t="s">
        <v>6</v>
      </c>
      <c r="D67" s="22" t="s">
        <v>323</v>
      </c>
      <c r="E67" s="21" t="s">
        <v>324</v>
      </c>
      <c r="F67" s="22" t="s">
        <v>6</v>
      </c>
      <c r="G67" s="23" t="s">
        <v>255</v>
      </c>
    </row>
    <row r="68" spans="1:7" x14ac:dyDescent="0.25">
      <c r="A68" s="14" t="s">
        <v>14</v>
      </c>
      <c r="B68" s="14" t="s">
        <v>112</v>
      </c>
      <c r="C68" s="14" t="s">
        <v>193</v>
      </c>
      <c r="D68" s="19" t="s">
        <v>325</v>
      </c>
      <c r="E68" s="14" t="s">
        <v>326</v>
      </c>
      <c r="F68" s="19" t="s">
        <v>252</v>
      </c>
      <c r="G68" s="20" t="s">
        <v>180</v>
      </c>
    </row>
    <row r="69" spans="1:7" x14ac:dyDescent="0.25">
      <c r="A69" s="21" t="s">
        <v>6</v>
      </c>
      <c r="B69" s="21" t="s">
        <v>6</v>
      </c>
      <c r="C69" s="21" t="s">
        <v>6</v>
      </c>
      <c r="D69" s="22" t="s">
        <v>253</v>
      </c>
      <c r="E69" s="21" t="s">
        <v>327</v>
      </c>
      <c r="F69" s="22" t="s">
        <v>6</v>
      </c>
      <c r="G69" s="23" t="s">
        <v>255</v>
      </c>
    </row>
    <row r="70" spans="1:7" x14ac:dyDescent="0.25">
      <c r="A70" s="21" t="s">
        <v>6</v>
      </c>
      <c r="B70" s="21" t="s">
        <v>6</v>
      </c>
      <c r="C70" s="21" t="s">
        <v>6</v>
      </c>
      <c r="D70" s="22" t="s">
        <v>328</v>
      </c>
      <c r="E70" s="21" t="s">
        <v>329</v>
      </c>
      <c r="F70" s="22" t="s">
        <v>6</v>
      </c>
      <c r="G70" s="23" t="s">
        <v>255</v>
      </c>
    </row>
    <row r="71" spans="1:7" x14ac:dyDescent="0.25">
      <c r="A71" s="21" t="s">
        <v>6</v>
      </c>
      <c r="B71" s="21" t="s">
        <v>6</v>
      </c>
      <c r="C71" s="21" t="s">
        <v>6</v>
      </c>
      <c r="D71" s="22" t="s">
        <v>330</v>
      </c>
      <c r="E71" s="21" t="s">
        <v>331</v>
      </c>
      <c r="F71" s="22" t="s">
        <v>6</v>
      </c>
      <c r="G71" s="23" t="s">
        <v>255</v>
      </c>
    </row>
    <row r="72" spans="1:7" x14ac:dyDescent="0.25">
      <c r="A72" s="21" t="s">
        <v>6</v>
      </c>
      <c r="B72" s="21" t="s">
        <v>6</v>
      </c>
      <c r="C72" s="21" t="s">
        <v>6</v>
      </c>
      <c r="D72" s="22" t="s">
        <v>291</v>
      </c>
      <c r="E72" s="21" t="s">
        <v>332</v>
      </c>
      <c r="F72" s="22" t="s">
        <v>6</v>
      </c>
      <c r="G72" s="23" t="s">
        <v>255</v>
      </c>
    </row>
    <row r="73" spans="1:7" x14ac:dyDescent="0.25">
      <c r="A73" s="21" t="s">
        <v>6</v>
      </c>
      <c r="B73" s="21" t="s">
        <v>6</v>
      </c>
      <c r="C73" s="21" t="s">
        <v>6</v>
      </c>
      <c r="D73" s="22" t="s">
        <v>333</v>
      </c>
      <c r="E73" s="21" t="s">
        <v>334</v>
      </c>
      <c r="F73" s="22" t="s">
        <v>6</v>
      </c>
      <c r="G73" s="23" t="s">
        <v>255</v>
      </c>
    </row>
    <row r="74" spans="1:7" x14ac:dyDescent="0.25">
      <c r="A74" s="14" t="s">
        <v>14</v>
      </c>
      <c r="B74" s="14" t="s">
        <v>112</v>
      </c>
      <c r="C74" s="14" t="s">
        <v>193</v>
      </c>
      <c r="D74" s="19" t="s">
        <v>335</v>
      </c>
      <c r="E74" s="14" t="s">
        <v>336</v>
      </c>
      <c r="F74" s="19" t="s">
        <v>252</v>
      </c>
      <c r="G74" s="20" t="s">
        <v>180</v>
      </c>
    </row>
    <row r="75" spans="1:7" x14ac:dyDescent="0.25">
      <c r="A75" s="21" t="s">
        <v>6</v>
      </c>
      <c r="B75" s="21" t="s">
        <v>6</v>
      </c>
      <c r="C75" s="21" t="s">
        <v>6</v>
      </c>
      <c r="D75" s="22" t="s">
        <v>337</v>
      </c>
      <c r="E75" s="21" t="s">
        <v>338</v>
      </c>
      <c r="F75" s="22" t="s">
        <v>6</v>
      </c>
      <c r="G75" s="23" t="s">
        <v>255</v>
      </c>
    </row>
    <row r="76" spans="1:7" x14ac:dyDescent="0.25">
      <c r="A76" s="21" t="s">
        <v>6</v>
      </c>
      <c r="B76" s="21" t="s">
        <v>6</v>
      </c>
      <c r="C76" s="21" t="s">
        <v>6</v>
      </c>
      <c r="D76" s="22" t="s">
        <v>276</v>
      </c>
      <c r="E76" s="21" t="s">
        <v>339</v>
      </c>
      <c r="F76" s="22" t="s">
        <v>6</v>
      </c>
      <c r="G76" s="23" t="s">
        <v>255</v>
      </c>
    </row>
    <row r="77" spans="1:7" x14ac:dyDescent="0.25">
      <c r="A77" s="14" t="s">
        <v>14</v>
      </c>
      <c r="B77" s="14" t="s">
        <v>112</v>
      </c>
      <c r="C77" s="14" t="s">
        <v>193</v>
      </c>
      <c r="D77" s="19" t="s">
        <v>340</v>
      </c>
      <c r="E77" s="14" t="s">
        <v>341</v>
      </c>
      <c r="F77" s="19" t="s">
        <v>252</v>
      </c>
      <c r="G77" s="20" t="s">
        <v>180</v>
      </c>
    </row>
    <row r="78" spans="1:7" x14ac:dyDescent="0.25">
      <c r="A78" s="21" t="s">
        <v>6</v>
      </c>
      <c r="B78" s="21" t="s">
        <v>6</v>
      </c>
      <c r="C78" s="21" t="s">
        <v>6</v>
      </c>
      <c r="D78" s="22" t="s">
        <v>262</v>
      </c>
      <c r="E78" s="21" t="s">
        <v>342</v>
      </c>
      <c r="F78" s="22" t="s">
        <v>6</v>
      </c>
      <c r="G78" s="23" t="s">
        <v>255</v>
      </c>
    </row>
    <row r="79" spans="1:7" x14ac:dyDescent="0.25">
      <c r="A79" s="21" t="s">
        <v>6</v>
      </c>
      <c r="B79" s="21" t="s">
        <v>6</v>
      </c>
      <c r="C79" s="21" t="s">
        <v>6</v>
      </c>
      <c r="D79" s="22" t="s">
        <v>269</v>
      </c>
      <c r="E79" s="21" t="s">
        <v>343</v>
      </c>
      <c r="F79" s="22" t="s">
        <v>6</v>
      </c>
      <c r="G79" s="23" t="s">
        <v>255</v>
      </c>
    </row>
    <row r="80" spans="1:7" x14ac:dyDescent="0.25">
      <c r="A80" s="21" t="s">
        <v>6</v>
      </c>
      <c r="B80" s="21" t="s">
        <v>6</v>
      </c>
      <c r="C80" s="21" t="s">
        <v>6</v>
      </c>
      <c r="D80" s="22" t="s">
        <v>260</v>
      </c>
      <c r="E80" s="21" t="s">
        <v>344</v>
      </c>
      <c r="F80" s="22" t="s">
        <v>6</v>
      </c>
      <c r="G80" s="23" t="s">
        <v>255</v>
      </c>
    </row>
    <row r="81" spans="1:7" x14ac:dyDescent="0.25">
      <c r="A81" s="21" t="s">
        <v>6</v>
      </c>
      <c r="B81" s="21" t="s">
        <v>6</v>
      </c>
      <c r="C81" s="21" t="s">
        <v>6</v>
      </c>
      <c r="D81" s="22" t="s">
        <v>253</v>
      </c>
      <c r="E81" s="21" t="s">
        <v>345</v>
      </c>
      <c r="F81" s="22" t="s">
        <v>6</v>
      </c>
      <c r="G81" s="23" t="s">
        <v>255</v>
      </c>
    </row>
    <row r="82" spans="1:7" x14ac:dyDescent="0.25">
      <c r="A82" s="14" t="s">
        <v>14</v>
      </c>
      <c r="B82" s="14" t="s">
        <v>114</v>
      </c>
      <c r="C82" s="14" t="s">
        <v>193</v>
      </c>
      <c r="D82" s="19" t="s">
        <v>346</v>
      </c>
      <c r="E82" s="14" t="s">
        <v>314</v>
      </c>
      <c r="F82" s="19" t="s">
        <v>347</v>
      </c>
      <c r="G82" s="20" t="s">
        <v>180</v>
      </c>
    </row>
    <row r="83" spans="1:7" x14ac:dyDescent="0.25">
      <c r="A83" s="21" t="s">
        <v>6</v>
      </c>
      <c r="B83" s="21" t="s">
        <v>6</v>
      </c>
      <c r="C83" s="21" t="s">
        <v>6</v>
      </c>
      <c r="D83" s="22" t="s">
        <v>348</v>
      </c>
      <c r="E83" s="21" t="s">
        <v>314</v>
      </c>
      <c r="F83" s="22" t="s">
        <v>6</v>
      </c>
      <c r="G83" s="23" t="s">
        <v>255</v>
      </c>
    </row>
    <row r="84" spans="1:7" x14ac:dyDescent="0.25">
      <c r="A84" s="14" t="s">
        <v>14</v>
      </c>
      <c r="B84" s="14" t="s">
        <v>120</v>
      </c>
      <c r="C84" s="14" t="s">
        <v>349</v>
      </c>
      <c r="D84" s="19" t="s">
        <v>350</v>
      </c>
      <c r="E84" s="14" t="s">
        <v>284</v>
      </c>
      <c r="F84" s="19" t="s">
        <v>351</v>
      </c>
      <c r="G84" s="20" t="s">
        <v>180</v>
      </c>
    </row>
    <row r="85" spans="1:7" x14ac:dyDescent="0.25">
      <c r="A85" s="21" t="s">
        <v>6</v>
      </c>
      <c r="B85" s="21" t="s">
        <v>6</v>
      </c>
      <c r="C85" s="21" t="s">
        <v>6</v>
      </c>
      <c r="D85" s="22" t="s">
        <v>348</v>
      </c>
      <c r="E85" s="21" t="s">
        <v>352</v>
      </c>
      <c r="F85" s="22" t="s">
        <v>6</v>
      </c>
      <c r="G85" s="23" t="s">
        <v>255</v>
      </c>
    </row>
    <row r="86" spans="1:7" x14ac:dyDescent="0.25">
      <c r="A86" s="14" t="s">
        <v>14</v>
      </c>
      <c r="B86" s="14" t="s">
        <v>126</v>
      </c>
      <c r="C86" s="14" t="s">
        <v>349</v>
      </c>
      <c r="D86" s="19" t="s">
        <v>353</v>
      </c>
      <c r="E86" s="14" t="s">
        <v>354</v>
      </c>
      <c r="F86" s="19" t="s">
        <v>355</v>
      </c>
      <c r="G86" s="20" t="s">
        <v>180</v>
      </c>
    </row>
    <row r="87" spans="1:7" x14ac:dyDescent="0.25">
      <c r="A87" s="14" t="s">
        <v>14</v>
      </c>
      <c r="B87" s="14" t="s">
        <v>126</v>
      </c>
      <c r="C87" s="14" t="s">
        <v>349</v>
      </c>
      <c r="D87" s="19" t="s">
        <v>356</v>
      </c>
      <c r="E87" s="14" t="s">
        <v>354</v>
      </c>
      <c r="F87" s="19" t="s">
        <v>357</v>
      </c>
      <c r="G87" s="20" t="s">
        <v>180</v>
      </c>
    </row>
    <row r="88" spans="1:7" x14ac:dyDescent="0.25">
      <c r="A88" s="14" t="s">
        <v>14</v>
      </c>
      <c r="B88" s="14" t="s">
        <v>126</v>
      </c>
      <c r="C88" s="14" t="s">
        <v>349</v>
      </c>
      <c r="D88" s="19" t="s">
        <v>358</v>
      </c>
      <c r="E88" s="14" t="s">
        <v>354</v>
      </c>
      <c r="F88" s="19" t="s">
        <v>359</v>
      </c>
      <c r="G88" s="20" t="s">
        <v>180</v>
      </c>
    </row>
    <row r="89" spans="1:7" x14ac:dyDescent="0.25">
      <c r="A89" s="24" t="s">
        <v>15</v>
      </c>
      <c r="B89" s="24" t="s">
        <v>54</v>
      </c>
      <c r="C89" s="24" t="s">
        <v>181</v>
      </c>
      <c r="D89" s="25" t="s">
        <v>360</v>
      </c>
      <c r="E89" s="24" t="s">
        <v>361</v>
      </c>
      <c r="F89" s="25" t="s">
        <v>362</v>
      </c>
      <c r="G89" s="26" t="s">
        <v>180</v>
      </c>
    </row>
    <row r="90" spans="1:7" x14ac:dyDescent="0.25">
      <c r="A90" s="24" t="s">
        <v>15</v>
      </c>
      <c r="B90" s="24" t="s">
        <v>56</v>
      </c>
      <c r="C90" s="24" t="s">
        <v>181</v>
      </c>
      <c r="D90" s="25" t="s">
        <v>363</v>
      </c>
      <c r="E90" s="24" t="s">
        <v>364</v>
      </c>
      <c r="F90" s="25" t="s">
        <v>365</v>
      </c>
      <c r="G90" s="24" t="s">
        <v>6</v>
      </c>
    </row>
    <row r="91" spans="1:7" x14ac:dyDescent="0.25">
      <c r="A91" s="24" t="s">
        <v>15</v>
      </c>
      <c r="B91" s="24" t="s">
        <v>108</v>
      </c>
      <c r="C91" s="24" t="s">
        <v>241</v>
      </c>
      <c r="D91" s="25" t="s">
        <v>366</v>
      </c>
      <c r="E91" s="24" t="s">
        <v>367</v>
      </c>
      <c r="F91" s="25" t="s">
        <v>368</v>
      </c>
      <c r="G91" s="26" t="s">
        <v>180</v>
      </c>
    </row>
    <row r="92" spans="1:7" x14ac:dyDescent="0.25">
      <c r="A92" s="24" t="s">
        <v>15</v>
      </c>
      <c r="B92" s="24" t="s">
        <v>108</v>
      </c>
      <c r="C92" s="24" t="s">
        <v>241</v>
      </c>
      <c r="D92" s="25" t="s">
        <v>369</v>
      </c>
      <c r="E92" s="24" t="s">
        <v>370</v>
      </c>
      <c r="F92" s="25" t="s">
        <v>368</v>
      </c>
      <c r="G92" s="26" t="s">
        <v>180</v>
      </c>
    </row>
    <row r="93" spans="1:7" x14ac:dyDescent="0.25">
      <c r="A93" s="24" t="s">
        <v>15</v>
      </c>
      <c r="B93" s="24" t="s">
        <v>108</v>
      </c>
      <c r="C93" s="24" t="s">
        <v>241</v>
      </c>
      <c r="D93" s="25" t="s">
        <v>371</v>
      </c>
      <c r="E93" s="24" t="s">
        <v>372</v>
      </c>
      <c r="F93" s="25" t="s">
        <v>368</v>
      </c>
      <c r="G93" s="26" t="s">
        <v>180</v>
      </c>
    </row>
    <row r="94" spans="1:7" x14ac:dyDescent="0.25">
      <c r="A94" s="24" t="s">
        <v>15</v>
      </c>
      <c r="B94" s="24" t="s">
        <v>118</v>
      </c>
      <c r="C94" s="24" t="s">
        <v>193</v>
      </c>
      <c r="D94" s="25" t="s">
        <v>373</v>
      </c>
      <c r="E94" s="24" t="s">
        <v>183</v>
      </c>
      <c r="F94" s="25" t="s">
        <v>347</v>
      </c>
      <c r="G94" s="26" t="s">
        <v>180</v>
      </c>
    </row>
    <row r="95" spans="1:7" x14ac:dyDescent="0.25">
      <c r="A95" s="24" t="s">
        <v>15</v>
      </c>
      <c r="B95" s="24" t="s">
        <v>128</v>
      </c>
      <c r="C95" s="24" t="s">
        <v>349</v>
      </c>
      <c r="D95" s="25" t="s">
        <v>374</v>
      </c>
      <c r="E95" s="24" t="s">
        <v>375</v>
      </c>
      <c r="F95" s="25" t="s">
        <v>376</v>
      </c>
      <c r="G95" s="26" t="s">
        <v>180</v>
      </c>
    </row>
    <row r="96" spans="1:7" x14ac:dyDescent="0.25">
      <c r="A96" s="24" t="s">
        <v>15</v>
      </c>
      <c r="B96" s="24" t="s">
        <v>128</v>
      </c>
      <c r="C96" s="24" t="s">
        <v>349</v>
      </c>
      <c r="D96" s="25" t="s">
        <v>377</v>
      </c>
      <c r="E96" s="24" t="s">
        <v>378</v>
      </c>
      <c r="F96" s="25" t="s">
        <v>376</v>
      </c>
      <c r="G96" s="26" t="s">
        <v>180</v>
      </c>
    </row>
    <row r="97" spans="1:7" x14ac:dyDescent="0.25">
      <c r="A97" s="24" t="s">
        <v>15</v>
      </c>
      <c r="B97" s="24" t="s">
        <v>128</v>
      </c>
      <c r="C97" s="24" t="s">
        <v>349</v>
      </c>
      <c r="D97" s="25" t="s">
        <v>379</v>
      </c>
      <c r="E97" s="24" t="s">
        <v>380</v>
      </c>
      <c r="F97" s="25" t="s">
        <v>376</v>
      </c>
      <c r="G97" s="26" t="s">
        <v>180</v>
      </c>
    </row>
    <row r="98" spans="1:7" x14ac:dyDescent="0.25">
      <c r="A98" s="24" t="s">
        <v>15</v>
      </c>
      <c r="B98" s="24" t="s">
        <v>128</v>
      </c>
      <c r="C98" s="24" t="s">
        <v>349</v>
      </c>
      <c r="D98" s="25" t="s">
        <v>381</v>
      </c>
      <c r="E98" s="24" t="s">
        <v>382</v>
      </c>
      <c r="F98" s="25" t="s">
        <v>376</v>
      </c>
      <c r="G98" s="26" t="s">
        <v>180</v>
      </c>
    </row>
  </sheetData>
  <autoFilter ref="A1:G98"/>
  <hyperlinks>
    <hyperlink ref="G2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1" r:id="rId88"/>
    <hyperlink ref="G92" r:id="rId89"/>
    <hyperlink ref="G93" r:id="rId90"/>
    <hyperlink ref="G94" r:id="rId91"/>
    <hyperlink ref="G95" r:id="rId92"/>
    <hyperlink ref="G96" r:id="rId93"/>
    <hyperlink ref="G97" r:id="rId94"/>
    <hyperlink ref="G98" r:id="rId9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383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385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386</v>
      </c>
    </row>
    <row r="4" spans="1:1" x14ac:dyDescent="0.25">
      <c r="A4" s="29" t="s">
        <v>384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387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38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6" t="s">
        <v>13</v>
      </c>
      <c r="B6" s="16" t="s">
        <v>70</v>
      </c>
      <c r="C6" s="17" t="s">
        <v>186</v>
      </c>
      <c r="D6" s="16" t="s">
        <v>187</v>
      </c>
      <c r="E6" s="17" t="s">
        <v>188</v>
      </c>
      <c r="F6" s="18" t="s">
        <v>180</v>
      </c>
    </row>
    <row r="7" spans="1:6" x14ac:dyDescent="0.25">
      <c r="A7" s="16" t="s">
        <v>13</v>
      </c>
      <c r="B7" s="16" t="s">
        <v>110</v>
      </c>
      <c r="C7" s="17" t="s">
        <v>194</v>
      </c>
      <c r="D7" s="16" t="s">
        <v>195</v>
      </c>
      <c r="E7" s="17" t="s">
        <v>196</v>
      </c>
      <c r="F7" s="18" t="s">
        <v>180</v>
      </c>
    </row>
    <row r="8" spans="1:6" x14ac:dyDescent="0.25">
      <c r="A8" s="16" t="s">
        <v>13</v>
      </c>
      <c r="B8" s="16" t="s">
        <v>110</v>
      </c>
      <c r="C8" s="17" t="s">
        <v>197</v>
      </c>
      <c r="D8" s="16" t="s">
        <v>198</v>
      </c>
      <c r="E8" s="17" t="s">
        <v>196</v>
      </c>
      <c r="F8" s="18" t="s">
        <v>180</v>
      </c>
    </row>
    <row r="9" spans="1:6" x14ac:dyDescent="0.25">
      <c r="A9" s="16" t="s">
        <v>13</v>
      </c>
      <c r="B9" s="16" t="s">
        <v>110</v>
      </c>
      <c r="C9" s="17" t="s">
        <v>199</v>
      </c>
      <c r="D9" s="16" t="s">
        <v>187</v>
      </c>
      <c r="E9" s="17" t="s">
        <v>196</v>
      </c>
      <c r="F9" s="18" t="s">
        <v>180</v>
      </c>
    </row>
    <row r="10" spans="1:6" x14ac:dyDescent="0.25">
      <c r="A10" s="16" t="s">
        <v>13</v>
      </c>
      <c r="B10" s="16" t="s">
        <v>110</v>
      </c>
      <c r="C10" s="17" t="s">
        <v>200</v>
      </c>
      <c r="D10" s="16" t="s">
        <v>201</v>
      </c>
      <c r="E10" s="17" t="s">
        <v>196</v>
      </c>
      <c r="F10" s="18" t="s">
        <v>180</v>
      </c>
    </row>
    <row r="11" spans="1:6" x14ac:dyDescent="0.25">
      <c r="A11" s="14" t="s">
        <v>14</v>
      </c>
      <c r="B11" s="14" t="s">
        <v>60</v>
      </c>
      <c r="C11" s="19" t="s">
        <v>207</v>
      </c>
      <c r="D11" s="14" t="s">
        <v>208</v>
      </c>
      <c r="E11" s="19" t="s">
        <v>209</v>
      </c>
      <c r="F11" s="20" t="s">
        <v>180</v>
      </c>
    </row>
    <row r="12" spans="1:6" x14ac:dyDescent="0.25">
      <c r="A12" s="14" t="s">
        <v>14</v>
      </c>
      <c r="B12" s="14" t="s">
        <v>62</v>
      </c>
      <c r="C12" s="19" t="s">
        <v>210</v>
      </c>
      <c r="D12" s="14" t="s">
        <v>211</v>
      </c>
      <c r="E12" s="19" t="s">
        <v>212</v>
      </c>
      <c r="F12" s="20" t="s">
        <v>180</v>
      </c>
    </row>
    <row r="13" spans="1:6" x14ac:dyDescent="0.25">
      <c r="A13" s="14" t="s">
        <v>14</v>
      </c>
      <c r="B13" s="14" t="s">
        <v>62</v>
      </c>
      <c r="C13" s="19" t="s">
        <v>213</v>
      </c>
      <c r="D13" s="14" t="s">
        <v>214</v>
      </c>
      <c r="E13" s="19" t="s">
        <v>212</v>
      </c>
      <c r="F13" s="20" t="s">
        <v>180</v>
      </c>
    </row>
    <row r="14" spans="1:6" x14ac:dyDescent="0.25">
      <c r="A14" s="14" t="s">
        <v>14</v>
      </c>
      <c r="B14" s="14" t="s">
        <v>62</v>
      </c>
      <c r="C14" s="19" t="s">
        <v>215</v>
      </c>
      <c r="D14" s="14" t="s">
        <v>216</v>
      </c>
      <c r="E14" s="19" t="s">
        <v>212</v>
      </c>
      <c r="F14" s="20" t="s">
        <v>180</v>
      </c>
    </row>
    <row r="15" spans="1:6" x14ac:dyDescent="0.25">
      <c r="A15" s="14" t="s">
        <v>14</v>
      </c>
      <c r="B15" s="14" t="s">
        <v>62</v>
      </c>
      <c r="C15" s="19" t="s">
        <v>217</v>
      </c>
      <c r="D15" s="14" t="s">
        <v>218</v>
      </c>
      <c r="E15" s="19" t="s">
        <v>212</v>
      </c>
      <c r="F15" s="20" t="s">
        <v>180</v>
      </c>
    </row>
    <row r="16" spans="1:6" x14ac:dyDescent="0.25">
      <c r="A16" s="14" t="s">
        <v>14</v>
      </c>
      <c r="B16" s="14" t="s">
        <v>62</v>
      </c>
      <c r="C16" s="19" t="s">
        <v>219</v>
      </c>
      <c r="D16" s="14" t="s">
        <v>220</v>
      </c>
      <c r="E16" s="19" t="s">
        <v>212</v>
      </c>
      <c r="F16" s="20" t="s">
        <v>180</v>
      </c>
    </row>
    <row r="17" spans="1:6" x14ac:dyDescent="0.25">
      <c r="A17" s="14" t="s">
        <v>14</v>
      </c>
      <c r="B17" s="14" t="s">
        <v>112</v>
      </c>
      <c r="C17" s="19" t="s">
        <v>250</v>
      </c>
      <c r="D17" s="14" t="s">
        <v>251</v>
      </c>
      <c r="E17" s="19" t="s">
        <v>252</v>
      </c>
      <c r="F17" s="20" t="s">
        <v>180</v>
      </c>
    </row>
    <row r="18" spans="1:6" x14ac:dyDescent="0.25">
      <c r="A18" s="21" t="s">
        <v>6</v>
      </c>
      <c r="B18" s="21" t="s">
        <v>6</v>
      </c>
      <c r="C18" s="22" t="s">
        <v>253</v>
      </c>
      <c r="D18" s="21" t="s">
        <v>254</v>
      </c>
      <c r="E18" s="22" t="s">
        <v>6</v>
      </c>
      <c r="F18" s="23" t="s">
        <v>255</v>
      </c>
    </row>
    <row r="19" spans="1:6" x14ac:dyDescent="0.25">
      <c r="A19" s="21" t="s">
        <v>6</v>
      </c>
      <c r="B19" s="21" t="s">
        <v>6</v>
      </c>
      <c r="C19" s="22" t="s">
        <v>256</v>
      </c>
      <c r="D19" s="21" t="s">
        <v>257</v>
      </c>
      <c r="E19" s="22" t="s">
        <v>6</v>
      </c>
      <c r="F19" s="23" t="s">
        <v>255</v>
      </c>
    </row>
    <row r="20" spans="1:6" x14ac:dyDescent="0.25">
      <c r="A20" s="21" t="s">
        <v>6</v>
      </c>
      <c r="B20" s="21" t="s">
        <v>6</v>
      </c>
      <c r="C20" s="22" t="s">
        <v>258</v>
      </c>
      <c r="D20" s="21" t="s">
        <v>259</v>
      </c>
      <c r="E20" s="22" t="s">
        <v>6</v>
      </c>
      <c r="F20" s="23" t="s">
        <v>255</v>
      </c>
    </row>
    <row r="21" spans="1:6" x14ac:dyDescent="0.25">
      <c r="A21" s="21" t="s">
        <v>6</v>
      </c>
      <c r="B21" s="21" t="s">
        <v>6</v>
      </c>
      <c r="C21" s="22" t="s">
        <v>260</v>
      </c>
      <c r="D21" s="21" t="s">
        <v>261</v>
      </c>
      <c r="E21" s="22" t="s">
        <v>6</v>
      </c>
      <c r="F21" s="23" t="s">
        <v>255</v>
      </c>
    </row>
    <row r="22" spans="1:6" x14ac:dyDescent="0.25">
      <c r="A22" s="21" t="s">
        <v>6</v>
      </c>
      <c r="B22" s="21" t="s">
        <v>6</v>
      </c>
      <c r="C22" s="22" t="s">
        <v>262</v>
      </c>
      <c r="D22" s="21" t="s">
        <v>263</v>
      </c>
      <c r="E22" s="22" t="s">
        <v>6</v>
      </c>
      <c r="F22" s="23" t="s">
        <v>255</v>
      </c>
    </row>
    <row r="23" spans="1:6" x14ac:dyDescent="0.25">
      <c r="A23" s="14" t="s">
        <v>14</v>
      </c>
      <c r="B23" s="14" t="s">
        <v>112</v>
      </c>
      <c r="C23" s="19" t="s">
        <v>264</v>
      </c>
      <c r="D23" s="14" t="s">
        <v>265</v>
      </c>
      <c r="E23" s="19" t="s">
        <v>252</v>
      </c>
      <c r="F23" s="20" t="s">
        <v>180</v>
      </c>
    </row>
    <row r="24" spans="1:6" x14ac:dyDescent="0.25">
      <c r="A24" s="21" t="s">
        <v>6</v>
      </c>
      <c r="B24" s="21" t="s">
        <v>6</v>
      </c>
      <c r="C24" s="22" t="s">
        <v>253</v>
      </c>
      <c r="D24" s="21" t="s">
        <v>266</v>
      </c>
      <c r="E24" s="22" t="s">
        <v>6</v>
      </c>
      <c r="F24" s="23" t="s">
        <v>255</v>
      </c>
    </row>
    <row r="25" spans="1:6" x14ac:dyDescent="0.25">
      <c r="A25" s="21" t="s">
        <v>6</v>
      </c>
      <c r="B25" s="21" t="s">
        <v>6</v>
      </c>
      <c r="C25" s="22" t="s">
        <v>267</v>
      </c>
      <c r="D25" s="21" t="s">
        <v>268</v>
      </c>
      <c r="E25" s="22" t="s">
        <v>6</v>
      </c>
      <c r="F25" s="23" t="s">
        <v>255</v>
      </c>
    </row>
    <row r="26" spans="1:6" x14ac:dyDescent="0.25">
      <c r="A26" s="21" t="s">
        <v>6</v>
      </c>
      <c r="B26" s="21" t="s">
        <v>6</v>
      </c>
      <c r="C26" s="22" t="s">
        <v>269</v>
      </c>
      <c r="D26" s="21" t="s">
        <v>270</v>
      </c>
      <c r="E26" s="22" t="s">
        <v>6</v>
      </c>
      <c r="F26" s="23" t="s">
        <v>255</v>
      </c>
    </row>
    <row r="27" spans="1:6" x14ac:dyDescent="0.25">
      <c r="A27" s="21" t="s">
        <v>6</v>
      </c>
      <c r="B27" s="21" t="s">
        <v>6</v>
      </c>
      <c r="C27" s="22" t="s">
        <v>271</v>
      </c>
      <c r="D27" s="21" t="s">
        <v>272</v>
      </c>
      <c r="E27" s="22" t="s">
        <v>6</v>
      </c>
      <c r="F27" s="23" t="s">
        <v>255</v>
      </c>
    </row>
    <row r="28" spans="1:6" x14ac:dyDescent="0.25">
      <c r="A28" s="14" t="s">
        <v>14</v>
      </c>
      <c r="B28" s="14" t="s">
        <v>112</v>
      </c>
      <c r="C28" s="19" t="s">
        <v>273</v>
      </c>
      <c r="D28" s="14" t="s">
        <v>274</v>
      </c>
      <c r="E28" s="19" t="s">
        <v>252</v>
      </c>
      <c r="F28" s="20" t="s">
        <v>180</v>
      </c>
    </row>
    <row r="29" spans="1:6" x14ac:dyDescent="0.25">
      <c r="A29" s="21" t="s">
        <v>6</v>
      </c>
      <c r="B29" s="21" t="s">
        <v>6</v>
      </c>
      <c r="C29" s="22" t="s">
        <v>253</v>
      </c>
      <c r="D29" s="21" t="s">
        <v>275</v>
      </c>
      <c r="E29" s="22" t="s">
        <v>6</v>
      </c>
      <c r="F29" s="23" t="s">
        <v>255</v>
      </c>
    </row>
    <row r="30" spans="1:6" x14ac:dyDescent="0.25">
      <c r="A30" s="21" t="s">
        <v>6</v>
      </c>
      <c r="B30" s="21" t="s">
        <v>6</v>
      </c>
      <c r="C30" s="22" t="s">
        <v>276</v>
      </c>
      <c r="D30" s="21" t="s">
        <v>277</v>
      </c>
      <c r="E30" s="22" t="s">
        <v>6</v>
      </c>
      <c r="F30" s="23" t="s">
        <v>255</v>
      </c>
    </row>
    <row r="31" spans="1:6" x14ac:dyDescent="0.25">
      <c r="A31" s="21" t="s">
        <v>6</v>
      </c>
      <c r="B31" s="21" t="s">
        <v>6</v>
      </c>
      <c r="C31" s="22" t="s">
        <v>278</v>
      </c>
      <c r="D31" s="21" t="s">
        <v>279</v>
      </c>
      <c r="E31" s="22" t="s">
        <v>6</v>
      </c>
      <c r="F31" s="23" t="s">
        <v>255</v>
      </c>
    </row>
    <row r="32" spans="1:6" x14ac:dyDescent="0.25">
      <c r="A32" s="21" t="s">
        <v>6</v>
      </c>
      <c r="B32" s="21" t="s">
        <v>6</v>
      </c>
      <c r="C32" s="22" t="s">
        <v>280</v>
      </c>
      <c r="D32" s="21" t="s">
        <v>281</v>
      </c>
      <c r="E32" s="22" t="s">
        <v>6</v>
      </c>
      <c r="F32" s="23" t="s">
        <v>255</v>
      </c>
    </row>
    <row r="33" spans="1:6" x14ac:dyDescent="0.25">
      <c r="A33" s="21" t="s">
        <v>6</v>
      </c>
      <c r="B33" s="21" t="s">
        <v>6</v>
      </c>
      <c r="C33" s="22" t="s">
        <v>262</v>
      </c>
      <c r="D33" s="21" t="s">
        <v>282</v>
      </c>
      <c r="E33" s="22" t="s">
        <v>6</v>
      </c>
      <c r="F33" s="23" t="s">
        <v>255</v>
      </c>
    </row>
    <row r="34" spans="1:6" x14ac:dyDescent="0.25">
      <c r="A34" s="14" t="s">
        <v>14</v>
      </c>
      <c r="B34" s="14" t="s">
        <v>112</v>
      </c>
      <c r="C34" s="19" t="s">
        <v>283</v>
      </c>
      <c r="D34" s="14" t="s">
        <v>284</v>
      </c>
      <c r="E34" s="19" t="s">
        <v>252</v>
      </c>
      <c r="F34" s="20" t="s">
        <v>180</v>
      </c>
    </row>
    <row r="35" spans="1:6" x14ac:dyDescent="0.25">
      <c r="A35" s="21" t="s">
        <v>6</v>
      </c>
      <c r="B35" s="21" t="s">
        <v>6</v>
      </c>
      <c r="C35" s="22" t="s">
        <v>285</v>
      </c>
      <c r="D35" s="21" t="s">
        <v>286</v>
      </c>
      <c r="E35" s="22" t="s">
        <v>6</v>
      </c>
      <c r="F35" s="23" t="s">
        <v>255</v>
      </c>
    </row>
    <row r="36" spans="1:6" x14ac:dyDescent="0.25">
      <c r="A36" s="21" t="s">
        <v>6</v>
      </c>
      <c r="B36" s="21" t="s">
        <v>6</v>
      </c>
      <c r="C36" s="22" t="s">
        <v>287</v>
      </c>
      <c r="D36" s="21" t="s">
        <v>288</v>
      </c>
      <c r="E36" s="22" t="s">
        <v>6</v>
      </c>
      <c r="F36" s="23" t="s">
        <v>255</v>
      </c>
    </row>
    <row r="37" spans="1:6" x14ac:dyDescent="0.25">
      <c r="A37" s="21" t="s">
        <v>6</v>
      </c>
      <c r="B37" s="21" t="s">
        <v>6</v>
      </c>
      <c r="C37" s="22" t="s">
        <v>289</v>
      </c>
      <c r="D37" s="21" t="s">
        <v>290</v>
      </c>
      <c r="E37" s="22" t="s">
        <v>6</v>
      </c>
      <c r="F37" s="23" t="s">
        <v>255</v>
      </c>
    </row>
    <row r="38" spans="1:6" x14ac:dyDescent="0.25">
      <c r="A38" s="21" t="s">
        <v>6</v>
      </c>
      <c r="B38" s="21" t="s">
        <v>6</v>
      </c>
      <c r="C38" s="22" t="s">
        <v>291</v>
      </c>
      <c r="D38" s="21" t="s">
        <v>292</v>
      </c>
      <c r="E38" s="22" t="s">
        <v>6</v>
      </c>
      <c r="F38" s="23" t="s">
        <v>255</v>
      </c>
    </row>
    <row r="39" spans="1:6" x14ac:dyDescent="0.25">
      <c r="A39" s="14" t="s">
        <v>14</v>
      </c>
      <c r="B39" s="14" t="s">
        <v>112</v>
      </c>
      <c r="C39" s="19" t="s">
        <v>293</v>
      </c>
      <c r="D39" s="14" t="s">
        <v>294</v>
      </c>
      <c r="E39" s="19" t="s">
        <v>252</v>
      </c>
      <c r="F39" s="20" t="s">
        <v>180</v>
      </c>
    </row>
    <row r="40" spans="1:6" x14ac:dyDescent="0.25">
      <c r="A40" s="21" t="s">
        <v>6</v>
      </c>
      <c r="B40" s="21" t="s">
        <v>6</v>
      </c>
      <c r="C40" s="22" t="s">
        <v>253</v>
      </c>
      <c r="D40" s="21" t="s">
        <v>295</v>
      </c>
      <c r="E40" s="22" t="s">
        <v>6</v>
      </c>
      <c r="F40" s="23" t="s">
        <v>255</v>
      </c>
    </row>
    <row r="41" spans="1:6" x14ac:dyDescent="0.25">
      <c r="A41" s="21" t="s">
        <v>6</v>
      </c>
      <c r="B41" s="21" t="s">
        <v>6</v>
      </c>
      <c r="C41" s="22" t="s">
        <v>296</v>
      </c>
      <c r="D41" s="21" t="s">
        <v>297</v>
      </c>
      <c r="E41" s="22" t="s">
        <v>6</v>
      </c>
      <c r="F41" s="23" t="s">
        <v>255</v>
      </c>
    </row>
    <row r="42" spans="1:6" x14ac:dyDescent="0.25">
      <c r="A42" s="21" t="s">
        <v>6</v>
      </c>
      <c r="B42" s="21" t="s">
        <v>6</v>
      </c>
      <c r="C42" s="22" t="s">
        <v>298</v>
      </c>
      <c r="D42" s="21" t="s">
        <v>299</v>
      </c>
      <c r="E42" s="22" t="s">
        <v>6</v>
      </c>
      <c r="F42" s="23" t="s">
        <v>255</v>
      </c>
    </row>
    <row r="43" spans="1:6" x14ac:dyDescent="0.25">
      <c r="A43" s="21" t="s">
        <v>6</v>
      </c>
      <c r="B43" s="21" t="s">
        <v>6</v>
      </c>
      <c r="C43" s="22" t="s">
        <v>300</v>
      </c>
      <c r="D43" s="21" t="s">
        <v>301</v>
      </c>
      <c r="E43" s="22" t="s">
        <v>6</v>
      </c>
      <c r="F43" s="23" t="s">
        <v>255</v>
      </c>
    </row>
    <row r="44" spans="1:6" x14ac:dyDescent="0.25">
      <c r="A44" s="21" t="s">
        <v>6</v>
      </c>
      <c r="B44" s="21" t="s">
        <v>6</v>
      </c>
      <c r="C44" s="22" t="s">
        <v>302</v>
      </c>
      <c r="D44" s="21" t="s">
        <v>303</v>
      </c>
      <c r="E44" s="22" t="s">
        <v>6</v>
      </c>
      <c r="F44" s="23" t="s">
        <v>255</v>
      </c>
    </row>
    <row r="45" spans="1:6" x14ac:dyDescent="0.25">
      <c r="A45" s="14" t="s">
        <v>14</v>
      </c>
      <c r="B45" s="14" t="s">
        <v>112</v>
      </c>
      <c r="C45" s="19" t="s">
        <v>304</v>
      </c>
      <c r="D45" s="14" t="s">
        <v>305</v>
      </c>
      <c r="E45" s="19" t="s">
        <v>252</v>
      </c>
      <c r="F45" s="20" t="s">
        <v>180</v>
      </c>
    </row>
    <row r="46" spans="1:6" x14ac:dyDescent="0.25">
      <c r="A46" s="21" t="s">
        <v>6</v>
      </c>
      <c r="B46" s="21" t="s">
        <v>6</v>
      </c>
      <c r="C46" s="22" t="s">
        <v>298</v>
      </c>
      <c r="D46" s="21" t="s">
        <v>306</v>
      </c>
      <c r="E46" s="22" t="s">
        <v>6</v>
      </c>
      <c r="F46" s="23" t="s">
        <v>255</v>
      </c>
    </row>
    <row r="47" spans="1:6" x14ac:dyDescent="0.25">
      <c r="A47" s="21" t="s">
        <v>6</v>
      </c>
      <c r="B47" s="21" t="s">
        <v>6</v>
      </c>
      <c r="C47" s="22" t="s">
        <v>296</v>
      </c>
      <c r="D47" s="21" t="s">
        <v>307</v>
      </c>
      <c r="E47" s="22" t="s">
        <v>6</v>
      </c>
      <c r="F47" s="23" t="s">
        <v>255</v>
      </c>
    </row>
    <row r="48" spans="1:6" x14ac:dyDescent="0.25">
      <c r="A48" s="14" t="s">
        <v>14</v>
      </c>
      <c r="B48" s="14" t="s">
        <v>112</v>
      </c>
      <c r="C48" s="19" t="s">
        <v>308</v>
      </c>
      <c r="D48" s="14" t="s">
        <v>309</v>
      </c>
      <c r="E48" s="19" t="s">
        <v>252</v>
      </c>
      <c r="F48" s="20" t="s">
        <v>180</v>
      </c>
    </row>
    <row r="49" spans="1:6" x14ac:dyDescent="0.25">
      <c r="A49" s="21" t="s">
        <v>6</v>
      </c>
      <c r="B49" s="21" t="s">
        <v>6</v>
      </c>
      <c r="C49" s="22" t="s">
        <v>269</v>
      </c>
      <c r="D49" s="21" t="s">
        <v>310</v>
      </c>
      <c r="E49" s="22" t="s">
        <v>6</v>
      </c>
      <c r="F49" s="23" t="s">
        <v>255</v>
      </c>
    </row>
    <row r="50" spans="1:6" x14ac:dyDescent="0.25">
      <c r="A50" s="21" t="s">
        <v>6</v>
      </c>
      <c r="B50" s="21" t="s">
        <v>6</v>
      </c>
      <c r="C50" s="22" t="s">
        <v>260</v>
      </c>
      <c r="D50" s="21" t="s">
        <v>310</v>
      </c>
      <c r="E50" s="22" t="s">
        <v>6</v>
      </c>
      <c r="F50" s="23" t="s">
        <v>255</v>
      </c>
    </row>
    <row r="51" spans="1:6" x14ac:dyDescent="0.25">
      <c r="A51" s="14" t="s">
        <v>14</v>
      </c>
      <c r="B51" s="14" t="s">
        <v>112</v>
      </c>
      <c r="C51" s="19" t="s">
        <v>311</v>
      </c>
      <c r="D51" s="14" t="s">
        <v>312</v>
      </c>
      <c r="E51" s="19" t="s">
        <v>252</v>
      </c>
      <c r="F51" s="20" t="s">
        <v>180</v>
      </c>
    </row>
    <row r="52" spans="1:6" x14ac:dyDescent="0.25">
      <c r="A52" s="21" t="s">
        <v>6</v>
      </c>
      <c r="B52" s="21" t="s">
        <v>6</v>
      </c>
      <c r="C52" s="22" t="s">
        <v>313</v>
      </c>
      <c r="D52" s="21" t="s">
        <v>314</v>
      </c>
      <c r="E52" s="22" t="s">
        <v>6</v>
      </c>
      <c r="F52" s="23" t="s">
        <v>255</v>
      </c>
    </row>
    <row r="53" spans="1:6" x14ac:dyDescent="0.25">
      <c r="A53" s="14" t="s">
        <v>14</v>
      </c>
      <c r="B53" s="14" t="s">
        <v>112</v>
      </c>
      <c r="C53" s="19" t="s">
        <v>315</v>
      </c>
      <c r="D53" s="14" t="s">
        <v>316</v>
      </c>
      <c r="E53" s="19" t="s">
        <v>252</v>
      </c>
      <c r="F53" s="20" t="s">
        <v>180</v>
      </c>
    </row>
    <row r="54" spans="1:6" x14ac:dyDescent="0.25">
      <c r="A54" s="21" t="s">
        <v>6</v>
      </c>
      <c r="B54" s="21" t="s">
        <v>6</v>
      </c>
      <c r="C54" s="22" t="s">
        <v>253</v>
      </c>
      <c r="D54" s="21" t="s">
        <v>317</v>
      </c>
      <c r="E54" s="22" t="s">
        <v>6</v>
      </c>
      <c r="F54" s="23" t="s">
        <v>255</v>
      </c>
    </row>
    <row r="55" spans="1:6" x14ac:dyDescent="0.25">
      <c r="A55" s="21" t="s">
        <v>6</v>
      </c>
      <c r="B55" s="21" t="s">
        <v>6</v>
      </c>
      <c r="C55" s="22" t="s">
        <v>318</v>
      </c>
      <c r="D55" s="21" t="s">
        <v>319</v>
      </c>
      <c r="E55" s="22" t="s">
        <v>6</v>
      </c>
      <c r="F55" s="23" t="s">
        <v>255</v>
      </c>
    </row>
    <row r="56" spans="1:6" x14ac:dyDescent="0.25">
      <c r="A56" s="21" t="s">
        <v>6</v>
      </c>
      <c r="B56" s="21" t="s">
        <v>6</v>
      </c>
      <c r="C56" s="22" t="s">
        <v>285</v>
      </c>
      <c r="D56" s="21" t="s">
        <v>320</v>
      </c>
      <c r="E56" s="22" t="s">
        <v>6</v>
      </c>
      <c r="F56" s="23" t="s">
        <v>255</v>
      </c>
    </row>
    <row r="57" spans="1:6" x14ac:dyDescent="0.25">
      <c r="A57" s="21" t="s">
        <v>6</v>
      </c>
      <c r="B57" s="21" t="s">
        <v>6</v>
      </c>
      <c r="C57" s="22" t="s">
        <v>321</v>
      </c>
      <c r="D57" s="21" t="s">
        <v>322</v>
      </c>
      <c r="E57" s="22" t="s">
        <v>6</v>
      </c>
      <c r="F57" s="23" t="s">
        <v>255</v>
      </c>
    </row>
    <row r="58" spans="1:6" x14ac:dyDescent="0.25">
      <c r="A58" s="21" t="s">
        <v>6</v>
      </c>
      <c r="B58" s="21" t="s">
        <v>6</v>
      </c>
      <c r="C58" s="22" t="s">
        <v>323</v>
      </c>
      <c r="D58" s="21" t="s">
        <v>324</v>
      </c>
      <c r="E58" s="22" t="s">
        <v>6</v>
      </c>
      <c r="F58" s="23" t="s">
        <v>255</v>
      </c>
    </row>
    <row r="59" spans="1:6" x14ac:dyDescent="0.25">
      <c r="A59" s="14" t="s">
        <v>14</v>
      </c>
      <c r="B59" s="14" t="s">
        <v>112</v>
      </c>
      <c r="C59" s="19" t="s">
        <v>325</v>
      </c>
      <c r="D59" s="14" t="s">
        <v>326</v>
      </c>
      <c r="E59" s="19" t="s">
        <v>252</v>
      </c>
      <c r="F59" s="20" t="s">
        <v>180</v>
      </c>
    </row>
    <row r="60" spans="1:6" x14ac:dyDescent="0.25">
      <c r="A60" s="21" t="s">
        <v>6</v>
      </c>
      <c r="B60" s="21" t="s">
        <v>6</v>
      </c>
      <c r="C60" s="22" t="s">
        <v>253</v>
      </c>
      <c r="D60" s="21" t="s">
        <v>327</v>
      </c>
      <c r="E60" s="22" t="s">
        <v>6</v>
      </c>
      <c r="F60" s="23" t="s">
        <v>255</v>
      </c>
    </row>
    <row r="61" spans="1:6" x14ac:dyDescent="0.25">
      <c r="A61" s="21" t="s">
        <v>6</v>
      </c>
      <c r="B61" s="21" t="s">
        <v>6</v>
      </c>
      <c r="C61" s="22" t="s">
        <v>328</v>
      </c>
      <c r="D61" s="21" t="s">
        <v>329</v>
      </c>
      <c r="E61" s="22" t="s">
        <v>6</v>
      </c>
      <c r="F61" s="23" t="s">
        <v>255</v>
      </c>
    </row>
    <row r="62" spans="1:6" x14ac:dyDescent="0.25">
      <c r="A62" s="21" t="s">
        <v>6</v>
      </c>
      <c r="B62" s="21" t="s">
        <v>6</v>
      </c>
      <c r="C62" s="22" t="s">
        <v>330</v>
      </c>
      <c r="D62" s="21" t="s">
        <v>331</v>
      </c>
      <c r="E62" s="22" t="s">
        <v>6</v>
      </c>
      <c r="F62" s="23" t="s">
        <v>255</v>
      </c>
    </row>
    <row r="63" spans="1:6" x14ac:dyDescent="0.25">
      <c r="A63" s="21" t="s">
        <v>6</v>
      </c>
      <c r="B63" s="21" t="s">
        <v>6</v>
      </c>
      <c r="C63" s="22" t="s">
        <v>291</v>
      </c>
      <c r="D63" s="21" t="s">
        <v>332</v>
      </c>
      <c r="E63" s="22" t="s">
        <v>6</v>
      </c>
      <c r="F63" s="23" t="s">
        <v>255</v>
      </c>
    </row>
    <row r="64" spans="1:6" x14ac:dyDescent="0.25">
      <c r="A64" s="21" t="s">
        <v>6</v>
      </c>
      <c r="B64" s="21" t="s">
        <v>6</v>
      </c>
      <c r="C64" s="22" t="s">
        <v>333</v>
      </c>
      <c r="D64" s="21" t="s">
        <v>334</v>
      </c>
      <c r="E64" s="22" t="s">
        <v>6</v>
      </c>
      <c r="F64" s="23" t="s">
        <v>255</v>
      </c>
    </row>
    <row r="65" spans="1:6" x14ac:dyDescent="0.25">
      <c r="A65" s="14" t="s">
        <v>14</v>
      </c>
      <c r="B65" s="14" t="s">
        <v>112</v>
      </c>
      <c r="C65" s="19" t="s">
        <v>335</v>
      </c>
      <c r="D65" s="14" t="s">
        <v>336</v>
      </c>
      <c r="E65" s="19" t="s">
        <v>252</v>
      </c>
      <c r="F65" s="20" t="s">
        <v>180</v>
      </c>
    </row>
    <row r="66" spans="1:6" x14ac:dyDescent="0.25">
      <c r="A66" s="21" t="s">
        <v>6</v>
      </c>
      <c r="B66" s="21" t="s">
        <v>6</v>
      </c>
      <c r="C66" s="22" t="s">
        <v>337</v>
      </c>
      <c r="D66" s="21" t="s">
        <v>338</v>
      </c>
      <c r="E66" s="22" t="s">
        <v>6</v>
      </c>
      <c r="F66" s="23" t="s">
        <v>255</v>
      </c>
    </row>
    <row r="67" spans="1:6" x14ac:dyDescent="0.25">
      <c r="A67" s="21" t="s">
        <v>6</v>
      </c>
      <c r="B67" s="21" t="s">
        <v>6</v>
      </c>
      <c r="C67" s="22" t="s">
        <v>276</v>
      </c>
      <c r="D67" s="21" t="s">
        <v>339</v>
      </c>
      <c r="E67" s="22" t="s">
        <v>6</v>
      </c>
      <c r="F67" s="23" t="s">
        <v>255</v>
      </c>
    </row>
    <row r="68" spans="1:6" x14ac:dyDescent="0.25">
      <c r="A68" s="14" t="s">
        <v>14</v>
      </c>
      <c r="B68" s="14" t="s">
        <v>112</v>
      </c>
      <c r="C68" s="19" t="s">
        <v>340</v>
      </c>
      <c r="D68" s="14" t="s">
        <v>341</v>
      </c>
      <c r="E68" s="19" t="s">
        <v>252</v>
      </c>
      <c r="F68" s="20" t="s">
        <v>180</v>
      </c>
    </row>
    <row r="69" spans="1:6" x14ac:dyDescent="0.25">
      <c r="A69" s="21" t="s">
        <v>6</v>
      </c>
      <c r="B69" s="21" t="s">
        <v>6</v>
      </c>
      <c r="C69" s="22" t="s">
        <v>262</v>
      </c>
      <c r="D69" s="21" t="s">
        <v>342</v>
      </c>
      <c r="E69" s="22" t="s">
        <v>6</v>
      </c>
      <c r="F69" s="23" t="s">
        <v>255</v>
      </c>
    </row>
    <row r="70" spans="1:6" x14ac:dyDescent="0.25">
      <c r="A70" s="21" t="s">
        <v>6</v>
      </c>
      <c r="B70" s="21" t="s">
        <v>6</v>
      </c>
      <c r="C70" s="22" t="s">
        <v>269</v>
      </c>
      <c r="D70" s="21" t="s">
        <v>343</v>
      </c>
      <c r="E70" s="22" t="s">
        <v>6</v>
      </c>
      <c r="F70" s="23" t="s">
        <v>255</v>
      </c>
    </row>
    <row r="71" spans="1:6" x14ac:dyDescent="0.25">
      <c r="A71" s="21" t="s">
        <v>6</v>
      </c>
      <c r="B71" s="21" t="s">
        <v>6</v>
      </c>
      <c r="C71" s="22" t="s">
        <v>260</v>
      </c>
      <c r="D71" s="21" t="s">
        <v>344</v>
      </c>
      <c r="E71" s="22" t="s">
        <v>6</v>
      </c>
      <c r="F71" s="23" t="s">
        <v>255</v>
      </c>
    </row>
    <row r="72" spans="1:6" x14ac:dyDescent="0.25">
      <c r="A72" s="21" t="s">
        <v>6</v>
      </c>
      <c r="B72" s="21" t="s">
        <v>6</v>
      </c>
      <c r="C72" s="22" t="s">
        <v>253</v>
      </c>
      <c r="D72" s="21" t="s">
        <v>345</v>
      </c>
      <c r="E72" s="22" t="s">
        <v>6</v>
      </c>
      <c r="F72" s="23" t="s">
        <v>255</v>
      </c>
    </row>
    <row r="73" spans="1:6" x14ac:dyDescent="0.25">
      <c r="A73" s="14" t="s">
        <v>14</v>
      </c>
      <c r="B73" s="14" t="s">
        <v>114</v>
      </c>
      <c r="C73" s="19" t="s">
        <v>346</v>
      </c>
      <c r="D73" s="14" t="s">
        <v>314</v>
      </c>
      <c r="E73" s="19" t="s">
        <v>347</v>
      </c>
      <c r="F73" s="20" t="s">
        <v>180</v>
      </c>
    </row>
    <row r="74" spans="1:6" x14ac:dyDescent="0.25">
      <c r="A74" s="21" t="s">
        <v>6</v>
      </c>
      <c r="B74" s="21" t="s">
        <v>6</v>
      </c>
      <c r="C74" s="22" t="s">
        <v>348</v>
      </c>
      <c r="D74" s="21" t="s">
        <v>314</v>
      </c>
      <c r="E74" s="22" t="s">
        <v>6</v>
      </c>
      <c r="F74" s="23" t="s">
        <v>255</v>
      </c>
    </row>
    <row r="75" spans="1:6" x14ac:dyDescent="0.25">
      <c r="A75" s="24" t="s">
        <v>15</v>
      </c>
      <c r="B75" s="24" t="s">
        <v>118</v>
      </c>
      <c r="C75" s="25" t="s">
        <v>373</v>
      </c>
      <c r="D75" s="24" t="s">
        <v>183</v>
      </c>
      <c r="E75" s="25" t="s">
        <v>347</v>
      </c>
      <c r="F75" s="26" t="s">
        <v>180</v>
      </c>
    </row>
  </sheetData>
  <autoFilter ref="A4:F75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  <hyperlink ref="F27" r:id="rId23"/>
    <hyperlink ref="F28" r:id="rId24"/>
    <hyperlink ref="F29" r:id="rId25"/>
    <hyperlink ref="F30" r:id="rId26"/>
    <hyperlink ref="F31" r:id="rId27"/>
    <hyperlink ref="F32" r:id="rId28"/>
    <hyperlink ref="F33" r:id="rId29"/>
    <hyperlink ref="F34" r:id="rId30"/>
    <hyperlink ref="F35" r:id="rId31"/>
    <hyperlink ref="F36" r:id="rId32"/>
    <hyperlink ref="F37" r:id="rId33"/>
    <hyperlink ref="F38" r:id="rId34"/>
    <hyperlink ref="F39" r:id="rId35"/>
    <hyperlink ref="F40" r:id="rId36"/>
    <hyperlink ref="F41" r:id="rId37"/>
    <hyperlink ref="F42" r:id="rId38"/>
    <hyperlink ref="F43" r:id="rId39"/>
    <hyperlink ref="F44" r:id="rId40"/>
    <hyperlink ref="F45" r:id="rId41"/>
    <hyperlink ref="F46" r:id="rId42"/>
    <hyperlink ref="F47" r:id="rId43"/>
    <hyperlink ref="F48" r:id="rId44"/>
    <hyperlink ref="F49" r:id="rId45"/>
    <hyperlink ref="F50" r:id="rId46"/>
    <hyperlink ref="F51" r:id="rId47"/>
    <hyperlink ref="F52" r:id="rId48"/>
    <hyperlink ref="F53" r:id="rId49"/>
    <hyperlink ref="F54" r:id="rId50"/>
    <hyperlink ref="F55" r:id="rId51"/>
    <hyperlink ref="F56" r:id="rId52"/>
    <hyperlink ref="F57" r:id="rId53"/>
    <hyperlink ref="F58" r:id="rId54"/>
    <hyperlink ref="F59" r:id="rId55"/>
    <hyperlink ref="F60" r:id="rId56"/>
    <hyperlink ref="F61" r:id="rId57"/>
    <hyperlink ref="F62" r:id="rId58"/>
    <hyperlink ref="F63" r:id="rId59"/>
    <hyperlink ref="F64" r:id="rId60"/>
    <hyperlink ref="F65" r:id="rId61"/>
    <hyperlink ref="F66" r:id="rId62"/>
    <hyperlink ref="F67" r:id="rId63"/>
    <hyperlink ref="F68" r:id="rId64"/>
    <hyperlink ref="F69" r:id="rId65"/>
    <hyperlink ref="F70" r:id="rId66"/>
    <hyperlink ref="F71" r:id="rId67"/>
    <hyperlink ref="F72" r:id="rId68"/>
    <hyperlink ref="F73" r:id="rId69"/>
    <hyperlink ref="F74" r:id="rId70"/>
    <hyperlink ref="F75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388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84</v>
      </c>
      <c r="C5" s="17" t="s">
        <v>190</v>
      </c>
      <c r="D5" s="16" t="s">
        <v>191</v>
      </c>
      <c r="E5" s="17" t="s">
        <v>192</v>
      </c>
      <c r="F5" s="18" t="s">
        <v>180</v>
      </c>
    </row>
    <row r="6" spans="1:6" x14ac:dyDescent="0.25">
      <c r="A6" s="14" t="s">
        <v>14</v>
      </c>
      <c r="B6" s="14" t="s">
        <v>78</v>
      </c>
      <c r="C6" s="19" t="s">
        <v>222</v>
      </c>
      <c r="D6" s="14" t="s">
        <v>223</v>
      </c>
      <c r="E6" s="19" t="s">
        <v>224</v>
      </c>
      <c r="F6" s="20" t="s">
        <v>180</v>
      </c>
    </row>
    <row r="7" spans="1:6" x14ac:dyDescent="0.25">
      <c r="A7" s="14" t="s">
        <v>14</v>
      </c>
      <c r="B7" s="14" t="s">
        <v>86</v>
      </c>
      <c r="C7" s="19" t="s">
        <v>225</v>
      </c>
      <c r="D7" s="14" t="s">
        <v>226</v>
      </c>
      <c r="E7" s="19" t="s">
        <v>227</v>
      </c>
      <c r="F7" s="20" t="s">
        <v>180</v>
      </c>
    </row>
    <row r="8" spans="1:6" x14ac:dyDescent="0.25">
      <c r="A8" s="14" t="s">
        <v>14</v>
      </c>
      <c r="B8" s="14" t="s">
        <v>88</v>
      </c>
      <c r="C8" s="19" t="s">
        <v>228</v>
      </c>
      <c r="D8" s="14" t="s">
        <v>229</v>
      </c>
      <c r="E8" s="19" t="s">
        <v>230</v>
      </c>
      <c r="F8" s="20" t="s">
        <v>180</v>
      </c>
    </row>
    <row r="9" spans="1:6" x14ac:dyDescent="0.25">
      <c r="A9" s="14" t="s">
        <v>14</v>
      </c>
      <c r="B9" s="14" t="s">
        <v>92</v>
      </c>
      <c r="C9" s="19" t="s">
        <v>232</v>
      </c>
      <c r="D9" s="14" t="s">
        <v>233</v>
      </c>
      <c r="E9" s="19" t="s">
        <v>234</v>
      </c>
      <c r="F9" s="20" t="s">
        <v>180</v>
      </c>
    </row>
    <row r="10" spans="1:6" x14ac:dyDescent="0.25">
      <c r="A10" s="14" t="s">
        <v>14</v>
      </c>
      <c r="B10" s="14" t="s">
        <v>98</v>
      </c>
      <c r="C10" s="19" t="s">
        <v>236</v>
      </c>
      <c r="D10" s="14" t="s">
        <v>237</v>
      </c>
      <c r="E10" s="19" t="s">
        <v>238</v>
      </c>
      <c r="F10" s="20" t="s">
        <v>180</v>
      </c>
    </row>
    <row r="11" spans="1:6" x14ac:dyDescent="0.25">
      <c r="A11" s="14" t="s">
        <v>14</v>
      </c>
      <c r="B11" s="14" t="s">
        <v>98</v>
      </c>
      <c r="C11" s="19" t="s">
        <v>239</v>
      </c>
      <c r="D11" s="14" t="s">
        <v>240</v>
      </c>
      <c r="E11" s="19" t="s">
        <v>238</v>
      </c>
      <c r="F11" s="20" t="s">
        <v>180</v>
      </c>
    </row>
    <row r="12" spans="1:6" x14ac:dyDescent="0.25">
      <c r="A12" s="14" t="s">
        <v>14</v>
      </c>
      <c r="B12" s="14" t="s">
        <v>102</v>
      </c>
      <c r="C12" s="19" t="s">
        <v>242</v>
      </c>
      <c r="D12" s="14" t="s">
        <v>243</v>
      </c>
      <c r="E12" s="19" t="s">
        <v>244</v>
      </c>
      <c r="F12" s="20" t="s">
        <v>180</v>
      </c>
    </row>
    <row r="13" spans="1:6" x14ac:dyDescent="0.25">
      <c r="A13" s="14" t="s">
        <v>14</v>
      </c>
      <c r="B13" s="14" t="s">
        <v>104</v>
      </c>
      <c r="C13" s="19" t="s">
        <v>245</v>
      </c>
      <c r="D13" s="14" t="s">
        <v>246</v>
      </c>
      <c r="E13" s="19" t="s">
        <v>247</v>
      </c>
      <c r="F13" s="20" t="s">
        <v>180</v>
      </c>
    </row>
    <row r="14" spans="1:6" x14ac:dyDescent="0.25">
      <c r="A14" s="14" t="s">
        <v>14</v>
      </c>
      <c r="B14" s="14" t="s">
        <v>104</v>
      </c>
      <c r="C14" s="19" t="s">
        <v>248</v>
      </c>
      <c r="D14" s="14" t="s">
        <v>249</v>
      </c>
      <c r="E14" s="19" t="s">
        <v>247</v>
      </c>
      <c r="F14" s="20" t="s">
        <v>180</v>
      </c>
    </row>
    <row r="15" spans="1:6" x14ac:dyDescent="0.25">
      <c r="A15" s="14" t="s">
        <v>14</v>
      </c>
      <c r="B15" s="14" t="s">
        <v>120</v>
      </c>
      <c r="C15" s="19" t="s">
        <v>350</v>
      </c>
      <c r="D15" s="14" t="s">
        <v>284</v>
      </c>
      <c r="E15" s="19" t="s">
        <v>351</v>
      </c>
      <c r="F15" s="20" t="s">
        <v>180</v>
      </c>
    </row>
    <row r="16" spans="1:6" x14ac:dyDescent="0.25">
      <c r="A16" s="21" t="s">
        <v>6</v>
      </c>
      <c r="B16" s="21" t="s">
        <v>6</v>
      </c>
      <c r="C16" s="22" t="s">
        <v>348</v>
      </c>
      <c r="D16" s="21" t="s">
        <v>352</v>
      </c>
      <c r="E16" s="22" t="s">
        <v>6</v>
      </c>
      <c r="F16" s="23" t="s">
        <v>255</v>
      </c>
    </row>
    <row r="17" spans="1:6" x14ac:dyDescent="0.25">
      <c r="A17" s="14" t="s">
        <v>14</v>
      </c>
      <c r="B17" s="14" t="s">
        <v>126</v>
      </c>
      <c r="C17" s="19" t="s">
        <v>353</v>
      </c>
      <c r="D17" s="14" t="s">
        <v>354</v>
      </c>
      <c r="E17" s="19" t="s">
        <v>355</v>
      </c>
      <c r="F17" s="20" t="s">
        <v>180</v>
      </c>
    </row>
    <row r="18" spans="1:6" x14ac:dyDescent="0.25">
      <c r="A18" s="14" t="s">
        <v>14</v>
      </c>
      <c r="B18" s="14" t="s">
        <v>126</v>
      </c>
      <c r="C18" s="19" t="s">
        <v>356</v>
      </c>
      <c r="D18" s="14" t="s">
        <v>354</v>
      </c>
      <c r="E18" s="19" t="s">
        <v>357</v>
      </c>
      <c r="F18" s="20" t="s">
        <v>180</v>
      </c>
    </row>
    <row r="19" spans="1:6" x14ac:dyDescent="0.25">
      <c r="A19" s="14" t="s">
        <v>14</v>
      </c>
      <c r="B19" s="14" t="s">
        <v>126</v>
      </c>
      <c r="C19" s="19" t="s">
        <v>358</v>
      </c>
      <c r="D19" s="14" t="s">
        <v>354</v>
      </c>
      <c r="E19" s="19" t="s">
        <v>359</v>
      </c>
      <c r="F19" s="20" t="s">
        <v>180</v>
      </c>
    </row>
    <row r="20" spans="1:6" x14ac:dyDescent="0.25">
      <c r="A20" s="24" t="s">
        <v>15</v>
      </c>
      <c r="B20" s="24" t="s">
        <v>108</v>
      </c>
      <c r="C20" s="25" t="s">
        <v>366</v>
      </c>
      <c r="D20" s="24" t="s">
        <v>367</v>
      </c>
      <c r="E20" s="25" t="s">
        <v>368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369</v>
      </c>
      <c r="D21" s="24" t="s">
        <v>370</v>
      </c>
      <c r="E21" s="25" t="s">
        <v>368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371</v>
      </c>
      <c r="D22" s="24" t="s">
        <v>372</v>
      </c>
      <c r="E22" s="25" t="s">
        <v>368</v>
      </c>
      <c r="F22" s="26" t="s">
        <v>180</v>
      </c>
    </row>
    <row r="23" spans="1:6" x14ac:dyDescent="0.25">
      <c r="A23" s="24" t="s">
        <v>15</v>
      </c>
      <c r="B23" s="24" t="s">
        <v>128</v>
      </c>
      <c r="C23" s="25" t="s">
        <v>374</v>
      </c>
      <c r="D23" s="24" t="s">
        <v>375</v>
      </c>
      <c r="E23" s="25" t="s">
        <v>376</v>
      </c>
      <c r="F23" s="26" t="s">
        <v>180</v>
      </c>
    </row>
    <row r="24" spans="1:6" x14ac:dyDescent="0.25">
      <c r="A24" s="24" t="s">
        <v>15</v>
      </c>
      <c r="B24" s="24" t="s">
        <v>128</v>
      </c>
      <c r="C24" s="25" t="s">
        <v>377</v>
      </c>
      <c r="D24" s="24" t="s">
        <v>378</v>
      </c>
      <c r="E24" s="25" t="s">
        <v>376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379</v>
      </c>
      <c r="D25" s="24" t="s">
        <v>380</v>
      </c>
      <c r="E25" s="25" t="s">
        <v>376</v>
      </c>
      <c r="F25" s="26" t="s">
        <v>180</v>
      </c>
    </row>
    <row r="26" spans="1:6" x14ac:dyDescent="0.25">
      <c r="A26" s="24" t="s">
        <v>15</v>
      </c>
      <c r="B26" s="24" t="s">
        <v>128</v>
      </c>
      <c r="C26" s="25" t="s">
        <v>381</v>
      </c>
      <c r="D26" s="24" t="s">
        <v>382</v>
      </c>
      <c r="E26" s="25" t="s">
        <v>376</v>
      </c>
      <c r="F26" s="26" t="s">
        <v>180</v>
      </c>
    </row>
  </sheetData>
  <autoFilter ref="A4:F26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4" r:id="rId20"/>
    <hyperlink ref="F25" r:id="rId21"/>
    <hyperlink ref="F26" r:id="rId2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389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46</v>
      </c>
      <c r="C5" s="17" t="s">
        <v>182</v>
      </c>
      <c r="D5" s="16" t="s">
        <v>183</v>
      </c>
      <c r="E5" s="17" t="s">
        <v>184</v>
      </c>
      <c r="F5" s="16" t="s">
        <v>6</v>
      </c>
    </row>
    <row r="6" spans="1:6" x14ac:dyDescent="0.25">
      <c r="A6" s="14" t="s">
        <v>14</v>
      </c>
      <c r="B6" s="14" t="s">
        <v>28</v>
      </c>
      <c r="C6" s="19" t="s">
        <v>203</v>
      </c>
      <c r="D6" s="14" t="s">
        <v>204</v>
      </c>
      <c r="E6" s="19" t="s">
        <v>205</v>
      </c>
      <c r="F6" s="20" t="s">
        <v>180</v>
      </c>
    </row>
    <row r="7" spans="1:6" x14ac:dyDescent="0.25">
      <c r="A7" s="24" t="s">
        <v>15</v>
      </c>
      <c r="B7" s="24" t="s">
        <v>54</v>
      </c>
      <c r="C7" s="25" t="s">
        <v>360</v>
      </c>
      <c r="D7" s="24" t="s">
        <v>361</v>
      </c>
      <c r="E7" s="25" t="s">
        <v>362</v>
      </c>
      <c r="F7" s="26" t="s">
        <v>180</v>
      </c>
    </row>
    <row r="8" spans="1:6" x14ac:dyDescent="0.25">
      <c r="A8" s="24" t="s">
        <v>15</v>
      </c>
      <c r="B8" s="24" t="s">
        <v>56</v>
      </c>
      <c r="C8" s="25" t="s">
        <v>363</v>
      </c>
      <c r="D8" s="24" t="s">
        <v>364</v>
      </c>
      <c r="E8" s="25" t="s">
        <v>365</v>
      </c>
      <c r="F8" s="24" t="s">
        <v>6</v>
      </c>
    </row>
  </sheetData>
  <autoFilter ref="A4:F8"/>
  <mergeCells count="1">
    <mergeCell ref="A1:F1"/>
  </mergeCells>
  <hyperlinks>
    <hyperlink ref="F6" r:id="rId1"/>
    <hyperlink ref="F7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390</v>
      </c>
      <c r="B1" s="5" t="s">
        <v>391</v>
      </c>
      <c r="C1" s="5" t="s">
        <v>392</v>
      </c>
      <c r="D1" s="5" t="s">
        <v>393</v>
      </c>
      <c r="E1" s="5" t="s">
        <v>394</v>
      </c>
      <c r="F1" s="5" t="s">
        <v>395</v>
      </c>
      <c r="G1" s="5" t="s">
        <v>396</v>
      </c>
    </row>
    <row r="2" spans="1:7" x14ac:dyDescent="0.25">
      <c r="A2" s="10" t="s">
        <v>397</v>
      </c>
      <c r="B2" s="30">
        <v>22964730</v>
      </c>
      <c r="C2" s="30">
        <v>23787390</v>
      </c>
      <c r="D2" s="30">
        <v>-822660</v>
      </c>
      <c r="E2" s="31" t="s">
        <v>398</v>
      </c>
      <c r="F2" s="10" t="s">
        <v>6</v>
      </c>
      <c r="G2" s="32" t="s">
        <v>399</v>
      </c>
    </row>
    <row r="3" spans="1:7" x14ac:dyDescent="0.25">
      <c r="A3" s="10" t="s">
        <v>400</v>
      </c>
      <c r="B3" s="30">
        <v>1031441</v>
      </c>
      <c r="C3" s="30">
        <v>1031441</v>
      </c>
      <c r="D3" s="30">
        <v>0</v>
      </c>
      <c r="E3" s="31" t="s">
        <v>401</v>
      </c>
      <c r="F3" s="10" t="s">
        <v>6</v>
      </c>
      <c r="G3" s="32" t="s">
        <v>399</v>
      </c>
    </row>
    <row r="4" spans="1:7" x14ac:dyDescent="0.25">
      <c r="A4" s="10" t="s">
        <v>402</v>
      </c>
      <c r="B4" s="30">
        <v>310384</v>
      </c>
      <c r="C4" s="30">
        <v>310384</v>
      </c>
      <c r="D4" s="30">
        <v>0</v>
      </c>
      <c r="E4" s="31" t="s">
        <v>401</v>
      </c>
      <c r="F4" s="10" t="s">
        <v>6</v>
      </c>
      <c r="G4" s="32" t="s">
        <v>399</v>
      </c>
    </row>
    <row r="5" spans="1:7" x14ac:dyDescent="0.25">
      <c r="A5" s="10" t="s">
        <v>403</v>
      </c>
      <c r="B5" s="33">
        <v>-350413</v>
      </c>
      <c r="C5" s="30">
        <v>-350413</v>
      </c>
      <c r="D5" s="30">
        <v>0</v>
      </c>
      <c r="E5" s="31" t="s">
        <v>401</v>
      </c>
      <c r="F5" s="10" t="s">
        <v>30</v>
      </c>
      <c r="G5" s="32" t="s">
        <v>399</v>
      </c>
    </row>
    <row r="6" spans="1:7" x14ac:dyDescent="0.25">
      <c r="A6" s="10" t="s">
        <v>404</v>
      </c>
      <c r="B6" s="30">
        <v>17263679</v>
      </c>
      <c r="C6" s="30">
        <v>16426112</v>
      </c>
      <c r="D6" s="30">
        <v>837567</v>
      </c>
      <c r="E6" s="31" t="s">
        <v>405</v>
      </c>
      <c r="F6" s="10" t="s">
        <v>6</v>
      </c>
      <c r="G6" s="32" t="s">
        <v>399</v>
      </c>
    </row>
    <row r="7" spans="1:7" x14ac:dyDescent="0.25">
      <c r="A7" s="10" t="s">
        <v>406</v>
      </c>
      <c r="B7" s="33">
        <v>-50000</v>
      </c>
      <c r="C7" s="30">
        <v>-50000</v>
      </c>
      <c r="D7" s="30">
        <v>0</v>
      </c>
      <c r="E7" s="31" t="s">
        <v>401</v>
      </c>
      <c r="F7" s="10" t="s">
        <v>30</v>
      </c>
      <c r="G7" s="32" t="s">
        <v>399</v>
      </c>
    </row>
    <row r="8" spans="1:7" x14ac:dyDescent="0.25">
      <c r="A8" s="10" t="s">
        <v>407</v>
      </c>
      <c r="B8" s="30">
        <v>162062</v>
      </c>
      <c r="C8" s="30">
        <v>-27708</v>
      </c>
      <c r="D8" s="34">
        <v>189770</v>
      </c>
      <c r="E8" s="31" t="s">
        <v>408</v>
      </c>
      <c r="F8" s="10" t="s">
        <v>409</v>
      </c>
      <c r="G8" s="32" t="s">
        <v>399</v>
      </c>
    </row>
    <row r="9" spans="1:7" x14ac:dyDescent="0.25">
      <c r="A9" s="10" t="s">
        <v>410</v>
      </c>
      <c r="B9" s="30">
        <v>812709</v>
      </c>
      <c r="C9" s="30">
        <v>812709</v>
      </c>
      <c r="D9" s="30">
        <v>0</v>
      </c>
      <c r="E9" s="31" t="s">
        <v>401</v>
      </c>
      <c r="F9" s="10" t="s">
        <v>6</v>
      </c>
      <c r="G9" s="32" t="s">
        <v>399</v>
      </c>
    </row>
    <row r="10" spans="1:7" x14ac:dyDescent="0.25">
      <c r="A10" s="10" t="s">
        <v>411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399</v>
      </c>
    </row>
    <row r="11" spans="1:7" x14ac:dyDescent="0.25">
      <c r="A11" s="10" t="s">
        <v>412</v>
      </c>
      <c r="B11" s="30">
        <v>0</v>
      </c>
      <c r="C11" s="30">
        <v>0</v>
      </c>
      <c r="D11" s="30">
        <v>0</v>
      </c>
      <c r="E11" s="31" t="s">
        <v>6</v>
      </c>
      <c r="F11" s="10" t="s">
        <v>6</v>
      </c>
      <c r="G11" s="32" t="s">
        <v>399</v>
      </c>
    </row>
    <row r="12" spans="1:7" x14ac:dyDescent="0.25">
      <c r="A12" s="10" t="s">
        <v>413</v>
      </c>
      <c r="B12" s="33">
        <v>-1644</v>
      </c>
      <c r="C12" s="30">
        <v>-1644</v>
      </c>
      <c r="D12" s="30">
        <v>0</v>
      </c>
      <c r="E12" s="31" t="s">
        <v>401</v>
      </c>
      <c r="F12" s="10" t="s">
        <v>30</v>
      </c>
      <c r="G12" s="32" t="s">
        <v>399</v>
      </c>
    </row>
    <row r="13" spans="1:7" x14ac:dyDescent="0.25">
      <c r="A13" s="10" t="s">
        <v>414</v>
      </c>
      <c r="B13" s="30">
        <v>510490</v>
      </c>
      <c r="C13" s="30">
        <v>510490</v>
      </c>
      <c r="D13" s="30">
        <v>0</v>
      </c>
      <c r="E13" s="31" t="s">
        <v>401</v>
      </c>
      <c r="F13" s="10" t="s">
        <v>6</v>
      </c>
      <c r="G13" s="32" t="s">
        <v>399</v>
      </c>
    </row>
    <row r="14" spans="1:7" x14ac:dyDescent="0.25">
      <c r="A14" s="10" t="s">
        <v>415</v>
      </c>
      <c r="B14" s="30">
        <v>327800</v>
      </c>
      <c r="C14" s="30">
        <v>327800</v>
      </c>
      <c r="D14" s="30">
        <v>0</v>
      </c>
      <c r="E14" s="31" t="s">
        <v>401</v>
      </c>
      <c r="F14" s="10" t="s">
        <v>6</v>
      </c>
      <c r="G14" s="32" t="s">
        <v>399</v>
      </c>
    </row>
    <row r="15" spans="1:7" x14ac:dyDescent="0.25">
      <c r="A15" s="10" t="s">
        <v>416</v>
      </c>
      <c r="B15" s="33">
        <v>-462946</v>
      </c>
      <c r="C15" s="30">
        <v>-452908</v>
      </c>
      <c r="D15" s="30">
        <v>-10038</v>
      </c>
      <c r="E15" s="31" t="s">
        <v>417</v>
      </c>
      <c r="F15" s="10" t="s">
        <v>30</v>
      </c>
      <c r="G15" s="32" t="s">
        <v>399</v>
      </c>
    </row>
    <row r="16" spans="1:7" x14ac:dyDescent="0.25">
      <c r="A16" s="10" t="s">
        <v>418</v>
      </c>
      <c r="B16" s="30">
        <v>3175250</v>
      </c>
      <c r="C16" s="30">
        <v>3266500</v>
      </c>
      <c r="D16" s="30">
        <v>-91250</v>
      </c>
      <c r="E16" s="31" t="s">
        <v>419</v>
      </c>
      <c r="F16" s="10" t="s">
        <v>6</v>
      </c>
      <c r="G16" s="32" t="s">
        <v>399</v>
      </c>
    </row>
    <row r="17" spans="1:7" x14ac:dyDescent="0.25">
      <c r="A17" s="10" t="s">
        <v>420</v>
      </c>
      <c r="B17" s="30">
        <v>20000</v>
      </c>
      <c r="C17" s="30">
        <v>20000</v>
      </c>
      <c r="D17" s="30">
        <v>0</v>
      </c>
      <c r="E17" s="31" t="s">
        <v>401</v>
      </c>
      <c r="F17" s="10" t="s">
        <v>6</v>
      </c>
      <c r="G17" s="32" t="s">
        <v>399</v>
      </c>
    </row>
    <row r="18" spans="1:7" x14ac:dyDescent="0.25">
      <c r="A18" s="10" t="s">
        <v>421</v>
      </c>
      <c r="B18" s="30">
        <v>262000</v>
      </c>
      <c r="C18" s="30">
        <v>262000</v>
      </c>
      <c r="D18" s="30">
        <v>0</v>
      </c>
      <c r="E18" s="31" t="s">
        <v>401</v>
      </c>
      <c r="F18" s="10" t="s">
        <v>6</v>
      </c>
      <c r="G18" s="32" t="s">
        <v>399</v>
      </c>
    </row>
    <row r="19" spans="1:7" x14ac:dyDescent="0.25">
      <c r="A19" s="10" t="s">
        <v>422</v>
      </c>
      <c r="B19" s="30">
        <v>566912</v>
      </c>
      <c r="C19" s="30">
        <v>586189</v>
      </c>
      <c r="D19" s="30">
        <v>-19277</v>
      </c>
      <c r="E19" s="31" t="s">
        <v>423</v>
      </c>
      <c r="F19" s="10" t="s">
        <v>6</v>
      </c>
      <c r="G19" s="32" t="s">
        <v>399</v>
      </c>
    </row>
    <row r="20" spans="1:7" x14ac:dyDescent="0.25">
      <c r="A20" s="10" t="s">
        <v>424</v>
      </c>
      <c r="B20" s="30">
        <v>9676750</v>
      </c>
      <c r="C20" s="30">
        <v>9611215</v>
      </c>
      <c r="D20" s="30">
        <v>65535</v>
      </c>
      <c r="E20" s="31" t="s">
        <v>425</v>
      </c>
      <c r="F20" s="10" t="s">
        <v>6</v>
      </c>
      <c r="G20" s="32" t="s">
        <v>399</v>
      </c>
    </row>
    <row r="21" spans="1:7" x14ac:dyDescent="0.25">
      <c r="A21" s="10" t="s">
        <v>426</v>
      </c>
      <c r="B21" s="30">
        <v>7000000</v>
      </c>
      <c r="C21" s="30">
        <v>5000000</v>
      </c>
      <c r="D21" s="30">
        <v>2000000</v>
      </c>
      <c r="E21" s="31" t="s">
        <v>427</v>
      </c>
      <c r="F21" s="10" t="s">
        <v>6</v>
      </c>
      <c r="G21" s="32" t="s">
        <v>399</v>
      </c>
    </row>
    <row r="22" spans="1:7" x14ac:dyDescent="0.25">
      <c r="A22" s="10" t="s">
        <v>428</v>
      </c>
      <c r="B22" s="30">
        <v>2873403</v>
      </c>
      <c r="C22" s="30">
        <v>2431309</v>
      </c>
      <c r="D22" s="30">
        <v>442094</v>
      </c>
      <c r="E22" s="31" t="s">
        <v>429</v>
      </c>
      <c r="F22" s="10" t="s">
        <v>6</v>
      </c>
      <c r="G22" s="32" t="s">
        <v>399</v>
      </c>
    </row>
    <row r="23" spans="1:7" x14ac:dyDescent="0.25">
      <c r="A23" s="10" t="s">
        <v>430</v>
      </c>
      <c r="B23" s="30">
        <v>6040473</v>
      </c>
      <c r="C23" s="30">
        <v>5537613</v>
      </c>
      <c r="D23" s="30">
        <v>502860</v>
      </c>
      <c r="E23" s="31" t="s">
        <v>431</v>
      </c>
      <c r="F23" s="10" t="s">
        <v>6</v>
      </c>
      <c r="G23" s="32" t="s">
        <v>399</v>
      </c>
    </row>
    <row r="24" spans="1:7" x14ac:dyDescent="0.25">
      <c r="A24" s="10" t="s">
        <v>432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399</v>
      </c>
    </row>
    <row r="25" spans="1:7" x14ac:dyDescent="0.25">
      <c r="A25" s="10" t="s">
        <v>433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399</v>
      </c>
    </row>
    <row r="26" spans="1:7" x14ac:dyDescent="0.25">
      <c r="A26" s="10" t="s">
        <v>434</v>
      </c>
      <c r="B26" s="30">
        <v>113300</v>
      </c>
      <c r="C26" s="30">
        <v>113300</v>
      </c>
      <c r="D26" s="30">
        <v>0</v>
      </c>
      <c r="E26" s="31" t="s">
        <v>401</v>
      </c>
      <c r="F26" s="10" t="s">
        <v>6</v>
      </c>
      <c r="G26" s="32" t="s">
        <v>399</v>
      </c>
    </row>
    <row r="27" spans="1:7" x14ac:dyDescent="0.25">
      <c r="A27" s="10" t="s">
        <v>435</v>
      </c>
      <c r="B27" s="30">
        <v>1443916</v>
      </c>
      <c r="C27" s="30">
        <v>1689620</v>
      </c>
      <c r="D27" s="30">
        <v>-245704</v>
      </c>
      <c r="E27" s="31" t="s">
        <v>436</v>
      </c>
      <c r="F27" s="10" t="s">
        <v>6</v>
      </c>
      <c r="G27" s="32" t="s">
        <v>399</v>
      </c>
    </row>
    <row r="28" spans="1:7" x14ac:dyDescent="0.25">
      <c r="A28" s="10" t="s">
        <v>437</v>
      </c>
      <c r="B28" s="30">
        <v>272340</v>
      </c>
      <c r="C28" s="30">
        <v>292179</v>
      </c>
      <c r="D28" s="30">
        <v>-19839</v>
      </c>
      <c r="E28" s="31" t="s">
        <v>438</v>
      </c>
      <c r="F28" s="10" t="s">
        <v>6</v>
      </c>
      <c r="G28" s="32" t="s">
        <v>399</v>
      </c>
    </row>
    <row r="29" spans="1:7" x14ac:dyDescent="0.25">
      <c r="A29" s="10" t="s">
        <v>439</v>
      </c>
      <c r="B29" s="30">
        <v>27563</v>
      </c>
      <c r="C29" s="30">
        <v>1314</v>
      </c>
      <c r="D29" s="34">
        <v>26249</v>
      </c>
      <c r="E29" s="31" t="s">
        <v>440</v>
      </c>
      <c r="F29" s="10" t="s">
        <v>409</v>
      </c>
      <c r="G29" s="32" t="s">
        <v>399</v>
      </c>
    </row>
    <row r="30" spans="1:7" x14ac:dyDescent="0.25">
      <c r="A30" s="10" t="s">
        <v>441</v>
      </c>
      <c r="B30" s="33">
        <v>-139997</v>
      </c>
      <c r="C30" s="30">
        <v>-137516</v>
      </c>
      <c r="D30" s="30">
        <v>-2481</v>
      </c>
      <c r="E30" s="31" t="s">
        <v>442</v>
      </c>
      <c r="F30" s="10" t="s">
        <v>30</v>
      </c>
      <c r="G30" s="32" t="s">
        <v>399</v>
      </c>
    </row>
    <row r="31" spans="1:7" x14ac:dyDescent="0.25">
      <c r="A31" s="10" t="s">
        <v>443</v>
      </c>
      <c r="B31" s="30">
        <v>11880</v>
      </c>
      <c r="C31" s="30">
        <v>11880</v>
      </c>
      <c r="D31" s="30">
        <v>0</v>
      </c>
      <c r="E31" s="31" t="s">
        <v>401</v>
      </c>
      <c r="F31" s="10" t="s">
        <v>6</v>
      </c>
      <c r="G31" s="32" t="s">
        <v>399</v>
      </c>
    </row>
    <row r="32" spans="1:7" x14ac:dyDescent="0.25">
      <c r="A32" s="10" t="s">
        <v>444</v>
      </c>
      <c r="B32" s="33">
        <v>-159343</v>
      </c>
      <c r="C32" s="30">
        <v>-170203</v>
      </c>
      <c r="D32" s="30">
        <v>10860</v>
      </c>
      <c r="E32" s="31" t="s">
        <v>445</v>
      </c>
      <c r="F32" s="10" t="s">
        <v>30</v>
      </c>
      <c r="G32" s="32" t="s">
        <v>399</v>
      </c>
    </row>
    <row r="33" spans="1:7" x14ac:dyDescent="0.25">
      <c r="A33" s="10" t="s">
        <v>446</v>
      </c>
      <c r="B33" s="30">
        <v>129052</v>
      </c>
      <c r="C33" s="30">
        <v>129052</v>
      </c>
      <c r="D33" s="30">
        <v>0</v>
      </c>
      <c r="E33" s="31" t="s">
        <v>401</v>
      </c>
      <c r="F33" s="10" t="s">
        <v>6</v>
      </c>
      <c r="G33" s="32" t="s">
        <v>399</v>
      </c>
    </row>
    <row r="34" spans="1:7" x14ac:dyDescent="0.25">
      <c r="A34" s="10" t="s">
        <v>447</v>
      </c>
      <c r="B34" s="30">
        <v>1331810</v>
      </c>
      <c r="C34" s="30">
        <v>1331810</v>
      </c>
      <c r="D34" s="30">
        <v>0</v>
      </c>
      <c r="E34" s="31" t="s">
        <v>401</v>
      </c>
      <c r="F34" s="10" t="s">
        <v>6</v>
      </c>
      <c r="G34" s="32" t="s">
        <v>399</v>
      </c>
    </row>
    <row r="35" spans="1:7" x14ac:dyDescent="0.25">
      <c r="A35" s="10" t="s">
        <v>448</v>
      </c>
      <c r="B35" s="33">
        <v>-4767</v>
      </c>
      <c r="C35" s="30">
        <v>-4767</v>
      </c>
      <c r="D35" s="30">
        <v>0</v>
      </c>
      <c r="E35" s="31" t="s">
        <v>401</v>
      </c>
      <c r="F35" s="10" t="s">
        <v>30</v>
      </c>
      <c r="G35" s="32" t="s">
        <v>399</v>
      </c>
    </row>
    <row r="36" spans="1:7" x14ac:dyDescent="0.25">
      <c r="A36" s="10" t="s">
        <v>449</v>
      </c>
      <c r="B36" s="30">
        <v>13255000</v>
      </c>
      <c r="C36" s="30">
        <v>13255000</v>
      </c>
      <c r="D36" s="30">
        <v>0</v>
      </c>
      <c r="E36" s="31" t="s">
        <v>401</v>
      </c>
      <c r="F36" s="10" t="s">
        <v>6</v>
      </c>
      <c r="G36" s="32" t="s">
        <v>399</v>
      </c>
    </row>
    <row r="37" spans="1:7" x14ac:dyDescent="0.25">
      <c r="A37" s="10" t="s">
        <v>450</v>
      </c>
      <c r="B37" s="30">
        <v>3375000</v>
      </c>
      <c r="C37" s="30">
        <v>3425000</v>
      </c>
      <c r="D37" s="30">
        <v>-50000</v>
      </c>
      <c r="E37" s="31" t="s">
        <v>451</v>
      </c>
      <c r="F37" s="10" t="s">
        <v>6</v>
      </c>
      <c r="G37" s="32" t="s">
        <v>399</v>
      </c>
    </row>
    <row r="38" spans="1:7" x14ac:dyDescent="0.25">
      <c r="A38" s="10" t="s">
        <v>452</v>
      </c>
      <c r="B38" s="30">
        <v>1500000</v>
      </c>
      <c r="C38" s="30">
        <v>1500000</v>
      </c>
      <c r="D38" s="30">
        <v>0</v>
      </c>
      <c r="E38" s="31" t="s">
        <v>401</v>
      </c>
      <c r="F38" s="10" t="s">
        <v>6</v>
      </c>
      <c r="G38" s="32" t="s">
        <v>399</v>
      </c>
    </row>
    <row r="39" spans="1:7" x14ac:dyDescent="0.25">
      <c r="A39" s="10" t="s">
        <v>453</v>
      </c>
      <c r="B39" s="30">
        <v>25021393</v>
      </c>
      <c r="C39" s="30">
        <v>25021393</v>
      </c>
      <c r="D39" s="30">
        <v>0</v>
      </c>
      <c r="E39" s="31" t="s">
        <v>401</v>
      </c>
      <c r="F39" s="10" t="s">
        <v>6</v>
      </c>
      <c r="G39" s="32" t="s">
        <v>399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H43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6" width="14" customWidth="1"/>
    <col min="7" max="7" width="16" customWidth="1"/>
    <col min="8" max="8" width="14" customWidth="1"/>
  </cols>
  <sheetData>
    <row r="1" spans="1:8" x14ac:dyDescent="0.25">
      <c r="A1" s="35" t="s">
        <v>454</v>
      </c>
      <c r="B1" s="35"/>
      <c r="C1" s="35"/>
      <c r="D1" s="35"/>
      <c r="E1" s="35"/>
      <c r="F1" s="35"/>
      <c r="G1" s="35"/>
      <c r="H1" s="35"/>
    </row>
    <row r="3" ht="22" customHeight="1" spans="1:8" x14ac:dyDescent="0.25">
      <c r="A3" s="5" t="s">
        <v>390</v>
      </c>
      <c r="B3" s="5" t="s">
        <v>455</v>
      </c>
      <c r="C3" s="5" t="s">
        <v>456</v>
      </c>
      <c r="D3" s="5" t="s">
        <v>457</v>
      </c>
      <c r="E3" s="5" t="s">
        <v>458</v>
      </c>
      <c r="F3" s="36" t="s">
        <v>459</v>
      </c>
      <c r="G3" s="5" t="s">
        <v>460</v>
      </c>
      <c r="H3" s="5" t="s">
        <v>396</v>
      </c>
    </row>
    <row r="4" spans="1:8" x14ac:dyDescent="0.25">
      <c r="A4" s="10" t="s">
        <v>461</v>
      </c>
      <c r="B4" s="30">
        <v>6688314</v>
      </c>
      <c r="C4" s="30">
        <v>7553184</v>
      </c>
      <c r="D4" s="30">
        <v>7894139</v>
      </c>
      <c r="E4" s="30">
        <v>13950459</v>
      </c>
      <c r="F4" s="37">
        <v>8050804</v>
      </c>
      <c r="G4" s="38">
        <f>SUM(B4:F4)</f>
        <v>44136900</v>
      </c>
      <c r="H4" s="39"/>
    </row>
    <row r="5" spans="1:8" x14ac:dyDescent="0.25">
      <c r="A5" s="10" t="s">
        <v>462</v>
      </c>
      <c r="B5" s="40">
        <v>0</v>
      </c>
      <c r="C5" s="40">
        <v>0</v>
      </c>
      <c r="D5" s="40">
        <v>0</v>
      </c>
      <c r="E5" s="40">
        <v>0</v>
      </c>
      <c r="F5" s="41">
        <v>0</v>
      </c>
      <c r="G5" s="38">
        <f>SUM(B5:F5)</f>
        <v>0</v>
      </c>
      <c r="H5" s="39"/>
    </row>
    <row r="6" spans="1:8" x14ac:dyDescent="0.25">
      <c r="A6" s="42" t="s">
        <v>463</v>
      </c>
      <c r="B6" s="43">
        <v>6688314</v>
      </c>
      <c r="C6" s="43">
        <v>7553184</v>
      </c>
      <c r="D6" s="43">
        <v>7894139</v>
      </c>
      <c r="E6" s="43">
        <v>13950459</v>
      </c>
      <c r="F6" s="43">
        <v>8050804</v>
      </c>
      <c r="G6" s="43">
        <f>SUM(B6:F6)</f>
        <v>44136900</v>
      </c>
      <c r="H6" s="44"/>
    </row>
    <row r="7" spans="1:8" x14ac:dyDescent="0.25">
      <c r="A7" s="10" t="s">
        <v>464</v>
      </c>
      <c r="B7" s="30">
        <f>HYPERLINK("https://secure.freee.co.jp/reports/general_ledgers/show?name=%E5%BD%B9%E5%93%A1%E5%A0%B1%E9%85%AC&amp;start_date=2025-10-01&amp;end_date=2025-10-31&amp;fiscal_year_id=10840688",2790000)</f>
        <v>2790000</v>
      </c>
      <c r="C7" s="30">
        <f>HYPERLINK("https://secure.freee.co.jp/reports/general_ledgers/show?name=%E5%BD%B9%E5%93%A1%E5%A0%B1%E9%85%AC&amp;start_date=2025-11-01&amp;end_date=2025-11-30&amp;fiscal_year_id=10840688",2780000)</f>
        <v>2780000</v>
      </c>
      <c r="D7" s="30">
        <f>HYPERLINK("https://secure.freee.co.jp/reports/general_ledgers/show?name=%E5%BD%B9%E5%93%A1%E5%A0%B1%E9%85%AC&amp;start_date=2025-12-01&amp;end_date=2025-12-31&amp;fiscal_year_id=10840688",2780000)</f>
        <v>2780000</v>
      </c>
      <c r="E7" s="30">
        <f>HYPERLINK("https://secure.freee.co.jp/reports/general_ledgers/show?name=%E5%BD%B9%E5%93%A1%E5%A0%B1%E9%85%AC&amp;start_date=2026-01-01&amp;end_date=2026-01-31&amp;fiscal_year_id=10840688",2780000)</f>
        <v>2780000</v>
      </c>
      <c r="F7" s="37">
        <f>HYPERLINK("https://secure.freee.co.jp/reports/general_ledgers/show?name=%E5%BD%B9%E5%93%A1%E5%A0%B1%E9%85%AC&amp;start_date=2026-02-01&amp;end_date=2026-02-28&amp;fiscal_year_id=10840688",2780000)</f>
        <v>2780000</v>
      </c>
      <c r="G7" s="38">
        <f>SUM(B7:F7)</f>
        <v>13910000</v>
      </c>
      <c r="H7" s="32" t="s">
        <v>396</v>
      </c>
    </row>
    <row r="8" spans="1:8" x14ac:dyDescent="0.25">
      <c r="A8" s="10" t="s">
        <v>465</v>
      </c>
      <c r="B8" s="30">
        <f>HYPERLINK("https://secure.freee.co.jp/reports/general_ledgers/show?name=%E7%B5%A6%E6%96%99%E6%89%8B%E5%BD%93&amp;start_date=2025-10-01&amp;end_date=2025-10-31&amp;fiscal_year_id=10840688",1981476)</f>
        <v>1981476</v>
      </c>
      <c r="C8" s="30">
        <f>HYPERLINK("https://secure.freee.co.jp/reports/general_ledgers/show?name=%E7%B5%A6%E6%96%99%E6%89%8B%E5%BD%93&amp;start_date=2025-11-01&amp;end_date=2025-11-30&amp;fiscal_year_id=10840688",2105118)</f>
        <v>2105118</v>
      </c>
      <c r="D8" s="30">
        <f>HYPERLINK("https://secure.freee.co.jp/reports/general_ledgers/show?name=%E7%B5%A6%E6%96%99%E6%89%8B%E5%BD%93&amp;start_date=2025-12-01&amp;end_date=2025-12-31&amp;fiscal_year_id=10840688",1983776)</f>
        <v>1983776</v>
      </c>
      <c r="E8" s="30">
        <f>HYPERLINK("https://secure.freee.co.jp/reports/general_ledgers/show?name=%E7%B5%A6%E6%96%99%E6%89%8B%E5%BD%93&amp;start_date=2026-01-01&amp;end_date=2026-01-31&amp;fiscal_year_id=10840688",1712708)</f>
        <v>1712708</v>
      </c>
      <c r="F8" s="37">
        <f>HYPERLINK("https://secure.freee.co.jp/reports/general_ledgers/show?name=%E7%B5%A6%E6%96%99%E6%89%8B%E5%BD%93&amp;start_date=2026-02-01&amp;end_date=2026-02-28&amp;fiscal_year_id=10840688",2010686)</f>
        <v>2010686</v>
      </c>
      <c r="G8" s="38">
        <f>SUM(B8:F8)</f>
        <v>9793764</v>
      </c>
      <c r="H8" s="32" t="s">
        <v>396</v>
      </c>
    </row>
    <row r="9" spans="1:8" x14ac:dyDescent="0.25">
      <c r="A9" s="10" t="s">
        <v>466</v>
      </c>
      <c r="B9" s="40">
        <v>0</v>
      </c>
      <c r="C9" s="40">
        <v>0</v>
      </c>
      <c r="D9" s="30">
        <f>HYPERLINK("https://secure.freee.co.jp/reports/general_ledgers/show?name=%E8%B3%9E%E4%B8%8E&amp;start_date=2025-12-01&amp;end_date=2025-12-31&amp;fiscal_year_id=10840688",1265650)</f>
        <v>1265650</v>
      </c>
      <c r="E9" s="45">
        <v>0</v>
      </c>
      <c r="F9" s="41">
        <v>0</v>
      </c>
      <c r="G9" s="38">
        <f>SUM(B9:F9)</f>
        <v>1265650</v>
      </c>
      <c r="H9" s="32" t="s">
        <v>396</v>
      </c>
    </row>
    <row r="10" spans="1:8" x14ac:dyDescent="0.25">
      <c r="A10" s="10" t="s">
        <v>467</v>
      </c>
      <c r="B10" s="30">
        <f>HYPERLINK("https://secure.freee.co.jp/reports/general_ledgers/show?name=%E9%80%80%E8%81%B7%E7%B5%A6%E4%BB%98%E8%B2%BB%E7%94%A8&amp;start_date=2025-10-01&amp;end_date=2025-10-31&amp;fiscal_year_id=10840688",110000)</f>
        <v>110000</v>
      </c>
      <c r="C10" s="30">
        <f>HYPERLINK("https://secure.freee.co.jp/reports/general_ledgers/show?name=%E9%80%80%E8%81%B7%E7%B5%A6%E4%BB%98%E8%B2%BB%E7%94%A8&amp;start_date=2025-11-01&amp;end_date=2025-11-30&amp;fiscal_year_id=10840688",110000)</f>
        <v>110000</v>
      </c>
      <c r="D10" s="30">
        <f>HYPERLINK("https://secure.freee.co.jp/reports/general_ledgers/show?name=%E9%80%80%E8%81%B7%E7%B5%A6%E4%BB%98%E8%B2%BB%E7%94%A8&amp;start_date=2025-12-01&amp;end_date=2025-12-31&amp;fiscal_year_id=10840688",110000)</f>
        <v>110000</v>
      </c>
      <c r="E10" s="30">
        <f>HYPERLINK("https://secure.freee.co.jp/reports/general_ledgers/show?name=%E9%80%80%E8%81%B7%E7%B5%A6%E4%BB%98%E8%B2%BB%E7%94%A8&amp;start_date=2026-01-01&amp;end_date=2026-01-31&amp;fiscal_year_id=10840688",110000)</f>
        <v>110000</v>
      </c>
      <c r="F10" s="34">
        <f>HYPERLINK("https://secure.freee.co.jp/reports/general_ledgers/show?name=%E9%80%80%E8%81%B7%E7%B5%A6%E4%BB%98%E8%B2%BB%E7%94%A8&amp;start_date=2026-02-01&amp;end_date=2026-02-28&amp;fiscal_year_id=10840688",-28500)</f>
        <v>-28500</v>
      </c>
      <c r="G10" s="38">
        <f>SUM(B10:F10)</f>
        <v>411500</v>
      </c>
      <c r="H10" s="32" t="s">
        <v>396</v>
      </c>
    </row>
    <row r="11" spans="1:8" x14ac:dyDescent="0.25">
      <c r="A11" s="10" t="s">
        <v>468</v>
      </c>
      <c r="B11" s="30">
        <f>HYPERLINK("https://secure.freee.co.jp/reports/general_ledgers/show?name=%E6%B3%95%E5%AE%9A%E7%A6%8F%E5%88%A9%E8%B2%BB&amp;start_date=2025-10-01&amp;end_date=2025-10-31&amp;fiscal_year_id=10840688",498775)</f>
        <v>498775</v>
      </c>
      <c r="C11" s="30">
        <f>HYPERLINK("https://secure.freee.co.jp/reports/general_ledgers/show?name=%E6%B3%95%E5%AE%9A%E7%A6%8F%E5%88%A9%E8%B2%BB&amp;start_date=2025-11-01&amp;end_date=2025-11-30&amp;fiscal_year_id=10840688",663322)</f>
        <v>663322</v>
      </c>
      <c r="D11" s="30">
        <f>HYPERLINK("https://secure.freee.co.jp/reports/general_ledgers/show?name=%E6%B3%95%E5%AE%9A%E7%A6%8F%E5%88%A9%E8%B2%BB&amp;start_date=2025-12-01&amp;end_date=2025-12-31&amp;fiscal_year_id=10840688",442688)</f>
        <v>442688</v>
      </c>
      <c r="E11" s="30">
        <f>HYPERLINK("https://secure.freee.co.jp/reports/general_ledgers/show?name=%E6%B3%95%E5%AE%9A%E7%A6%8F%E5%88%A9%E8%B2%BB&amp;start_date=2026-01-01&amp;end_date=2026-01-31&amp;fiscal_year_id=10840688",444861)</f>
        <v>444861</v>
      </c>
      <c r="F11" s="37">
        <f>HYPERLINK("https://secure.freee.co.jp/reports/general_ledgers/show?name=%E6%B3%95%E5%AE%9A%E7%A6%8F%E5%88%A9%E8%B2%BB&amp;start_date=2026-02-01&amp;end_date=2026-02-28&amp;fiscal_year_id=10840688",442560)</f>
        <v>442560</v>
      </c>
      <c r="G11" s="38">
        <f>SUM(B11:F11)</f>
        <v>2492206</v>
      </c>
      <c r="H11" s="32" t="s">
        <v>396</v>
      </c>
    </row>
    <row r="12" spans="1:8" x14ac:dyDescent="0.25">
      <c r="A12" s="10" t="s">
        <v>469</v>
      </c>
      <c r="B12" s="30">
        <f>HYPERLINK("https://secure.freee.co.jp/reports/general_ledgers/show?name=%E7%A6%8F%E5%88%A9%E5%8E%9A%E7%94%9F%E8%B2%BB&amp;start_date=2025-10-01&amp;end_date=2025-10-31&amp;fiscal_year_id=10840688",48254)</f>
        <v>48254</v>
      </c>
      <c r="C12" s="30">
        <f>HYPERLINK("https://secure.freee.co.jp/reports/general_ledgers/show?name=%E7%A6%8F%E5%88%A9%E5%8E%9A%E7%94%9F%E8%B2%BB&amp;start_date=2025-11-01&amp;end_date=2025-11-30&amp;fiscal_year_id=10840688",48582)</f>
        <v>48582</v>
      </c>
      <c r="D12" s="34">
        <f>HYPERLINK("https://secure.freee.co.jp/reports/general_ledgers/show?name=%E7%A6%8F%E5%88%A9%E5%8E%9A%E7%94%9F%E8%B2%BB&amp;start_date=2025-12-01&amp;end_date=2025-12-31&amp;fiscal_year_id=10840688",4320)</f>
        <v>4320</v>
      </c>
      <c r="E12" s="30">
        <f>HYPERLINK("https://secure.freee.co.jp/reports/general_ledgers/show?name=%E7%A6%8F%E5%88%A9%E5%8E%9A%E7%94%9F%E8%B2%BB&amp;start_date=2026-01-01&amp;end_date=2026-01-31&amp;fiscal_year_id=10840688",2376)</f>
        <v>2376</v>
      </c>
      <c r="F12" s="45">
        <v>0</v>
      </c>
      <c r="G12" s="38">
        <f>SUM(B12:F12)</f>
        <v>103532</v>
      </c>
      <c r="H12" s="32" t="s">
        <v>396</v>
      </c>
    </row>
    <row r="13" spans="1:8" x14ac:dyDescent="0.25">
      <c r="A13" s="10" t="s">
        <v>470</v>
      </c>
      <c r="B13" s="30">
        <f>HYPERLINK("https://secure.freee.co.jp/reports/general_ledgers/show?name=%E6%8E%A1%E7%94%A8%E6%95%99%E8%82%B2%E8%B2%BB&amp;start_date=2025-10-01&amp;end_date=2025-10-31&amp;fiscal_year_id=10840688",82165)</f>
        <v>82165</v>
      </c>
      <c r="C13" s="34">
        <f>HYPERLINK("https://secure.freee.co.jp/reports/general_ledgers/show?name=%E6%8E%A1%E7%94%A8%E6%95%99%E8%82%B2%E8%B2%BB&amp;start_date=2025-11-01&amp;end_date=2025-11-30&amp;fiscal_year_id=10840688",39643)</f>
        <v>39643</v>
      </c>
      <c r="D13" s="34">
        <f>HYPERLINK("https://secure.freee.co.jp/reports/general_ledgers/show?name=%E6%8E%A1%E7%94%A8%E6%95%99%E8%82%B2%E8%B2%BB&amp;start_date=2025-12-01&amp;end_date=2025-12-31&amp;fiscal_year_id=10840688",1353000)</f>
        <v>1353000</v>
      </c>
      <c r="E13" s="34">
        <f>HYPERLINK("https://secure.freee.co.jp/reports/general_ledgers/show?name=%E6%8E%A1%E7%94%A8%E6%95%99%E8%82%B2%E8%B2%BB&amp;start_date=2026-01-01&amp;end_date=2026-01-31&amp;fiscal_year_id=10840688",33000)</f>
        <v>33000</v>
      </c>
      <c r="F13" s="37">
        <f>HYPERLINK("https://secure.freee.co.jp/reports/general_ledgers/show?name=%E6%8E%A1%E7%94%A8%E6%95%99%E8%82%B2%E8%B2%BB&amp;start_date=2026-02-01&amp;end_date=2026-02-28&amp;fiscal_year_id=10840688",33000)</f>
        <v>33000</v>
      </c>
      <c r="G13" s="38">
        <f>SUM(B13:F13)</f>
        <v>1540808</v>
      </c>
      <c r="H13" s="32" t="s">
        <v>396</v>
      </c>
    </row>
    <row r="14" spans="1:8" x14ac:dyDescent="0.25">
      <c r="A14" s="10" t="s">
        <v>471</v>
      </c>
      <c r="B14" s="30">
        <f>HYPERLINK("https://secure.freee.co.jp/reports/general_ledgers/show?name=%E5%A4%96%E6%B3%A8%E8%B2%BB&amp;start_date=2025-10-01&amp;end_date=2025-10-31&amp;fiscal_year_id=10840688",13800)</f>
        <v>13800</v>
      </c>
      <c r="C14" s="34">
        <f>HYPERLINK("https://secure.freee.co.jp/reports/general_ledgers/show?name=%E5%A4%96%E6%B3%A8%E8%B2%BB&amp;start_date=2025-11-01&amp;end_date=2025-11-30&amp;fiscal_year_id=10840688",27280)</f>
        <v>27280</v>
      </c>
      <c r="D14" s="34">
        <f>HYPERLINK("https://secure.freee.co.jp/reports/general_ledgers/show?name=%E5%A4%96%E6%B3%A8%E8%B2%BB&amp;start_date=2025-12-01&amp;end_date=2025-12-31&amp;fiscal_year_id=10840688",55850)</f>
        <v>55850</v>
      </c>
      <c r="E14" s="34">
        <f>HYPERLINK("https://secure.freee.co.jp/reports/general_ledgers/show?name=%E5%A4%96%E6%B3%A8%E8%B2%BB&amp;start_date=2026-01-01&amp;end_date=2026-01-31&amp;fiscal_year_id=10840688",111127)</f>
        <v>111127</v>
      </c>
      <c r="F14" s="37">
        <f>HYPERLINK("https://secure.freee.co.jp/reports/general_ledgers/show?name=%E5%A4%96%E6%B3%A8%E8%B2%BB&amp;start_date=2026-02-01&amp;end_date=2026-02-28&amp;fiscal_year_id=10840688",133554)</f>
        <v>133554</v>
      </c>
      <c r="G14" s="38">
        <f>SUM(B14:F14)</f>
        <v>341611</v>
      </c>
      <c r="H14" s="32" t="s">
        <v>396</v>
      </c>
    </row>
    <row r="15" spans="1:8" x14ac:dyDescent="0.25">
      <c r="A15" s="10" t="s">
        <v>472</v>
      </c>
      <c r="B15" s="40">
        <v>0</v>
      </c>
      <c r="C15" s="30">
        <f>HYPERLINK("https://secure.freee.co.jp/reports/general_ledgers/show?name=%E5%BA%83%E5%91%8A%E5%AE%A3%E4%BC%9D%E8%B2%BB&amp;start_date=2025-11-01&amp;end_date=2025-11-30&amp;fiscal_year_id=10840688",6000)</f>
        <v>6000</v>
      </c>
      <c r="D15" s="30">
        <f>HYPERLINK("https://secure.freee.co.jp/reports/general_ledgers/show?name=%E5%BA%83%E5%91%8A%E5%AE%A3%E4%BC%9D%E8%B2%BB&amp;start_date=2025-12-01&amp;end_date=2025-12-31&amp;fiscal_year_id=10840688",5000)</f>
        <v>5000</v>
      </c>
      <c r="E15" s="30">
        <f>HYPERLINK("https://secure.freee.co.jp/reports/general_ledgers/show?name=%E5%BA%83%E5%91%8A%E5%AE%A3%E4%BC%9D%E8%B2%BB&amp;start_date=2026-01-01&amp;end_date=2026-01-31&amp;fiscal_year_id=10840688",4000)</f>
        <v>4000</v>
      </c>
      <c r="F15" s="45">
        <v>0</v>
      </c>
      <c r="G15" s="38">
        <f>SUM(B15:F15)</f>
        <v>15000</v>
      </c>
      <c r="H15" s="32" t="s">
        <v>396</v>
      </c>
    </row>
    <row r="16" spans="1:8" x14ac:dyDescent="0.25">
      <c r="A16" s="10" t="s">
        <v>473</v>
      </c>
      <c r="B16" s="30">
        <f>HYPERLINK("https://secure.freee.co.jp/reports/general_ledgers/show?name=%E4%BA%A4%E9%9A%9B%E8%B2%BB&amp;start_date=2025-10-01&amp;end_date=2025-10-31&amp;fiscal_year_id=10840688",13500)</f>
        <v>13500</v>
      </c>
      <c r="C16" s="45">
        <v>0</v>
      </c>
      <c r="D16" s="30">
        <f>HYPERLINK("https://secure.freee.co.jp/reports/general_ledgers/show?name=%E4%BA%A4%E9%9A%9B%E8%B2%BB&amp;start_date=2025-12-01&amp;end_date=2025-12-31&amp;fiscal_year_id=10840688",40350)</f>
        <v>40350</v>
      </c>
      <c r="E16" s="45">
        <v>0</v>
      </c>
      <c r="F16" s="41">
        <v>0</v>
      </c>
      <c r="G16" s="38">
        <f>SUM(B16:F16)</f>
        <v>53850</v>
      </c>
      <c r="H16" s="32" t="s">
        <v>396</v>
      </c>
    </row>
    <row r="17" spans="1:8" x14ac:dyDescent="0.25">
      <c r="A17" s="10" t="s">
        <v>474</v>
      </c>
      <c r="B17" s="30">
        <f>HYPERLINK("https://secure.freee.co.jp/reports/general_ledgers/show?name=%E4%BC%9A%E8%AD%B0%E8%B2%BB&amp;start_date=2025-10-01&amp;end_date=2025-10-31&amp;fiscal_year_id=10840688",13604)</f>
        <v>13604</v>
      </c>
      <c r="C17" s="34">
        <f>HYPERLINK("https://secure.freee.co.jp/reports/general_ledgers/show?name=%E4%BC%9A%E8%AD%B0%E8%B2%BB&amp;start_date=2025-11-01&amp;end_date=2025-11-30&amp;fiscal_year_id=10840688",2376)</f>
        <v>2376</v>
      </c>
      <c r="D17" s="34">
        <f>HYPERLINK("https://secure.freee.co.jp/reports/general_ledgers/show?name=%E4%BC%9A%E8%AD%B0%E8%B2%BB&amp;start_date=2025-12-01&amp;end_date=2025-12-31&amp;fiscal_year_id=10840688",4820)</f>
        <v>4820</v>
      </c>
      <c r="E17" s="34">
        <f>HYPERLINK("https://secure.freee.co.jp/reports/general_ledgers/show?name=%E4%BC%9A%E8%AD%B0%E8%B2%BB&amp;start_date=2026-01-01&amp;end_date=2026-01-31&amp;fiscal_year_id=10840688",720)</f>
        <v>720</v>
      </c>
      <c r="F17" s="37">
        <f>HYPERLINK("https://secure.freee.co.jp/reports/general_ledgers/show?name=%E4%BC%9A%E8%AD%B0%E8%B2%BB&amp;start_date=2026-02-01&amp;end_date=2026-02-28&amp;fiscal_year_id=10840688",790)</f>
        <v>790</v>
      </c>
      <c r="G17" s="38">
        <f>SUM(B17:F17)</f>
        <v>22310</v>
      </c>
      <c r="H17" s="32" t="s">
        <v>396</v>
      </c>
    </row>
    <row r="18" spans="1:8" x14ac:dyDescent="0.25">
      <c r="A18" s="10" t="s">
        <v>475</v>
      </c>
      <c r="B18" s="30">
        <f>HYPERLINK("https://secure.freee.co.jp/reports/general_ledgers/show?name=%E6%97%85%E8%B2%BB%E4%BA%A4%E9%80%9A%E8%B2%BB&amp;start_date=2025-10-01&amp;end_date=2025-10-31&amp;fiscal_year_id=10840688",83392)</f>
        <v>83392</v>
      </c>
      <c r="C18" s="34">
        <f>HYPERLINK("https://secure.freee.co.jp/reports/general_ledgers/show?name=%E6%97%85%E8%B2%BB%E4%BA%A4%E9%80%9A%E8%B2%BB&amp;start_date=2025-11-01&amp;end_date=2025-11-30&amp;fiscal_year_id=10840688",136960)</f>
        <v>136960</v>
      </c>
      <c r="D18" s="34">
        <f>HYPERLINK("https://secure.freee.co.jp/reports/general_ledgers/show?name=%E6%97%85%E8%B2%BB%E4%BA%A4%E9%80%9A%E8%B2%BB&amp;start_date=2025-12-01&amp;end_date=2025-12-31&amp;fiscal_year_id=10840688",38788)</f>
        <v>38788</v>
      </c>
      <c r="E18" s="34">
        <f>HYPERLINK("https://secure.freee.co.jp/reports/general_ledgers/show?name=%E6%97%85%E8%B2%BB%E4%BA%A4%E9%80%9A%E8%B2%BB&amp;start_date=2026-01-01&amp;end_date=2026-01-31&amp;fiscal_year_id=10840688",70086)</f>
        <v>70086</v>
      </c>
      <c r="F18" s="34">
        <f>HYPERLINK("https://secure.freee.co.jp/reports/general_ledgers/show?name=%E6%97%85%E8%B2%BB%E4%BA%A4%E9%80%9A%E8%B2%BB&amp;start_date=2026-02-01&amp;end_date=2026-02-28&amp;fiscal_year_id=10840688",34588)</f>
        <v>34588</v>
      </c>
      <c r="G18" s="38">
        <f>SUM(B18:F18)</f>
        <v>363814</v>
      </c>
      <c r="H18" s="32" t="s">
        <v>396</v>
      </c>
    </row>
    <row r="19" spans="1:8" x14ac:dyDescent="0.25">
      <c r="A19" s="10" t="s">
        <v>476</v>
      </c>
      <c r="B19" s="30">
        <f>HYPERLINK("https://secure.freee.co.jp/reports/general_ledgers/show?name=%E9%80%9A%E4%BF%A1%E8%B2%BB&amp;start_date=2025-10-01&amp;end_date=2025-10-31&amp;fiscal_year_id=10840688",212846)</f>
        <v>212846</v>
      </c>
      <c r="C19" s="34">
        <f>HYPERLINK("https://secure.freee.co.jp/reports/general_ledgers/show?name=%E9%80%9A%E4%BF%A1%E8%B2%BB&amp;start_date=2025-11-01&amp;end_date=2025-11-30&amp;fiscal_year_id=10840688",83918)</f>
        <v>83918</v>
      </c>
      <c r="D19" s="34">
        <f>HYPERLINK("https://secure.freee.co.jp/reports/general_ledgers/show?name=%E9%80%9A%E4%BF%A1%E8%B2%BB&amp;start_date=2025-12-01&amp;end_date=2025-12-31&amp;fiscal_year_id=10840688",135951)</f>
        <v>135951</v>
      </c>
      <c r="E19" s="30">
        <f>HYPERLINK("https://secure.freee.co.jp/reports/general_ledgers/show?name=%E9%80%9A%E4%BF%A1%E8%B2%BB&amp;start_date=2026-01-01&amp;end_date=2026-01-31&amp;fiscal_year_id=10840688",121223)</f>
        <v>121223</v>
      </c>
      <c r="F19" s="37">
        <f>HYPERLINK("https://secure.freee.co.jp/reports/general_ledgers/show?name=%E9%80%9A%E4%BF%A1%E8%B2%BB&amp;start_date=2026-02-01&amp;end_date=2026-02-28&amp;fiscal_year_id=10840688",98867)</f>
        <v>98867</v>
      </c>
      <c r="G19" s="38">
        <f>SUM(B19:F19)</f>
        <v>652805</v>
      </c>
      <c r="H19" s="32" t="s">
        <v>396</v>
      </c>
    </row>
    <row r="20" spans="1:8" x14ac:dyDescent="0.25">
      <c r="A20" s="10" t="s">
        <v>477</v>
      </c>
      <c r="B20" s="30">
        <f>HYPERLINK("https://secure.freee.co.jp/reports/general_ledgers/show?name=%E6%B6%88%E8%80%97%E5%93%81%E8%B2%BB&amp;start_date=2025-10-01&amp;end_date=2025-10-31&amp;fiscal_year_id=10840688",101307)</f>
        <v>101307</v>
      </c>
      <c r="C20" s="30">
        <f>HYPERLINK("https://secure.freee.co.jp/reports/general_ledgers/show?name=%E6%B6%88%E8%80%97%E5%93%81%E8%B2%BB&amp;start_date=2025-11-01&amp;end_date=2025-11-30&amp;fiscal_year_id=10840688",70288)</f>
        <v>70288</v>
      </c>
      <c r="D20" s="30">
        <f>HYPERLINK("https://secure.freee.co.jp/reports/general_ledgers/show?name=%E6%B6%88%E8%80%97%E5%93%81%E8%B2%BB&amp;start_date=2025-12-01&amp;end_date=2025-12-31&amp;fiscal_year_id=10840688",43638)</f>
        <v>43638</v>
      </c>
      <c r="E20" s="34">
        <f>HYPERLINK("https://secure.freee.co.jp/reports/general_ledgers/show?name=%E6%B6%88%E8%80%97%E5%93%81%E8%B2%BB&amp;start_date=2026-01-01&amp;end_date=2026-01-31&amp;fiscal_year_id=10840688",14975)</f>
        <v>14975</v>
      </c>
      <c r="F20" s="37">
        <f>HYPERLINK("https://secure.freee.co.jp/reports/general_ledgers/show?name=%E6%B6%88%E8%80%97%E5%93%81%E8%B2%BB&amp;start_date=2026-02-01&amp;end_date=2026-02-28&amp;fiscal_year_id=10840688",16943)</f>
        <v>16943</v>
      </c>
      <c r="G20" s="38">
        <f>SUM(B20:F20)</f>
        <v>247151</v>
      </c>
      <c r="H20" s="32" t="s">
        <v>396</v>
      </c>
    </row>
    <row r="21" spans="1:8" x14ac:dyDescent="0.25">
      <c r="A21" s="10" t="s">
        <v>478</v>
      </c>
      <c r="B21" s="30">
        <f>HYPERLINK("https://secure.freee.co.jp/reports/general_ledgers/show?name=%E6%B0%B4%E9%81%93%E5%85%89%E7%86%B1%E8%B2%BB&amp;start_date=2025-10-01&amp;end_date=2025-10-31&amp;fiscal_year_id=10840688",43946)</f>
        <v>43946</v>
      </c>
      <c r="C21" s="30">
        <f>HYPERLINK("https://secure.freee.co.jp/reports/general_ledgers/show?name=%E6%B0%B4%E9%81%93%E5%85%89%E7%86%B1%E8%B2%BB&amp;start_date=2025-11-01&amp;end_date=2025-11-30&amp;fiscal_year_id=10840688",33663)</f>
        <v>33663</v>
      </c>
      <c r="D21" s="30">
        <f>HYPERLINK("https://secure.freee.co.jp/reports/general_ledgers/show?name=%E6%B0%B4%E9%81%93%E5%85%89%E7%86%B1%E8%B2%BB&amp;start_date=2025-12-01&amp;end_date=2025-12-31&amp;fiscal_year_id=10840688",45561)</f>
        <v>45561</v>
      </c>
      <c r="E21" s="30">
        <f>HYPERLINK("https://secure.freee.co.jp/reports/general_ledgers/show?name=%E6%B0%B4%E9%81%93%E5%85%89%E7%86%B1%E8%B2%BB&amp;start_date=2026-01-01&amp;end_date=2026-01-31&amp;fiscal_year_id=10840688",60794)</f>
        <v>60794</v>
      </c>
      <c r="F21" s="37">
        <f>HYPERLINK("https://secure.freee.co.jp/reports/general_ledgers/show?name=%E6%B0%B4%E9%81%93%E5%85%89%E7%86%B1%E8%B2%BB&amp;start_date=2026-02-01&amp;end_date=2026-02-28&amp;fiscal_year_id=10840688",56722)</f>
        <v>56722</v>
      </c>
      <c r="G21" s="38">
        <f>SUM(B21:F21)</f>
        <v>240686</v>
      </c>
      <c r="H21" s="32" t="s">
        <v>396</v>
      </c>
    </row>
    <row r="22" spans="1:8" x14ac:dyDescent="0.25">
      <c r="A22" s="10" t="s">
        <v>479</v>
      </c>
      <c r="B22" s="30">
        <f>HYPERLINK("https://secure.freee.co.jp/reports/general_ledgers/show?name=%E6%96%B0%E8%81%9E%E5%9B%B3%E6%9B%B8%E8%B2%BB&amp;start_date=2025-10-01&amp;end_date=2025-10-31&amp;fiscal_year_id=10840688",10720)</f>
        <v>10720</v>
      </c>
      <c r="C22" s="30">
        <f>HYPERLINK("https://secure.freee.co.jp/reports/general_ledgers/show?name=%E6%96%B0%E8%81%9E%E5%9B%B3%E6%9B%B8%E8%B2%BB&amp;start_date=2025-11-01&amp;end_date=2025-11-30&amp;fiscal_year_id=10840688",11990)</f>
        <v>11990</v>
      </c>
      <c r="D22" s="34">
        <f>HYPERLINK("https://secure.freee.co.jp/reports/general_ledgers/show?name=%E6%96%B0%E8%81%9E%E5%9B%B3%E6%9B%B8%E8%B2%BB&amp;start_date=2025-12-01&amp;end_date=2025-12-31&amp;fiscal_year_id=10840688",19360)</f>
        <v>19360</v>
      </c>
      <c r="E22" s="30">
        <f>HYPERLINK("https://secure.freee.co.jp/reports/general_ledgers/show?name=%E6%96%B0%E8%81%9E%E5%9B%B3%E6%9B%B8%E8%B2%BB&amp;start_date=2026-01-01&amp;end_date=2026-01-31&amp;fiscal_year_id=10840688",15745)</f>
        <v>15745</v>
      </c>
      <c r="F22" s="37">
        <f>HYPERLINK("https://secure.freee.co.jp/reports/general_ledgers/show?name=%E6%96%B0%E8%81%9E%E5%9B%B3%E6%9B%B8%E8%B2%BB&amp;start_date=2026-02-01&amp;end_date=2026-02-28&amp;fiscal_year_id=10840688",9872)</f>
        <v>9872</v>
      </c>
      <c r="G22" s="38">
        <f>SUM(B22:F22)</f>
        <v>67687</v>
      </c>
      <c r="H22" s="32" t="s">
        <v>396</v>
      </c>
    </row>
    <row r="23" spans="1:8" x14ac:dyDescent="0.25">
      <c r="A23" s="10" t="s">
        <v>480</v>
      </c>
      <c r="B23" s="30">
        <f>HYPERLINK("https://secure.freee.co.jp/reports/general_ledgers/show?name=%E8%AB%B8%E4%BC%9A%E8%B2%BB&amp;start_date=2025-10-01&amp;end_date=2025-10-31&amp;fiscal_year_id=10840688",99000)</f>
        <v>99000</v>
      </c>
      <c r="C23" s="30">
        <f>HYPERLINK("https://secure.freee.co.jp/reports/general_ledgers/show?name=%E8%AB%B8%E4%BC%9A%E8%B2%BB&amp;start_date=2025-11-01&amp;end_date=2025-11-30&amp;fiscal_year_id=10840688",57000)</f>
        <v>57000</v>
      </c>
      <c r="D23" s="45">
        <v>0</v>
      </c>
      <c r="E23" s="30">
        <f>HYPERLINK("https://secure.freee.co.jp/reports/general_ledgers/show?name=%E8%AB%B8%E4%BC%9A%E8%B2%BB&amp;start_date=2026-01-01&amp;end_date=2026-01-31&amp;fiscal_year_id=10840688",81000)</f>
        <v>81000</v>
      </c>
      <c r="F23" s="45">
        <v>0</v>
      </c>
      <c r="G23" s="38">
        <f>SUM(B23:F23)</f>
        <v>237000</v>
      </c>
      <c r="H23" s="32" t="s">
        <v>396</v>
      </c>
    </row>
    <row r="24" spans="1:8" x14ac:dyDescent="0.25">
      <c r="A24" s="10" t="s">
        <v>481</v>
      </c>
      <c r="B24" s="30">
        <f>HYPERLINK("https://secure.freee.co.jp/reports/general_ledgers/show?name=%E6%94%AF%E6%89%95%E6%89%8B%E6%95%B0%E6%96%99&amp;start_date=2025-10-01&amp;end_date=2025-10-31&amp;fiscal_year_id=10840688",370658)</f>
        <v>370658</v>
      </c>
      <c r="C24" s="30">
        <f>HYPERLINK("https://secure.freee.co.jp/reports/general_ledgers/show?name=%E6%94%AF%E6%89%95%E6%89%8B%E6%95%B0%E6%96%99&amp;start_date=2025-11-01&amp;end_date=2025-11-30&amp;fiscal_year_id=10840688",427960)</f>
        <v>427960</v>
      </c>
      <c r="D24" s="34">
        <f>HYPERLINK("https://secure.freee.co.jp/reports/general_ledgers/show?name=%E6%94%AF%E6%89%95%E6%89%8B%E6%95%B0%E6%96%99&amp;start_date=2025-12-01&amp;end_date=2025-12-31&amp;fiscal_year_id=10840688",935158)</f>
        <v>935158</v>
      </c>
      <c r="E24" s="30">
        <f>HYPERLINK("https://secure.freee.co.jp/reports/general_ledgers/show?name=%E6%94%AF%E6%89%95%E6%89%8B%E6%95%B0%E6%96%99&amp;start_date=2026-01-01&amp;end_date=2026-01-31&amp;fiscal_year_id=10840688",526854)</f>
        <v>526854</v>
      </c>
      <c r="F24" s="37">
        <f>HYPERLINK("https://secure.freee.co.jp/reports/general_ledgers/show?name=%E6%94%AF%E6%89%95%E6%89%8B%E6%95%B0%E6%96%99&amp;start_date=2026-02-01&amp;end_date=2026-02-28&amp;fiscal_year_id=10840688",485365)</f>
        <v>485365</v>
      </c>
      <c r="G24" s="38">
        <f>SUM(B24:F24)</f>
        <v>2745995</v>
      </c>
      <c r="H24" s="32" t="s">
        <v>396</v>
      </c>
    </row>
    <row r="25" spans="1:8" x14ac:dyDescent="0.25">
      <c r="A25" s="10" t="s">
        <v>482</v>
      </c>
      <c r="B25" s="30">
        <f>HYPERLINK("https://secure.freee.co.jp/reports/general_ledgers/show?name=%E5%9C%B0%E4%BB%A3%E5%AE%B6%E8%B3%83&amp;start_date=2025-10-01&amp;end_date=2025-10-31&amp;fiscal_year_id=10840688",141573)</f>
        <v>141573</v>
      </c>
      <c r="C25" s="30">
        <f>HYPERLINK("https://secure.freee.co.jp/reports/general_ledgers/show?name=%E5%9C%B0%E4%BB%A3%E5%AE%B6%E8%B3%83&amp;start_date=2025-11-01&amp;end_date=2025-11-30&amp;fiscal_year_id=10840688",141573)</f>
        <v>141573</v>
      </c>
      <c r="D25" s="30">
        <f>HYPERLINK("https://secure.freee.co.jp/reports/general_ledgers/show?name=%E5%9C%B0%E4%BB%A3%E5%AE%B6%E8%B3%83&amp;start_date=2025-12-01&amp;end_date=2025-12-31&amp;fiscal_year_id=10840688",141573)</f>
        <v>141573</v>
      </c>
      <c r="E25" s="30">
        <f>HYPERLINK("https://secure.freee.co.jp/reports/general_ledgers/show?name=%E5%9C%B0%E4%BB%A3%E5%AE%B6%E8%B3%83&amp;start_date=2026-01-01&amp;end_date=2026-01-31&amp;fiscal_year_id=10840688",141573)</f>
        <v>141573</v>
      </c>
      <c r="F25" s="34">
        <f>HYPERLINK("https://secure.freee.co.jp/reports/general_ledgers/show?name=%E5%9C%B0%E4%BB%A3%E5%AE%B6%E8%B3%83&amp;start_date=2026-02-01&amp;end_date=2026-02-28&amp;fiscal_year_id=10840688",280073)</f>
        <v>280073</v>
      </c>
      <c r="G25" s="38">
        <f>SUM(B25:F25)</f>
        <v>846365</v>
      </c>
      <c r="H25" s="32" t="s">
        <v>396</v>
      </c>
    </row>
    <row r="26" spans="1:8" x14ac:dyDescent="0.25">
      <c r="A26" s="10" t="s">
        <v>483</v>
      </c>
      <c r="B26" s="30">
        <f>HYPERLINK("https://secure.freee.co.jp/reports/general_ledgers/show?name=%E4%BF%9D%E9%99%BA%E6%96%99&amp;start_date=2025-10-01&amp;end_date=2025-10-31&amp;fiscal_year_id=10840688",100410)</f>
        <v>100410</v>
      </c>
      <c r="C26" s="30">
        <f>HYPERLINK("https://secure.freee.co.jp/reports/general_ledgers/show?name=%E4%BF%9D%E9%99%BA%E6%96%99&amp;start_date=2025-11-01&amp;end_date=2025-11-30&amp;fiscal_year_id=10840688",100410)</f>
        <v>100410</v>
      </c>
      <c r="D26" s="30">
        <f>HYPERLINK("https://secure.freee.co.jp/reports/general_ledgers/show?name=%E4%BF%9D%E9%99%BA%E6%96%99&amp;start_date=2025-12-01&amp;end_date=2025-12-31&amp;fiscal_year_id=10840688",100410)</f>
        <v>100410</v>
      </c>
      <c r="E26" s="30">
        <f>HYPERLINK("https://secure.freee.co.jp/reports/general_ledgers/show?name=%E4%BF%9D%E9%99%BA%E6%96%99&amp;start_date=2026-01-01&amp;end_date=2026-01-31&amp;fiscal_year_id=10840688",100410)</f>
        <v>100410</v>
      </c>
      <c r="F26" s="37">
        <f>HYPERLINK("https://secure.freee.co.jp/reports/general_ledgers/show?name=%E4%BF%9D%E9%99%BA%E6%96%99&amp;start_date=2026-02-01&amp;end_date=2026-02-28&amp;fiscal_year_id=10840688",100410)</f>
        <v>100410</v>
      </c>
      <c r="G26" s="38">
        <f>SUM(B26:F26)</f>
        <v>502050</v>
      </c>
      <c r="H26" s="32" t="s">
        <v>396</v>
      </c>
    </row>
    <row r="27" spans="1:8" x14ac:dyDescent="0.25">
      <c r="A27" s="10" t="s">
        <v>484</v>
      </c>
      <c r="B27" s="30">
        <f>HYPERLINK("https://secure.freee.co.jp/reports/general_ledgers/show?name=%E6%B8%9B%E4%BE%A1%E5%84%9F%E5%8D%B4%E8%B2%BB&amp;start_date=2025-10-01&amp;end_date=2025-10-31&amp;fiscal_year_id=10840688",95688)</f>
        <v>95688</v>
      </c>
      <c r="C27" s="30">
        <f>HYPERLINK("https://secure.freee.co.jp/reports/general_ledgers/show?name=%E6%B8%9B%E4%BE%A1%E5%84%9F%E5%8D%B4%E8%B2%BB&amp;start_date=2025-11-01&amp;end_date=2025-11-30&amp;fiscal_year_id=10840688",95688)</f>
        <v>95688</v>
      </c>
      <c r="D27" s="30">
        <f>HYPERLINK("https://secure.freee.co.jp/reports/general_ledgers/show?name=%E6%B8%9B%E4%BE%A1%E5%84%9F%E5%8D%B4%E8%B2%BB&amp;start_date=2025-12-01&amp;end_date=2025-12-31&amp;fiscal_year_id=10840688",101288)</f>
        <v>101288</v>
      </c>
      <c r="E27" s="30">
        <f>HYPERLINK("https://secure.freee.co.jp/reports/general_ledgers/show?name=%E6%B8%9B%E4%BE%A1%E5%84%9F%E5%8D%B4%E8%B2%BB&amp;start_date=2026-01-01&amp;end_date=2026-01-31&amp;fiscal_year_id=10840688",101288)</f>
        <v>101288</v>
      </c>
      <c r="F27" s="37">
        <f>HYPERLINK("https://secure.freee.co.jp/reports/general_ledgers/show?name=%E6%B8%9B%E4%BE%A1%E5%84%9F%E5%8D%B4%E8%B2%BB&amp;start_date=2026-02-01&amp;end_date=2026-02-28&amp;fiscal_year_id=10840688",101288)</f>
        <v>101288</v>
      </c>
      <c r="G27" s="38">
        <f>SUM(B27:F27)</f>
        <v>495240</v>
      </c>
      <c r="H27" s="32" t="s">
        <v>396</v>
      </c>
    </row>
    <row r="28" spans="1:8" x14ac:dyDescent="0.25">
      <c r="A28" s="10" t="s">
        <v>485</v>
      </c>
      <c r="B28" s="30">
        <f>HYPERLINK("https://secure.freee.co.jp/reports/general_ledgers/show?name=%E9%95%B7%E6%9C%9F%E5%89%8D%E6%89%95%E8%B2%BB%E7%94%A8%E5%84%9F%E5%8D%B4&amp;start_date=2025-10-01&amp;end_date=2025-10-31&amp;fiscal_year_id=10840688",12611)</f>
        <v>12611</v>
      </c>
      <c r="C28" s="30">
        <f>HYPERLINK("https://secure.freee.co.jp/reports/general_ledgers/show?name=%E9%95%B7%E6%9C%9F%E5%89%8D%E6%89%95%E8%B2%BB%E7%94%A8%E5%84%9F%E5%8D%B4&amp;start_date=2025-11-01&amp;end_date=2025-11-30&amp;fiscal_year_id=10840688",12611)</f>
        <v>12611</v>
      </c>
      <c r="D28" s="30">
        <f>HYPERLINK("https://secure.freee.co.jp/reports/general_ledgers/show?name=%E9%95%B7%E6%9C%9F%E5%89%8D%E6%89%95%E8%B2%BB%E7%94%A8%E5%84%9F%E5%8D%B4&amp;start_date=2025-12-01&amp;end_date=2025-12-31&amp;fiscal_year_id=10840688",12611)</f>
        <v>12611</v>
      </c>
      <c r="E28" s="30">
        <f>HYPERLINK("https://secure.freee.co.jp/reports/general_ledgers/show?name=%E9%95%B7%E6%9C%9F%E5%89%8D%E6%89%95%E8%B2%BB%E7%94%A8%E5%84%9F%E5%8D%B4&amp;start_date=2026-01-01&amp;end_date=2026-01-31&amp;fiscal_year_id=10840688",12611)</f>
        <v>12611</v>
      </c>
      <c r="F28" s="37">
        <f>HYPERLINK("https://secure.freee.co.jp/reports/general_ledgers/show?name=%E9%95%B7%E6%9C%9F%E5%89%8D%E6%89%95%E8%B2%BB%E7%94%A8%E5%84%9F%E5%8D%B4&amp;start_date=2026-02-01&amp;end_date=2026-02-28&amp;fiscal_year_id=10840688",12611)</f>
        <v>12611</v>
      </c>
      <c r="G28" s="38">
        <f>SUM(B28:F28)</f>
        <v>63055</v>
      </c>
      <c r="H28" s="32" t="s">
        <v>396</v>
      </c>
    </row>
    <row r="29" spans="1:8" x14ac:dyDescent="0.25">
      <c r="A29" s="10" t="s">
        <v>486</v>
      </c>
      <c r="B29" s="30">
        <f>HYPERLINK("https://secure.freee.co.jp/reports/general_ledgers/show?name=%E9%9B%91%E8%B2%BB&amp;start_date=2025-10-01&amp;end_date=2025-10-31&amp;fiscal_year_id=10840688",6195)</f>
        <v>6195</v>
      </c>
      <c r="C29" s="45">
        <v>0</v>
      </c>
      <c r="D29" s="40">
        <v>0</v>
      </c>
      <c r="E29" s="40">
        <v>0</v>
      </c>
      <c r="F29" s="41">
        <v>0</v>
      </c>
      <c r="G29" s="38">
        <f>SUM(B29:F29)</f>
        <v>6195</v>
      </c>
      <c r="H29" s="32" t="s">
        <v>396</v>
      </c>
    </row>
    <row r="30" spans="1:8" x14ac:dyDescent="0.25">
      <c r="A30" s="42" t="s">
        <v>487</v>
      </c>
      <c r="B30" s="43">
        <v>6829920</v>
      </c>
      <c r="C30" s="43">
        <v>6954382</v>
      </c>
      <c r="D30" s="43">
        <v>9619792</v>
      </c>
      <c r="E30" s="43">
        <v>6445351</v>
      </c>
      <c r="F30" s="43">
        <v>6568829</v>
      </c>
      <c r="G30" s="43">
        <f>SUM(B30:F30)</f>
        <v>36418274</v>
      </c>
      <c r="H30" s="44"/>
    </row>
    <row r="31" spans="1:8" x14ac:dyDescent="0.25">
      <c r="A31" s="42" t="s">
        <v>488</v>
      </c>
      <c r="B31" s="43">
        <v>-141606</v>
      </c>
      <c r="C31" s="43">
        <v>598802</v>
      </c>
      <c r="D31" s="43">
        <v>-1725653</v>
      </c>
      <c r="E31" s="43">
        <v>7505108</v>
      </c>
      <c r="F31" s="43">
        <v>1481975</v>
      </c>
      <c r="G31" s="43">
        <f>SUM(B31:F31)</f>
        <v>7718626</v>
      </c>
      <c r="H31" s="44"/>
    </row>
    <row r="32" spans="1:8" x14ac:dyDescent="0.25">
      <c r="A32" s="10" t="s">
        <v>489</v>
      </c>
      <c r="B32" s="30">
        <f>HYPERLINK("https://secure.freee.co.jp/reports/general_ledgers/show?name=%E5%8F%97%E5%8F%96%E5%88%A9%E6%81%AF&amp;start_date=2025-10-01&amp;end_date=2025-10-31&amp;fiscal_year_id=10840688",5742)</f>
        <v>5742</v>
      </c>
      <c r="C32" s="30">
        <f>HYPERLINK("https://secure.freee.co.jp/reports/general_ledgers/show?name=%E5%8F%97%E5%8F%96%E5%88%A9%E6%81%AF&amp;start_date=2025-11-01&amp;end_date=2025-11-30&amp;fiscal_year_id=10840688",5472)</f>
        <v>5472</v>
      </c>
      <c r="D32" s="30">
        <f>HYPERLINK("https://secure.freee.co.jp/reports/general_ledgers/show?name=%E5%8F%97%E5%8F%96%E5%88%A9%E6%81%AF&amp;start_date=2025-12-01&amp;end_date=2025-12-31&amp;fiscal_year_id=10840688",5557)</f>
        <v>5557</v>
      </c>
      <c r="E32" s="30">
        <f>HYPERLINK("https://secure.freee.co.jp/reports/general_ledgers/show?name=%E5%8F%97%E5%8F%96%E5%88%A9%E6%81%AF&amp;start_date=2026-01-01&amp;end_date=2026-01-31&amp;fiscal_year_id=10840688",4277)</f>
        <v>4277</v>
      </c>
      <c r="F32" s="37">
        <f>HYPERLINK("https://secure.freee.co.jp/reports/general_ledgers/show?name=%E5%8F%97%E5%8F%96%E5%88%A9%E6%81%AF&amp;start_date=2026-02-01&amp;end_date=2026-02-28&amp;fiscal_year_id=10840688",4290)</f>
        <v>4290</v>
      </c>
      <c r="G32" s="38">
        <f>SUM(B32:F32)</f>
        <v>25338</v>
      </c>
      <c r="H32" s="32" t="s">
        <v>396</v>
      </c>
    </row>
    <row r="33" spans="1:8" x14ac:dyDescent="0.25">
      <c r="A33" s="10" t="s">
        <v>490</v>
      </c>
      <c r="B33" s="40">
        <v>0</v>
      </c>
      <c r="C33" s="40">
        <v>0</v>
      </c>
      <c r="D33" s="40">
        <v>0</v>
      </c>
      <c r="E33" s="30">
        <f>HYPERLINK("https://secure.freee.co.jp/reports/general_ledgers/show?name=%E9%9B%91%E5%8F%8E%E5%85%A5&amp;start_date=2026-01-01&amp;end_date=2026-01-31&amp;fiscal_year_id=10840688",400000)</f>
        <v>400000</v>
      </c>
      <c r="F33" s="45">
        <v>0</v>
      </c>
      <c r="G33" s="38">
        <f>SUM(B33:F33)</f>
        <v>400000</v>
      </c>
      <c r="H33" s="32" t="s">
        <v>396</v>
      </c>
    </row>
    <row r="34" spans="1:8" x14ac:dyDescent="0.25">
      <c r="A34" s="10" t="s">
        <v>491</v>
      </c>
      <c r="B34" s="30">
        <v>5742</v>
      </c>
      <c r="C34" s="30">
        <v>5472</v>
      </c>
      <c r="D34" s="30">
        <v>5557</v>
      </c>
      <c r="E34" s="30">
        <v>404277</v>
      </c>
      <c r="F34" s="37">
        <v>4290</v>
      </c>
      <c r="G34" s="38">
        <f>SUM(B34:F34)</f>
        <v>425338</v>
      </c>
      <c r="H34" s="39"/>
    </row>
    <row r="35" spans="1:8" x14ac:dyDescent="0.25">
      <c r="A35" s="10" t="s">
        <v>492</v>
      </c>
      <c r="B35" s="30">
        <f>HYPERLINK("https://secure.freee.co.jp/reports/general_ledgers/show?name=%E6%94%AF%E6%89%95%E5%88%A9%E6%81%AF&amp;start_date=2025-10-01&amp;end_date=2025-10-31&amp;fiscal_year_id=10840688",11903)</f>
        <v>11903</v>
      </c>
      <c r="C35" s="45">
        <v>0</v>
      </c>
      <c r="D35" s="40">
        <v>0</v>
      </c>
      <c r="E35" s="40">
        <v>0</v>
      </c>
      <c r="F35" s="41">
        <v>0</v>
      </c>
      <c r="G35" s="38">
        <f>SUM(B35:F35)</f>
        <v>11903</v>
      </c>
      <c r="H35" s="32" t="s">
        <v>396</v>
      </c>
    </row>
    <row r="36" spans="1:8" x14ac:dyDescent="0.25">
      <c r="A36" s="10" t="s">
        <v>493</v>
      </c>
      <c r="B36" s="30">
        <v>11903</v>
      </c>
      <c r="C36" s="40">
        <v>0</v>
      </c>
      <c r="D36" s="40">
        <v>0</v>
      </c>
      <c r="E36" s="40">
        <v>0</v>
      </c>
      <c r="F36" s="41">
        <v>0</v>
      </c>
      <c r="G36" s="38">
        <f>SUM(B36:F36)</f>
        <v>11903</v>
      </c>
      <c r="H36" s="39"/>
    </row>
    <row r="37" spans="1:8" x14ac:dyDescent="0.25">
      <c r="A37" s="42" t="s">
        <v>494</v>
      </c>
      <c r="B37" s="43">
        <v>-147767</v>
      </c>
      <c r="C37" s="43">
        <v>604274</v>
      </c>
      <c r="D37" s="43">
        <v>-1720096</v>
      </c>
      <c r="E37" s="43">
        <v>7909385</v>
      </c>
      <c r="F37" s="43">
        <v>1486265</v>
      </c>
      <c r="G37" s="43">
        <f>SUM(B37:F37)</f>
        <v>8132061</v>
      </c>
      <c r="H37" s="44"/>
    </row>
    <row r="38" spans="1:8" x14ac:dyDescent="0.25">
      <c r="A38" s="10" t="s">
        <v>495</v>
      </c>
      <c r="B38" s="40">
        <v>0</v>
      </c>
      <c r="C38" s="40">
        <v>0</v>
      </c>
      <c r="D38" s="40">
        <v>0</v>
      </c>
      <c r="E38" s="40">
        <v>0</v>
      </c>
      <c r="F38" s="41">
        <v>0</v>
      </c>
      <c r="G38" s="38">
        <f>SUM(B38:F38)</f>
        <v>0</v>
      </c>
      <c r="H38" s="39"/>
    </row>
    <row r="39" spans="1:8" x14ac:dyDescent="0.25">
      <c r="A39" s="10" t="s">
        <v>496</v>
      </c>
      <c r="B39" s="40">
        <v>0</v>
      </c>
      <c r="C39" s="40">
        <v>0</v>
      </c>
      <c r="D39" s="40">
        <v>0</v>
      </c>
      <c r="E39" s="40">
        <v>0</v>
      </c>
      <c r="F39" s="41">
        <v>0</v>
      </c>
      <c r="G39" s="38">
        <f>SUM(B39:F39)</f>
        <v>0</v>
      </c>
      <c r="H39" s="39"/>
    </row>
    <row r="40" spans="1:8" x14ac:dyDescent="0.25">
      <c r="A40" s="42" t="s">
        <v>497</v>
      </c>
      <c r="B40" s="43">
        <v>-147767</v>
      </c>
      <c r="C40" s="43">
        <v>604274</v>
      </c>
      <c r="D40" s="43">
        <v>-1720096</v>
      </c>
      <c r="E40" s="43">
        <v>7909385</v>
      </c>
      <c r="F40" s="43">
        <v>1486265</v>
      </c>
      <c r="G40" s="43">
        <f>SUM(B40:F40)</f>
        <v>8132061</v>
      </c>
      <c r="H40" s="44"/>
    </row>
    <row r="41" spans="1:8" x14ac:dyDescent="0.25">
      <c r="A41" s="10" t="s">
        <v>498</v>
      </c>
      <c r="B41" s="30">
        <f>HYPERLINK("https://secure.freee.co.jp/reports/general_ledgers/show?name=%E6%B3%95%E4%BA%BA%E7%A8%8E%E3%83%BB%E4%BD%8F%E6%B0%91%E7%A8%8E%E5%8F%8A%E3%81%B3%E4%BA%8B%E6%A5%AD%E7%A8%8E&amp;start_date=2025-10-01&amp;end_date=2025-10-31&amp;fiscal_year_id=10840688",879)</f>
        <v>879</v>
      </c>
      <c r="C41" s="30">
        <f>HYPERLINK("https://secure.freee.co.jp/reports/general_ledgers/show?name=%E6%B3%95%E4%BA%BA%E7%A8%8E%E3%83%BB%E4%BD%8F%E6%B0%91%E7%A8%8E%E5%8F%8A%E3%81%B3%E4%BA%8B%E6%A5%AD%E7%A8%8E&amp;start_date=2025-11-01&amp;end_date=2025-11-30&amp;fiscal_year_id=10840688",838)</f>
        <v>838</v>
      </c>
      <c r="D41" s="30">
        <f>HYPERLINK("https://secure.freee.co.jp/reports/general_ledgers/show?name=%E6%B3%95%E4%BA%BA%E7%A8%8E%E3%83%BB%E4%BD%8F%E6%B0%91%E7%A8%8E%E5%8F%8A%E3%81%B3%E4%BA%8B%E6%A5%AD%E7%A8%8E&amp;start_date=2025-12-01&amp;end_date=2025-12-31&amp;fiscal_year_id=10840688",851)</f>
        <v>851</v>
      </c>
      <c r="E41" s="30">
        <f>HYPERLINK("https://secure.freee.co.jp/reports/general_ledgers/show?name=%E6%B3%95%E4%BA%BA%E7%A8%8E%E3%83%BB%E4%BD%8F%E6%B0%91%E7%A8%8E%E5%8F%8A%E3%81%B3%E4%BA%8B%E6%A5%AD%E7%A8%8E&amp;start_date=2026-01-01&amp;end_date=2026-01-31&amp;fiscal_year_id=10840688",655)</f>
        <v>655</v>
      </c>
      <c r="F41" s="37">
        <f>HYPERLINK("https://secure.freee.co.jp/reports/general_ledgers/show?name=%E6%B3%95%E4%BA%BA%E7%A8%8E%E3%83%BB%E4%BD%8F%E6%B0%91%E7%A8%8E%E5%8F%8A%E3%81%B3%E4%BA%8B%E6%A5%AD%E7%A8%8E&amp;start_date=2026-02-01&amp;end_date=2026-02-28&amp;fiscal_year_id=10840688",657)</f>
        <v>657</v>
      </c>
      <c r="G41" s="38">
        <f>SUM(B41:F41)</f>
        <v>3880</v>
      </c>
      <c r="H41" s="32" t="s">
        <v>396</v>
      </c>
    </row>
    <row r="42" spans="1:8" x14ac:dyDescent="0.25">
      <c r="A42" s="10" t="s">
        <v>499</v>
      </c>
      <c r="B42" s="30">
        <v>879</v>
      </c>
      <c r="C42" s="30">
        <v>838</v>
      </c>
      <c r="D42" s="30">
        <v>851</v>
      </c>
      <c r="E42" s="30">
        <v>655</v>
      </c>
      <c r="F42" s="37">
        <v>657</v>
      </c>
      <c r="G42" s="38">
        <f>SUM(B42:F42)</f>
        <v>3880</v>
      </c>
      <c r="H42" s="39"/>
    </row>
    <row r="43" spans="1:8" x14ac:dyDescent="0.25">
      <c r="A43" s="42" t="s">
        <v>500</v>
      </c>
      <c r="B43" s="43">
        <v>-148646</v>
      </c>
      <c r="C43" s="43">
        <v>603436</v>
      </c>
      <c r="D43" s="43">
        <v>-1720947</v>
      </c>
      <c r="E43" s="43">
        <v>7908730</v>
      </c>
      <c r="F43" s="43">
        <v>1485608</v>
      </c>
      <c r="G43" s="43">
        <f>SUM(B43:F43)</f>
        <v>8128181</v>
      </c>
      <c r="H43" s="44"/>
    </row>
  </sheetData>
  <mergeCells count="1">
    <mergeCell ref="A1:H1"/>
  </mergeCells>
  <hyperlinks>
    <hyperlink ref="H7" r:id="rId1"/>
    <hyperlink ref="H8" r:id="rId2"/>
    <hyperlink ref="H9" r:id="rId3"/>
    <hyperlink ref="H10" r:id="rId4"/>
    <hyperlink ref="H11" r:id="rId5"/>
    <hyperlink ref="H12" r:id="rId6"/>
    <hyperlink ref="H13" r:id="rId7"/>
    <hyperlink ref="H14" r:id="rId8"/>
    <hyperlink ref="H15" r:id="rId9"/>
    <hyperlink ref="H16" r:id="rId10"/>
    <hyperlink ref="H17" r:id="rId11"/>
    <hyperlink ref="H18" r:id="rId12"/>
    <hyperlink ref="H19" r:id="rId13"/>
    <hyperlink ref="H20" r:id="rId14"/>
    <hyperlink ref="H21" r:id="rId15"/>
    <hyperlink ref="H22" r:id="rId16"/>
    <hyperlink ref="H23" r:id="rId17"/>
    <hyperlink ref="H24" r:id="rId18"/>
    <hyperlink ref="H25" r:id="rId19"/>
    <hyperlink ref="H26" r:id="rId20"/>
    <hyperlink ref="H27" r:id="rId21"/>
    <hyperlink ref="H28" r:id="rId22"/>
    <hyperlink ref="H29" r:id="rId23"/>
    <hyperlink ref="H32" r:id="rId24"/>
    <hyperlink ref="H33" r:id="rId25"/>
    <hyperlink ref="H35" r:id="rId26"/>
    <hyperlink ref="H41" r:id="rId2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390</v>
      </c>
      <c r="B1" s="5" t="s">
        <v>501</v>
      </c>
      <c r="C1" s="5" t="s">
        <v>502</v>
      </c>
      <c r="D1" s="5" t="s">
        <v>503</v>
      </c>
    </row>
    <row r="2" spans="1:4" x14ac:dyDescent="0.25">
      <c r="A2" s="10" t="s">
        <v>404</v>
      </c>
      <c r="B2" s="10" t="s">
        <v>504</v>
      </c>
      <c r="C2" s="30">
        <v>16859895</v>
      </c>
      <c r="D2" s="10" t="s">
        <v>6</v>
      </c>
    </row>
    <row r="3" spans="1:4" x14ac:dyDescent="0.25">
      <c r="A3" s="10" t="s">
        <v>428</v>
      </c>
      <c r="B3" s="10" t="s">
        <v>505</v>
      </c>
      <c r="C3" s="30">
        <v>2471518</v>
      </c>
      <c r="D3" s="10" t="s">
        <v>6</v>
      </c>
    </row>
    <row r="4" spans="1:4" x14ac:dyDescent="0.25">
      <c r="A4" s="10" t="s">
        <v>428</v>
      </c>
      <c r="B4" s="10" t="s">
        <v>506</v>
      </c>
      <c r="C4" s="30">
        <v>401885</v>
      </c>
      <c r="D4" s="14" t="s">
        <v>507</v>
      </c>
    </row>
    <row r="5" spans="1:4" x14ac:dyDescent="0.25">
      <c r="A5" s="10" t="s">
        <v>404</v>
      </c>
      <c r="B5" s="10" t="s">
        <v>508</v>
      </c>
      <c r="C5" s="30">
        <v>300984</v>
      </c>
      <c r="D5" s="14" t="s">
        <v>507</v>
      </c>
    </row>
    <row r="6" spans="1:4" x14ac:dyDescent="0.25">
      <c r="A6" s="10" t="s">
        <v>404</v>
      </c>
      <c r="B6" s="10" t="s">
        <v>509</v>
      </c>
      <c r="C6" s="30">
        <v>91800</v>
      </c>
      <c r="D6" s="14" t="s">
        <v>507</v>
      </c>
    </row>
    <row r="7" spans="1:4" x14ac:dyDescent="0.25">
      <c r="A7" s="10" t="s">
        <v>404</v>
      </c>
      <c r="B7" s="10" t="s">
        <v>510</v>
      </c>
      <c r="C7" s="30">
        <v>11000</v>
      </c>
      <c r="D7" s="10" t="s">
        <v>6</v>
      </c>
    </row>
    <row r="8" spans="1:4" x14ac:dyDescent="0.25">
      <c r="A8" s="10" t="s">
        <v>404</v>
      </c>
      <c r="B8" s="10" t="s">
        <v>511</v>
      </c>
      <c r="C8" s="30">
        <v>0</v>
      </c>
      <c r="D8" s="10" t="s">
        <v>6</v>
      </c>
    </row>
    <row r="9" spans="1:4" x14ac:dyDescent="0.25">
      <c r="A9" s="10" t="s">
        <v>404</v>
      </c>
      <c r="B9" s="10" t="s">
        <v>512</v>
      </c>
      <c r="C9" s="30">
        <v>0</v>
      </c>
      <c r="D9" s="10" t="s">
        <v>6</v>
      </c>
    </row>
    <row r="10" spans="1:4" x14ac:dyDescent="0.25">
      <c r="A10" s="10" t="s">
        <v>404</v>
      </c>
      <c r="B10" s="10" t="s">
        <v>513</v>
      </c>
      <c r="C10" s="30">
        <v>0</v>
      </c>
      <c r="D10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2026-04-07T10:37:10Z</dcterms:created>
  <dcterms:modified xsi:type="dcterms:W3CDTF">2026-04-07T10:37:10Z</dcterms:modified>
</cp:coreProperties>
</file>