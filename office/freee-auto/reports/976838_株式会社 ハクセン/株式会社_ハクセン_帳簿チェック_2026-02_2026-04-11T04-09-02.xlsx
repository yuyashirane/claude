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<sst xmlns="http://schemas.openxmlformats.org/spreadsheetml/2006/main" count="1477" uniqueCount="483">
  <si>
    <t>株式会社 ハクセン 帳簿チェックレポート</t>
  </si>
  <si>
    <t>対象月</t>
  </si>
  <si>
    <t>2026年2月</t>
  </si>
  <si>
    <t>チェック実行日</t>
  </si>
  <si>
    <t>2026年4月11日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</si>
  <si>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</si>
  <si>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</si>
  <si>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</si>
  <si>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</si>
  <si>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</si>
  <si>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</si>
  <si>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</si>
  <si>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</si>
  <si>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</si>
  <si>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</si>
  <si>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</si>
  <si>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</si>
  <si>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</si>
  <si>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</si>
  <si>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</si>
  <si>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</si>
  <si>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</si>
  <si>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</si>
  <si>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</si>
  <si>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</si>
  <si>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</si>
  <si>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</si>
  <si>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</si>
  <si>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</si>
  <si>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</si>
  <si>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</si>
  <si>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</si>
  <si>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</si>
  <si>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</si>
  <si>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</si>
  <si>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</si>
  <si>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</si>
  <si>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</si>
  <si>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</si>
  <si>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</si>
  <si>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</si>
  <si>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</si>
  <si>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</si>
  <si>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</si>
  <si>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</si>
  <si>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</si>
  <si>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</si>
  <si>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</si>
  <si>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</si>
  <si>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</si>
  <si>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</si>
  <si>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</si>
  <si>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</si>
  <si>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</si>
  <si>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</si>
  <si>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</si>
  <si>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</si>
  <si>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</si>
  <si>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</si>
  <si>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</si>
  <si>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</si>
  <si>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</si>
  <si>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</si>
  <si>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</si>
  <si>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</si>
  <si>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</si>
  <si>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</si>
  <si>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</si>
  <si>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</si>
  <si>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</si>
  <si>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</si>
  <si>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</si>
  <si>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</si>
  <si>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</si>
  <si>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</si>
  <si>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</si>
  <si>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</si>
  <si>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</si>
  <si>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</si>
  <si>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</si>
  <si>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</si>
  <si>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</si>
  <si>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</si>
  <si>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</si>
  <si>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</si>
  <si>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</si>
  <si>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</si>
  <si>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</si>
  <si>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</si>
  <si>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</si>
  <si>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</si>
  <si>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</si>
  <si>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</si>
  <si>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</si>
  <si>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</si>
  <si>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</si>
  <si>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</si>
  <si>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</si>
  <si>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</si>
  <si>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</si>
  <si>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</si>
  <si>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</si>
  <si>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</si>
  <si>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</si>
  <si>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</si>
  <si>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</si>
  <si>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</si>
  <si>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</si>
  <si>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</si>
  <si>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</si>
  <si>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</si>
  <si>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</si>
  <si>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</si>
  <si>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</si>
  <si>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</si>
  <si>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</si>
  <si>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</si>
  <si>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</si>
  <si>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</si>
  <si>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</si>
  <si>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</si>
  <si>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</si>
  <si>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</si>
  <si>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</si>
  <si>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</si>
  <si>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</si>
  <si>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</si>
  <si>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</si>
  <si>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</si>
  <si>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</si>
  <si>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</si>
  <si>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</si>
  <si>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</si>
  <si>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</si>
  <si>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</si>
  <si>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</si>
  <si>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</si>
  <si>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</si>
  <si>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</si>
  <si>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</si>
  <si>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</si>
  <si>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</si>
  <si>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</si>
  <si>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</si>
  <si>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</si>
  <si>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</si>
  <si>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</si>
  <si>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</si>
  <si>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</si>
  <si>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</si>
  <si>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</si>
  <si>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</si>
  <si>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</si>
  <si>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</si>
  <si>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</si>
  <si>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</si>
  <si>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</si>
  <si>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</si>
  <si>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</si>
  <si>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</si>
  <si>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</si>
  <si>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</si>
  <si>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</si>
  <si>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</si>
  <si>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</si>
  <si>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</si>
  <si>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</si>
  <si>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</si>
  <si>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</si>
  <si>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</si>
  <si>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</si>
  <si>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</si>
  <si>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</si>
  <si>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</si>
  <si>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</si>
  <si>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</si>
  <si>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人件費</t>
  </si>
  <si>
    <t>役員報酬が前月と異なります。当月: 1,687,000円、前月平均: 1,659,364円（差額: +27,636円）。役員報酬は定期同額性（税務上の原則）を維持する必要があります。</t>
  </si>
  <si>
    <t>当月: 1,687,000円</t>
  </si>
  <si>
    <t>前月平均と同額の 1,659,364円 が正しいか確認してください</t>
  </si>
  <si>
    <t>freeeで確認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</si>
  <si>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</si>
  <si>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</si>
  <si>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</si>
  <si>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</si>
  <si>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2026-02-17 に同日・同額（110円）・同科目(ID:154855409)の取引が 2 件あります。重複計上の可能性があります。</t>
  </si>
  <si>
    <t>deal_id: 3443174993, 3442259661</t>
  </si>
  <si>
    <t>重複していないか確認してください</t>
  </si>
  <si>
    <t>2026-02-10 に同日・同額（440円）・同科目(ID:154855409)の取引が 4 件あります。重複計上の可能性があります。</t>
  </si>
  <si>
    <t>deal_id: 3443173246, 3443172643, 3443172246, 3443171940</t>
  </si>
  <si>
    <t>2026-02-10 に同日・同額（220円）・同科目(ID:154855409)の取引が 2 件あります。重複計上の可能性があります。</t>
  </si>
  <si>
    <t>deal_id: 3443172954, 3443172107</t>
  </si>
  <si>
    <t>現金・預金</t>
  </si>
  <si>
    <t>「現金」の残高が前月比61%減少しています（前月: 796,308円 → 当月: 309,103円）。</t>
  </si>
  <si>
    <t>309,103円</t>
  </si>
  <si>
    <t>大型入出金の内容を確認してください</t>
  </si>
  <si>
    <t>「【普通】三菱東京ＵＦＪ」の残高が前月比82%減少しています（前月: 5,597,995円 → 当月: 1,017,106円）。</t>
  </si>
  <si>
    <t>1,017,106円</t>
  </si>
  <si>
    <t>「【普通】江東信組」の残高が前月比183%増加しています（前月: 920,218円 → 当月: 2,607,023円）。</t>
  </si>
  <si>
    <t>2,607,023円</t>
  </si>
  <si>
    <t>借入金・リース</t>
  </si>
  <si>
    <t>「役員借入金」に品目タグなしの残高（4,980,445円）があります。どの借入先・リース契約に属するか不明です。</t>
  </si>
  <si>
    <t>未選択: 4,980,445円</t>
  </si>
  <si>
    <t>各借入先・リース契約ごとに品目タグを設定し、内訳を明確にしてください</t>
  </si>
  <si>
    <t>残高異常</t>
  </si>
  <si>
    <t>「前払費用」の残高 21,620円が前月から変動ありません（滞留の可能性）。</t>
  </si>
  <si>
    <t>21,620円（前月同額）</t>
  </si>
  <si>
    <t>回収・支払状況を確認し、必要に応じて貸倒処理や振替を検討してください</t>
  </si>
  <si>
    <t xml:space="preserve">　　取引先「信用保証協会」で滞留</t>
  </si>
  <si>
    <t>231,000円</t>
  </si>
  <si>
    <t>明細を開く</t>
  </si>
  <si>
    <t xml:space="preserve">　　取引先「江東信用組合」で滞留</t>
  </si>
  <si>
    <t>-122,833円</t>
  </si>
  <si>
    <t xml:space="preserve">　　取引先「三井住友銀行」で滞留</t>
  </si>
  <si>
    <t>-82,500円</t>
  </si>
  <si>
    <t xml:space="preserve">　　取引先「未選択」で滞留</t>
  </si>
  <si>
    <t>-4,047円</t>
  </si>
  <si>
    <t>「建物」の残高 1,168,111円が前月から変動ありません（滞留の可能性）。</t>
  </si>
  <si>
    <t>1,168,111円（前月同額）</t>
  </si>
  <si>
    <t>1,168,111円</t>
  </si>
  <si>
    <t>「附属設備」の残高 482,293円が前月から変動ありません（滞留の可能性）。</t>
  </si>
  <si>
    <t>482,293円（前月同額）</t>
  </si>
  <si>
    <t xml:space="preserve">　　取引先「㈱ユーワ電設」で滞留</t>
  </si>
  <si>
    <t>485,000円</t>
  </si>
  <si>
    <t>-2,707円</t>
  </si>
  <si>
    <t>「電話加入権」の残高 72,800円が前月から変動ありません（滞留の可能性）。</t>
  </si>
  <si>
    <t>72,800円（前月同額）</t>
  </si>
  <si>
    <t>72,800円</t>
  </si>
  <si>
    <t>「出資金」の残高 10,000円が前月から変動ありません（滞留の可能性）。</t>
  </si>
  <si>
    <t>10,000円（前月同額）</t>
  </si>
  <si>
    <t>10,000円</t>
  </si>
  <si>
    <t>「未払費用」の残高 1,126,000円が前月から変動ありません（滞留の可能性）。</t>
  </si>
  <si>
    <t>1,126,000円（前月同額）</t>
  </si>
  <si>
    <t>1,126,000円</t>
  </si>
  <si>
    <t>「別途積立金」の残高 1,000,000円が前月から変動ありません（滞留の可能性）。</t>
  </si>
  <si>
    <t>1,000,000円（前月同額）</t>
  </si>
  <si>
    <t>1,000,000円</t>
  </si>
  <si>
    <t>仮勘定「前受金」に 2,016,920円の残高があります。</t>
  </si>
  <si>
    <t>2,016,920円</t>
  </si>
  <si>
    <t>内容を確認し、適切な科目に振り替えてください</t>
  </si>
  <si>
    <t xml:space="preserve">　　[品目] 未選択</t>
  </si>
  <si>
    <t>「【普通】三菱東京ＵＦＪ」が前月比 82% 変動（5,597,995円 → 1,017,106円）。</t>
  </si>
  <si>
    <t>1,017,106円（前月: 5,597,995円、変動率: 82%）</t>
  </si>
  <si>
    <t>変動原因を確認してください</t>
  </si>
  <si>
    <t>「【普通】江東信組」が前月比 183% 変動（920,218円 → 2,607,023円）。</t>
  </si>
  <si>
    <t>2,607,023円（前月: 920,218円、変動率: 183%）</t>
  </si>
  <si>
    <t>「貯蔵品」が前月比 65% 変動（122,000円 → 200,888円）。</t>
  </si>
  <si>
    <t>200,888円（前月: 122,000円、変動率: 65%）</t>
  </si>
  <si>
    <t>「前受金」が前月比 182% 変動（716,080円 → 2,016,920円）。</t>
  </si>
  <si>
    <t>2,016,920円（前月: 716,080円、変動率: 182%）</t>
  </si>
  <si>
    <t>「預り金」が前月比 398% 変動（378,545円 → 1,885,601円）。 主な取引: 2026-02-17 237,200円 （不明）。</t>
  </si>
  <si>
    <t>1,885,601円（前月: 378,545円、変動率: 398%）</t>
  </si>
  <si>
    <t xml:space="preserve">　　2026-02-17  </t>
  </si>
  <si>
    <t>237,200円</t>
  </si>
  <si>
    <t>（不明）</t>
  </si>
  <si>
    <t>期間配分</t>
  </si>
  <si>
    <t>「前払費用」の残高 21,620円が前月から変動していません。月割償却が行われていない可能性があります。</t>
  </si>
  <si>
    <t>月割で前払費用を取り崩す仕訳を確認してください</t>
  </si>
  <si>
    <t xml:space="preserve">　　[品目] 自転車リサイクル</t>
  </si>
  <si>
    <t>21,620円</t>
  </si>
  <si>
    <t>「支払手数料」で以下の取引先への計上が当月ありません。計上漏れの可能性があります: 「セコム」（前月平均: 9,720円/月）</t>
  </si>
  <si>
    <t>当月 計上なし</t>
  </si>
  <si>
    <t>セコム: 約9,720円</t>
  </si>
  <si>
    <t>「通信費」で以下の取引先への計上が当月ありません。計上漏れの可能性があります: 「NTTファイナンス」（前月平均: 11,034円/月）、「ゆうせん」（前月平均: 6,380円/月）</t>
  </si>
  <si>
    <t>NTTファイナンス: 約11,034円、ゆうせん: 約6,380円</t>
  </si>
  <si>
    <t>「保険料」で以下の取引先への計上が当月ありません。計上漏れの可能性があります: 「三井住友海上」（前月平均: 10,769円/月）</t>
  </si>
  <si>
    <t>三井住友海上: 約10,769円</t>
  </si>
  <si>
    <t>消費税区分</t>
  </si>
  <si>
    <t>「仕入高」に2種類の税区分が混在しています（課対仕入10%: 32件、対象外: 1件）。</t>
  </si>
  <si>
    <t>2種類混在</t>
  </si>
  <si>
    <t>税区分ごとの内訳を確認してください</t>
  </si>
  <si>
    <t xml:space="preserve">　　課対仕入10%（32件・計23,325,121円）</t>
  </si>
  <si>
    <t>23,325,121円</t>
  </si>
  <si>
    <t xml:space="preserve">　　対象外（1件・計58,122円）</t>
  </si>
  <si>
    <t>58,122円</t>
  </si>
  <si>
    <t>「販売手数料」に3種類の税区分が混在しています（非課仕入: 7件、課対仕入10%: 5件、対象外: 3件）。</t>
  </si>
  <si>
    <t>3種類混在</t>
  </si>
  <si>
    <t xml:space="preserve">　　非課仕入（7件・計415,616円）</t>
  </si>
  <si>
    <t>415,616円</t>
  </si>
  <si>
    <t xml:space="preserve">　　課対仕入10%（5件・計1,593,416円）</t>
  </si>
  <si>
    <t>1,593,416円</t>
  </si>
  <si>
    <t xml:space="preserve">　　対象外（3件・計305,426円）</t>
  </si>
  <si>
    <t>305,426円</t>
  </si>
  <si>
    <t>「保険積立金」に2種類の税区分が混在しています（非課仕入: 1件、対象外: 1件）。</t>
  </si>
  <si>
    <t xml:space="preserve">　　非課仕入（1件・計80,000円）</t>
  </si>
  <si>
    <t>80,000円</t>
  </si>
  <si>
    <t xml:space="preserve">　　対象外（1件・計37,020円）</t>
  </si>
  <si>
    <t>37,020円</t>
  </si>
  <si>
    <t>源泉所得税</t>
  </si>
  <si>
    <t>預り金の残高が前月比で大幅に増加しています（378,545円 → 1,885,601円、増加1,507,056円）。源泉税の納付漏れの可能性があります。</t>
  </si>
  <si>
    <t>1,885,601円（前月: 378,545円）</t>
  </si>
  <si>
    <t>源泉所得税の納付状況を確認してください</t>
  </si>
  <si>
    <t>営業外・税金</t>
  </si>
  <si>
    <t>「雑収入」に5,481,524円が計上されています。内容を確認し、適切な科目で記録されているか確認してください。</t>
  </si>
  <si>
    <t>5,481,524円</t>
  </si>
  <si>
    <t>受取手数料・受取保険金等、適切な科目への振替を検討してください</t>
  </si>
  <si>
    <t>受取利息5,538円に対する源泉所得税（15.315%）の計上を確認してください。</t>
  </si>
  <si>
    <t>受取利息: 5,538円</t>
  </si>
  <si>
    <t>源泉税 約848円を「法人税・住民税及び事業税」または「仮払法人税等」で処理してください</t>
  </si>
  <si>
    <t>仕入・買掛金</t>
  </si>
  <si>
    <t>「役員賞与」が今月新たに計上されています（3,500,000円）。</t>
  </si>
  <si>
    <t>当月: 3,500,000円</t>
  </si>
  <si>
    <t>計上内容と金額の妥当性を確認してください</t>
  </si>
  <si>
    <t>「福利厚生費」が前月平均比 331%変動しています（当月: 17,268円、前月平均: 4,006円）。</t>
  </si>
  <si>
    <t>当月: 17,268円</t>
  </si>
  <si>
    <t>「事務用品費」が前月平均比 225%変動しています（当月: 17,050円、前月平均: 5,242円）。</t>
  </si>
  <si>
    <t>当月: 17,050円</t>
  </si>
  <si>
    <t>「減価償却費」が前月平均比 216%変動しています（当月: 82,622円、前月平均: 26,131円）。</t>
  </si>
  <si>
    <t>当月: 82,622円</t>
  </si>
  <si>
    <t>「旅費交通費」が前月平均比 89%変動しています（当月: 9,911円、前月平均: 86,558円）。</t>
  </si>
  <si>
    <t>当月: 9,911円</t>
  </si>
  <si>
    <t>「支払手数料」の取引先「三菱東京UFJ銀行」が前月平均比 96% 変動しています（前月平均: 16,334円 → 当月: 31,944円）。期間配分の観点から確認を推奨します。</t>
  </si>
  <si>
    <t>当月: 31,944円（前月平均: 16,334円）</t>
  </si>
  <si>
    <t>一時的な金額増減か、契約変更等によるものか確認してください</t>
  </si>
  <si>
    <t>「通信費」の取引先「ｿﾌﾄﾊﾞﾝｸﾃﾚｺﾑ」が前月平均比 109% 変動しています（前月平均: 18,316円 → 当月: 38,257円）。期間配分の観点から確認を推奨します。</t>
  </si>
  <si>
    <t>当月: 38,257円（前月平均: 18,316円）</t>
  </si>
  <si>
    <t>「水道光熱費」の取引先「VISAｶｰﾄﾞ（ﾋﾞｼﾞﾈｽｸﾗｼｯｸ）」が前月平均比 101% 変動しています（前月平均: 127,730円 → 当月: 257,340円）。期間配分の観点から確認を推奨します。</t>
  </si>
  <si>
    <t>当月: 257,340円（前月平均: 127,730円）</t>
  </si>
  <si>
    <t>100万円以上の課税仕入取引が6件（19,556,032円）あります。税区分の正確性を確認してください。</t>
  </si>
  <si>
    <t>6件（19,556,032円）</t>
  </si>
  <si>
    <t>税区分の正確性を確認</t>
  </si>
  <si>
    <t xml:space="preserve">　　2026-02-27  2025/11~12月分</t>
  </si>
  <si>
    <t>1,165,167円</t>
  </si>
  <si>
    <t>完成車売上高</t>
  </si>
  <si>
    <t xml:space="preserve">　　2026-02-27  </t>
  </si>
  <si>
    <t>1,379,114円</t>
  </si>
  <si>
    <t xml:space="preserve">　　2026-02-24  </t>
  </si>
  <si>
    <t>6,908,248円</t>
  </si>
  <si>
    <t xml:space="preserve">　　2026-02-12  </t>
  </si>
  <si>
    <t>2,574,563円</t>
  </si>
  <si>
    <t xml:space="preserve">　　2026-02-10  </t>
  </si>
  <si>
    <t>6,061,682円</t>
  </si>
  <si>
    <t xml:space="preserve">　　2026-02-06  </t>
  </si>
  <si>
    <t>1,467,258円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</si>
  <si>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</si>
  <si>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</si>
  <si>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</si>
  <si>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</si>
  <si>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</si>
  <si>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</si>
  <si>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</si>
  <si>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</si>
  <si>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</si>
  <si>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</si>
  <si>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</si>
  <si>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</si>
  <si>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</si>
  <si>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</si>
  <si>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</si>
  <si>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-61.2%</t>
  </si>
  <si>
    <t>△</t>
  </si>
  <si>
    <t>元帳を開く</t>
  </si>
  <si>
    <t>【当座】三菱東京ＵＦＪ</t>
  </si>
  <si>
    <t>47.5%</t>
  </si>
  <si>
    <t>【当座】三井住友</t>
  </si>
  <si>
    <t>4.9%</t>
  </si>
  <si>
    <t>【普通】三菱東京ＵＦＪ</t>
  </si>
  <si>
    <t>-81.8%</t>
  </si>
  <si>
    <t>【普通】江東信組</t>
  </si>
  <si>
    <t>183.3%</t>
  </si>
  <si>
    <t>ゆうちょ①</t>
  </si>
  <si>
    <t>49.4%</t>
  </si>
  <si>
    <t>ゆうちょ②</t>
  </si>
  <si>
    <t>0.0%</t>
  </si>
  <si>
    <t>三井住友（法人）</t>
  </si>
  <si>
    <t>定期積立金</t>
  </si>
  <si>
    <t>4.8%</t>
  </si>
  <si>
    <t>売掛金</t>
  </si>
  <si>
    <t>-16.6%</t>
  </si>
  <si>
    <t>商品</t>
  </si>
  <si>
    <t>-11.7%</t>
  </si>
  <si>
    <t>貯蔵品</t>
  </si>
  <si>
    <t>64.7%</t>
  </si>
  <si>
    <t>前払費用</t>
  </si>
  <si>
    <t>仮払金</t>
  </si>
  <si>
    <t>建物</t>
  </si>
  <si>
    <t>附属設備</t>
  </si>
  <si>
    <t>工具器具備品</t>
  </si>
  <si>
    <t>-23.8%</t>
  </si>
  <si>
    <t>減価償却累計額</t>
  </si>
  <si>
    <t>-9.1%</t>
  </si>
  <si>
    <t>電話加入権</t>
  </si>
  <si>
    <t>保険積立金</t>
  </si>
  <si>
    <t>0.8%</t>
  </si>
  <si>
    <t>出資金</t>
  </si>
  <si>
    <t>敷金</t>
  </si>
  <si>
    <t>差入保証金</t>
  </si>
  <si>
    <t>長期前払費用</t>
  </si>
  <si>
    <t>-2.9%</t>
  </si>
  <si>
    <t>資金諸口</t>
  </si>
  <si>
    <t>買掛金</t>
  </si>
  <si>
    <t>25.9%</t>
  </si>
  <si>
    <t>消費税引当���</t>
  </si>
  <si>
    <t>役員借入金</t>
  </si>
  <si>
    <t>-46.3%</t>
  </si>
  <si>
    <t>未払金</t>
  </si>
  <si>
    <t>6.9%</t>
  </si>
  <si>
    <t>未払費用</t>
  </si>
  <si>
    <t>未払法人税等</t>
  </si>
  <si>
    <t>未払消費税等</t>
  </si>
  <si>
    <t>前受金</t>
  </si>
  <si>
    <t>181.7%</t>
  </si>
  <si>
    <t>預り金</t>
  </si>
  <si>
    <t>398.1%</t>
  </si>
  <si>
    <t>長期借入金</t>
  </si>
  <si>
    <t>-5.5%</t>
  </si>
  <si>
    <t>資本金</t>
  </si>
  <si>
    <t>別途積立金</t>
  </si>
  <si>
    <t>繰越利益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</si>
  <si>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</si>
  <si>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</si>
  <si>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</si>
  <si>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</si>
  <si>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</si>
  <si>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</si>
  <si>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</si>
  <si>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</si>
  <si>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</si>
  <si>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</si>
  <si>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</si>
  <si>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</si>
  <si>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</si>
  <si>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</si>
  <si>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</si>
  <si>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</si>
  <si>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</si>
  <si>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</si>
  <si>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</si>
  <si>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</si>
  <si>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</si>
  <si>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</si>
  <si>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</si>
  <si>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荷造運賃</t>
  </si>
  <si>
    <t xml:space="preserve">  交際費</t>
  </si>
  <si>
    <t xml:space="preserve">  旅費交通費</t>
  </si>
  <si>
    <t xml:space="preserve">  通信費</t>
  </si>
  <si>
    <t xml:space="preserve">  販売手数料</t>
  </si>
  <si>
    <t xml:space="preserve">  消耗品費</t>
  </si>
  <si>
    <t xml:space="preserve">  事務用品費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</si>
  <si>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</si>
  <si>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</si>
  <si>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</si>
  <si>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</si>
  <si>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</si>
  <si>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</si>
  <si>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租税公課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</si>
  <si>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</si>
  <si>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</si>
  <si>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</si>
  <si>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</si>
  <si>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</si>
  <si>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</si>
  <si>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</si>
  <si>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</si>
  <si>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</si>
  <si>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</si>
  <si>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</si>
  <si>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</si>
  <si>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</si>
  <si>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</si>
  <si>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</si>
  <si>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</si>
  <si>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</si>
  <si>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</si>
  <si>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完成車売上高</t>
  </si>
  <si>
    <t xml:space="preserve">  パーツ売上高</t>
  </si>
  <si>
    <t xml:space="preserve">  期首商品棚卸高</t>
  </si>
  <si>
    <t xml:space="preserve">  仕入高</t>
  </si>
  <si>
    <t xml:space="preserve">  期末商品棚卸高</t>
  </si>
  <si>
    <t>取引先名</t>
  </si>
  <si>
    <t>残高</t>
  </si>
  <si>
    <t>滞留判定</t>
  </si>
  <si>
    <t>未選択</t>
  </si>
  <si>
    <t>楽天Ｒカード（ｲﾝﾀｰﾈｯﾄ販売分）</t>
  </si>
  <si>
    <t>JCB/ﾏｰﾁｬﾝｻﾎﾟｰﾄ</t>
  </si>
  <si>
    <t>楽天(株)</t>
  </si>
  <si>
    <t>ヤフー</t>
  </si>
  <si>
    <t>日本生命</t>
  </si>
  <si>
    <t>概算計上（未払運賃）</t>
  </si>
  <si>
    <t>日本年金機構　上野年金事務所</t>
  </si>
  <si>
    <t>三井住友銀行</t>
  </si>
  <si>
    <t>三菱東京UFJ銀行</t>
  </si>
  <si>
    <t>東京水道局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</si>
</sst>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3" Type="http://schemas.openxmlformats.org/officeDocument/2006/relationships/hyperlink" Target="https://secure.freee.co.jp/reports/general_ledgers/show?name=%E7%8F%BE%E9%87%91&amp;start_date=2026-02-01&amp;end_date=2026-02-28" TargetMode="External"/><Relationship Id="rId4" Type="http://schemas.openxmlformats.org/officeDocument/2006/relationships/hyperlink" Target="https://secure.freee.co.jp/reports/general_ledgers/show?name=%E3%80%90%E6%99%AE%E9%80%9A%E3%80%91%E4%B8%89%E8%8F%B1%E6%9D%B1%E4%BA%AC%EF%BC%B5%EF%BC%A6%EF%BC%AA&amp;start_date=2026-02-01&amp;end_date=2026-02-28" TargetMode="External"/><Relationship Id="rId5" Type="http://schemas.openxmlformats.org/officeDocument/2006/relationships/hyperlink" Target="https://secure.freee.co.jp/reports/general_ledgers/show?name=%E3%80%90%E6%99%AE%E9%80%9A%E3%80%91%E6%B1%9F%E6%9D%B1%E4%BF%A1%E7%B5%84&amp;start_date=2026-02-01&amp;end_date=2026-02-28" TargetMode="External"/><Relationship Id="rId6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7" Type="http://schemas.openxmlformats.org/officeDocument/2006/relationships/hyperlink" Target="https://secure.freee.co.jp/reports/journals?start_date=2020-03-01&amp;end_date=2026-02-28&amp;name=%E5%89%8D%E6%89%95%E8%B2%BB%E7%94%A8" TargetMode="External"/><Relationship Id="rId8" Type="http://schemas.openxmlformats.org/officeDocument/2006/relationships/hyperlink" Target="https://secure.freee.co.jp/reports/journals?start_date=2020-03-01&amp;end_date=2026-02-28&amp;name=%E5%89%8D%E6%89%95%E8%B2%BB%E7%94%A8&amp;partner_id=6872612" TargetMode="External"/><Relationship Id="rId9" Type="http://schemas.openxmlformats.org/officeDocument/2006/relationships/hyperlink" Target="https://secure.freee.co.jp/reports/journals?start_date=2020-03-01&amp;end_date=2026-02-28&amp;name=%E5%89%8D%E6%89%95%E8%B2%BB%E7%94%A8&amp;partner_id=6872499" TargetMode="External"/><Relationship Id="rId10" Type="http://schemas.openxmlformats.org/officeDocument/2006/relationships/hyperlink" Target="https://secure.freee.co.jp/reports/journals?start_date=2020-03-01&amp;end_date=2026-02-28&amp;name=%E5%89%8D%E6%89%95%E8%B2%BB%E7%94%A8&amp;partner_id=6872509" TargetMode="External"/><Relationship Id="rId11" Type="http://schemas.openxmlformats.org/officeDocument/2006/relationships/hyperlink" Target="https://secure.freee.co.jp/reports/journals?start_date=2020-03-01&amp;end_date=2026-02-28&amp;name=%E5%89%8D%E6%89%95%E8%B2%BB%E7%94%A8" TargetMode="External"/><Relationship Id="rId12" Type="http://schemas.openxmlformats.org/officeDocument/2006/relationships/hyperlink" Target="https://secure.freee.co.jp/reports/journals?start_date=2024-03-01&amp;end_date=2026-02-28&amp;name=%E5%BB%BA%E7%89%A9" TargetMode="External"/><Relationship Id="rId13" Type="http://schemas.openxmlformats.org/officeDocument/2006/relationships/hyperlink" Target="https://secure.freee.co.jp/reports/journals?start_date=2024-03-01&amp;end_date=2026-02-28&amp;name=%E5%BB%BA%E7%89%A9" TargetMode="External"/><Relationship Id="rId14" Type="http://schemas.openxmlformats.org/officeDocument/2006/relationships/hyperlink" Target="https://secure.freee.co.jp/reports/journals?start_date=2024-03-01&amp;end_date=2026-02-28&amp;name=%E9%99%84%E5%B1%9E%E8%A8%AD%E5%82%99" TargetMode="External"/><Relationship Id="rId15" Type="http://schemas.openxmlformats.org/officeDocument/2006/relationships/hyperlink" Target="https://secure.freee.co.jp/reports/journals?start_date=2024-03-01&amp;end_date=2026-02-28&amp;name=%E9%99%84%E5%B1%9E%E8%A8%AD%E5%82%99&amp;partner_id=78640821" TargetMode="External"/><Relationship Id="rId16" Type="http://schemas.openxmlformats.org/officeDocument/2006/relationships/hyperlink" Target="https://secure.freee.co.jp/reports/journals?start_date=2024-03-01&amp;end_date=2026-02-28&amp;name=%E9%99%84%E5%B1%9E%E8%A8%AD%E5%82%99" TargetMode="External"/><Relationship Id="rId17" Type="http://schemas.openxmlformats.org/officeDocument/2006/relationships/hyperlink" Target="https://secure.freee.co.jp/reports/journals?start_date=2020-03-01&amp;end_date=2026-02-28&amp;name=%E9%9B%BB%E8%A9%B1%E5%8A%A0%E5%85%A5%E6%A8%A9" TargetMode="External"/><Relationship Id="rId18" Type="http://schemas.openxmlformats.org/officeDocument/2006/relationships/hyperlink" Target="https://secure.freee.co.jp/reports/journals?start_date=2020-03-01&amp;end_date=2026-02-28&amp;name=%E9%9B%BB%E8%A9%B1%E5%8A%A0%E5%85%A5%E6%A8%A9" TargetMode="External"/><Relationship Id="rId19" Type="http://schemas.openxmlformats.org/officeDocument/2006/relationships/hyperlink" Target="https://secure.freee.co.jp/reports/journals?start_date=2020-03-01&amp;end_date=2026-02-28&amp;name=%E5%87%BA%E8%B3%87%E9%87%91" TargetMode="External"/><Relationship Id="rId20" Type="http://schemas.openxmlformats.org/officeDocument/2006/relationships/hyperlink" Target="https://secure.freee.co.jp/reports/journals?start_date=2020-03-01&amp;end_date=2026-02-28&amp;name=%E5%87%BA%E8%B3%87%E9%87%91" TargetMode="External"/><Relationship Id="rId21" Type="http://schemas.openxmlformats.org/officeDocument/2006/relationships/hyperlink" Target="https://secure.freee.co.jp/reports/journals?start_date=2020-03-01&amp;end_date=2026-02-28&amp;name=%E6%9C%AA%E6%89%95%E8%B2%BB%E7%94%A8" TargetMode="External"/><Relationship Id="rId22" Type="http://schemas.openxmlformats.org/officeDocument/2006/relationships/hyperlink" Target="https://secure.freee.co.jp/reports/journals?start_date=2020-03-01&amp;end_date=2026-02-28&amp;name=%E6%9C%AA%E6%89%95%E8%B2%BB%E7%94%A8" TargetMode="External"/><Relationship Id="rId23" Type="http://schemas.openxmlformats.org/officeDocument/2006/relationships/hyperlink" Target="https://secure.freee.co.jp/reports/journals?start_date=2020-03-01&amp;end_date=2026-02-28&amp;name=%E5%88%A5%E9%80%94%E7%A9%8D%E7%AB%8B%E9%87%91" TargetMode="External"/><Relationship Id="rId24" Type="http://schemas.openxmlformats.org/officeDocument/2006/relationships/hyperlink" Target="https://secure.freee.co.jp/reports/journals?start_date=2020-03-01&amp;end_date=2026-02-28&amp;name=%E5%88%A5%E9%80%94%E7%A9%8D%E7%AB%8B%E9%87%91" TargetMode="External"/><Relationship Id="rId25" Type="http://schemas.openxmlformats.org/officeDocument/2006/relationships/hyperlink" Target="https://secure.freee.co.jp/reports/general_ledgers/show?name=%E5%89%8D%E5%8F%97%E9%87%91&amp;start_date=2025-03-01&amp;end_date=2026-02-28&amp;fiscal_year_id=9766670" TargetMode="External"/><Relationship Id="rId26" Type="http://schemas.openxmlformats.org/officeDocument/2006/relationships/hyperlink" Target="https://secure.freee.co.jp/reports/general_ledgers/show?name=%E5%89%8D%E5%8F%97%E9%87%91&amp;start_date=2025-03-01&amp;end_date=2026-02-28&amp;fiscal_year_id=9766670" TargetMode="External"/><Relationship Id="rId27" Type="http://schemas.openxmlformats.org/officeDocument/2006/relationships/hyperlink" Target="https://secure.freee.co.jp/reports/general_ledgers/show?name=%E3%80%90%E6%99%AE%E9%80%9A%E3%80%91%E4%B8%89%E8%8F%B1%E6%9D%B1%E4%BA%AC%EF%BC%B5%EF%BC%A6%EF%BC%AA&amp;start_date=2026-02-01&amp;end_date=2026-02-28&amp;fiscal_year_id=9766670" TargetMode="External"/><Relationship Id="rId28" Type="http://schemas.openxmlformats.org/officeDocument/2006/relationships/hyperlink" Target="https://secure.freee.co.jp/reports/general_ledgers/show?name=%E3%80%90%E6%99%AE%E9%80%9A%E3%80%91%E6%B1%9F%E6%9D%B1%E4%BF%A1%E7%B5%84&amp;start_date=2026-02-01&amp;end_date=2026-02-28&amp;fiscal_year_id=9766670" TargetMode="External"/><Relationship Id="rId29" Type="http://schemas.openxmlformats.org/officeDocument/2006/relationships/hyperlink" Target="https://secure.freee.co.jp/reports/general_ledgers/show?name=%E8%B2%AF%E8%94%B5%E5%93%81&amp;start_date=2026-02-01&amp;end_date=2026-02-28&amp;fiscal_year_id=9766670" TargetMode="External"/><Relationship Id="rId30" Type="http://schemas.openxmlformats.org/officeDocument/2006/relationships/hyperlink" Target="https://secure.freee.co.jp/reports/general_ledgers/show?name=%E5%89%8D%E5%8F%97%E9%87%91&amp;start_date=2026-02-01&amp;end_date=2026-02-28&amp;fiscal_year_id=9766670" TargetMode="External"/><Relationship Id="rId31" Type="http://schemas.openxmlformats.org/officeDocument/2006/relationships/hyperlink" Target="https://secure.freee.co.jp/reports/general_ledgers/show?name=%E9%A0%90%E3%82%8A%E9%87%91&amp;start_date=2026-02-01&amp;end_date=2026-02-28&amp;fiscal_year_id=9766670" TargetMode="External"/><Relationship Id="rId32" Type="http://schemas.openxmlformats.org/officeDocument/2006/relationships/hyperlink" Target="https://secure.freee.co.jp/reports/journals?deal_id=3443111591" TargetMode="External"/><Relationship Id="rId33" Type="http://schemas.openxmlformats.org/officeDocument/2006/relationships/hyperlink" Target="https://secure.freee.co.jp/reports/journals?start_date=2020-03-01&amp;end_date=2026-02-28&amp;name=%E5%89%8D%E6%89%95%E8%B2%BB%E7%94%A8" TargetMode="External"/><Relationship Id="rId34" Type="http://schemas.openxmlformats.org/officeDocument/2006/relationships/hyperlink" Target="https://secure.freee.co.jp/reports/journals?start_date=2020-03-01&amp;end_date=2026-02-28&amp;name=%E5%89%8D%E6%89%95%E8%B2%BB%E7%94%A8" TargetMode="External"/><Relationship Id="rId3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36" Type="http://schemas.openxmlformats.org/officeDocument/2006/relationships/hyperlink" Target="https://secure.freee.co.jp/reports/journals?start_date=2025-03-01&amp;end_date=2026-02-28&amp;name=%E9%80%9A%E4%BF%A1%E8%B2%BB" TargetMode="External"/><Relationship Id="rId37" Type="http://schemas.openxmlformats.org/officeDocument/2006/relationships/hyperlink" Target="https://secure.freee.co.jp/reports/journals?start_date=2025-03-01&amp;end_date=2026-02-28&amp;name=%E4%BF%9D%E9%99%BA%E6%96%99" TargetMode="External"/><Relationship Id="rId38" Type="http://schemas.openxmlformats.org/officeDocument/2006/relationships/hyperlink" Target="https://secure.freee.co.jp/reports/general_ledgers/show?name=%E4%BB%95%E5%85%A5%E9%AB%98&amp;start_date=2026-02-01&amp;end_date=2026-02-28&amp;fiscal_year_id=9766670" TargetMode="External"/><Relationship Id="rId39" Type="http://schemas.openxmlformats.org/officeDocument/2006/relationships/hyperlink" Target="https://secure.freee.co.jp/reports/general_ledgers/show?name=%E4%BB%95%E5%85%A5%E9%AB%98&amp;start_date=2026-02-01&amp;end_date=2026-02-28&amp;fiscal_year_id=9766670&amp;tax_group_codes=34&amp;tax_rate=10&amp;tax_reduced=false" TargetMode="External"/><Relationship Id="rId40" Type="http://schemas.openxmlformats.org/officeDocument/2006/relationships/hyperlink" Target="https://secure.freee.co.jp/reports/general_ledgers/show?name=%E4%BB%95%E5%85%A5%E9%AB%98&amp;start_date=2026-02-01&amp;end_date=2026-02-28&amp;fiscal_year_id=9766670&amp;tax_group_codes=0" TargetMode="External"/><Relationship Id="rId41" Type="http://schemas.openxmlformats.org/officeDocument/2006/relationships/hyperlink" Target="https://secure.freee.co.jp/reports/general_ledgers/show?name=%E8%B2%A9%E5%A3%B2%E6%89%8B%E6%95%B0%E6%96%99&amp;start_date=2026-02-01&amp;end_date=2026-02-28&amp;fiscal_year_id=9766670" TargetMode="External"/><Relationship Id="rId42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37" TargetMode="External"/><Relationship Id="rId43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34&amp;tax_rate=10&amp;tax_reduced=false" TargetMode="External"/><Relationship Id="rId44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0" TargetMode="External"/><Relationship Id="rId45" Type="http://schemas.openxmlformats.org/officeDocument/2006/relationships/hyperlink" Target="https://secure.freee.co.jp/reports/general_ledgers/show?name=%E4%BF%9D%E9%99%BA%E7%A9%8D%E7%AB%8B%E9%87%91&amp;start_date=2026-02-01&amp;end_date=2026-02-28&amp;fiscal_year_id=9766670" TargetMode="External"/><Relationship Id="rId46" Type="http://schemas.openxmlformats.org/officeDocument/2006/relationships/hyperlink" Target="https://secure.freee.co.jp/reports/general_ledgers/show?name=%E4%BF%9D%E9%99%BA%E7%A9%8D%E7%AB%8B%E9%87%91&amp;start_date=2026-02-01&amp;end_date=2026-02-28&amp;fiscal_year_id=9766670&amp;tax_group_codes=37" TargetMode="External"/><Relationship Id="rId47" Type="http://schemas.openxmlformats.org/officeDocument/2006/relationships/hyperlink" Target="https://secure.freee.co.jp/reports/general_ledgers/show?name=%E4%BF%9D%E9%99%BA%E7%A9%8D%E7%AB%8B%E9%87%91&amp;start_date=2026-02-01&amp;end_date=2026-02-28&amp;fiscal_year_id=9766670&amp;tax_group_codes=0" TargetMode="External"/><Relationship Id="rId48" Type="http://schemas.openxmlformats.org/officeDocument/2006/relationships/hyperlink" Target="https://secure.freee.co.jp/reports/general_ledgers/show?name=%E9%A0%90%E3%82%8A%E9%87%91&amp;start_date=2026-02-01&amp;end_date=2026-02-28&amp;fiscal_year_id=9766670" TargetMode="External"/><Relationship Id="rId49" Type="http://schemas.openxmlformats.org/officeDocument/2006/relationships/hyperlink" Target="https://secure.freee.co.jp/reports/general_ledgers/show?name=%E9%9B%91%E5%8F%8E%E5%85%A5&amp;start_date=2026-02-01&amp;end_date=2026-02-28" TargetMode="External"/><Relationship Id="rId50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51" Type="http://schemas.openxmlformats.org/officeDocument/2006/relationships/hyperlink" Target="https://secure.freee.co.jp/reports/general_ledgers/show?name=%E7%A6%8F%E5%88%A9%E5%8E%9A%E7%94%9F%E8%B2%BB&amp;start_date=2026-02-01&amp;end_date=2026-02-28" TargetMode="External"/><Relationship Id="rId52" Type="http://schemas.openxmlformats.org/officeDocument/2006/relationships/hyperlink" Target="https://secure.freee.co.jp/reports/general_ledgers/show?name=%E4%BA%8B%E5%8B%99%E7%94%A8%E5%93%81%E8%B2%BB&amp;start_date=2026-02-01&amp;end_date=2026-02-28" TargetMode="External"/><Relationship Id="rId53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54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5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56" Type="http://schemas.openxmlformats.org/officeDocument/2006/relationships/hyperlink" Target="https://secure.freee.co.jp/reports/journals?start_date=2025-03-01&amp;end_date=2026-02-28&amp;name=%E9%80%9A%E4%BF%A1%E8%B2%BB" TargetMode="External"/><Relationship Id="rId57" Type="http://schemas.openxmlformats.org/officeDocument/2006/relationships/hyperlink" Target="https://secure.freee.co.jp/reports/journals?start_date=2025-03-01&amp;end_date=2026-02-28&amp;name=%E6%B0%B4%E9%81%93%E5%85%89%E7%86%B1%E8%B2%BB" TargetMode="External"/><Relationship Id="rId58" Type="http://schemas.openxmlformats.org/officeDocument/2006/relationships/hyperlink" Target="https://secure.freee.co.jp/reports/journals?deal_id=3443220910" TargetMode="External"/><Relationship Id="rId59" Type="http://schemas.openxmlformats.org/officeDocument/2006/relationships/hyperlink" Target="https://secure.freee.co.jp/reports/journals?deal_id=3443193387" TargetMode="External"/><Relationship Id="rId60" Type="http://schemas.openxmlformats.org/officeDocument/2006/relationships/hyperlink" Target="https://secure.freee.co.jp/reports/journals?deal_id=3443176707" TargetMode="External"/><Relationship Id="rId61" Type="http://schemas.openxmlformats.org/officeDocument/2006/relationships/hyperlink" Target="https://secure.freee.co.jp/reports/journals?deal_id=3443176684" TargetMode="External"/><Relationship Id="rId62" Type="http://schemas.openxmlformats.org/officeDocument/2006/relationships/hyperlink" Target="https://secure.freee.co.jp/reports/journals?deal_id=3443181042" TargetMode="External"/><Relationship Id="rId63" Type="http://schemas.openxmlformats.org/officeDocument/2006/relationships/hyperlink" Target="https://secure.freee.co.jp/reports/journals?deal_id=327445044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4%BB%95%E5%85%A5%E9%AB%98&amp;start_date=2026-02-01&amp;end_date=2026-02-28&amp;fiscal_year_id=9766670" TargetMode="External"/><Relationship Id="rId2" Type="http://schemas.openxmlformats.org/officeDocument/2006/relationships/hyperlink" Target="https://secure.freee.co.jp/reports/general_ledgers/show?name=%E4%BB%95%E5%85%A5%E9%AB%98&amp;start_date=2026-02-01&amp;end_date=2026-02-28&amp;fiscal_year_id=9766670&amp;tax_group_codes=34&amp;tax_rate=10&amp;tax_reduced=false" TargetMode="External"/><Relationship Id="rId3" Type="http://schemas.openxmlformats.org/officeDocument/2006/relationships/hyperlink" Target="https://secure.freee.co.jp/reports/general_ledgers/show?name=%E4%BB%95%E5%85%A5%E9%AB%98&amp;start_date=2026-02-01&amp;end_date=2026-02-28&amp;fiscal_year_id=9766670&amp;tax_group_codes=0" TargetMode="External"/><Relationship Id="rId4" Type="http://schemas.openxmlformats.org/officeDocument/2006/relationships/hyperlink" Target="https://secure.freee.co.jp/reports/general_ledgers/show?name=%E8%B2%A9%E5%A3%B2%E6%89%8B%E6%95%B0%E6%96%99&amp;start_date=2026-02-01&amp;end_date=2026-02-28&amp;fiscal_year_id=9766670" TargetMode="External"/><Relationship Id="rId5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37" TargetMode="External"/><Relationship Id="rId6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34&amp;tax_rate=10&amp;tax_reduced=false" TargetMode="External"/><Relationship Id="rId7" Type="http://schemas.openxmlformats.org/officeDocument/2006/relationships/hyperlink" Target="https://secure.freee.co.jp/reports/general_ledgers/show?name=%E8%B2%A9%E5%A3%B2%E6%89%8B%E6%95%B0%E6%96%99&amp;start_date=2026-02-01&amp;end_date=2026-02-28&amp;fiscal_year_id=9766670&amp;tax_group_codes=0" TargetMode="External"/><Relationship Id="rId8" Type="http://schemas.openxmlformats.org/officeDocument/2006/relationships/hyperlink" Target="https://secure.freee.co.jp/reports/general_ledgers/show?name=%E4%BF%9D%E9%99%BA%E7%A9%8D%E7%AB%8B%E9%87%91&amp;start_date=2026-02-01&amp;end_date=2026-02-28&amp;fiscal_year_id=9766670" TargetMode="External"/><Relationship Id="rId9" Type="http://schemas.openxmlformats.org/officeDocument/2006/relationships/hyperlink" Target="https://secure.freee.co.jp/reports/general_ledgers/show?name=%E4%BF%9D%E9%99%BA%E7%A9%8D%E7%AB%8B%E9%87%91&amp;start_date=2026-02-01&amp;end_date=2026-02-28&amp;fiscal_year_id=9766670&amp;tax_group_codes=37" TargetMode="External"/><Relationship Id="rId10" Type="http://schemas.openxmlformats.org/officeDocument/2006/relationships/hyperlink" Target="https://secure.freee.co.jp/reports/general_ledgers/show?name=%E4%BF%9D%E9%99%BA%E7%A9%8D%E7%AB%8B%E9%87%91&amp;start_date=2026-02-01&amp;end_date=2026-02-28&amp;fiscal_year_id=9766670&amp;tax_group_codes=0" TargetMode="External"/><Relationship Id="rId11" Type="http://schemas.openxmlformats.org/officeDocument/2006/relationships/hyperlink" Target="https://secure.freee.co.jp/reports/journals?deal_id=3443220910" TargetMode="External"/><Relationship Id="rId12" Type="http://schemas.openxmlformats.org/officeDocument/2006/relationships/hyperlink" Target="https://secure.freee.co.jp/reports/journals?deal_id=3443193387" TargetMode="External"/><Relationship Id="rId13" Type="http://schemas.openxmlformats.org/officeDocument/2006/relationships/hyperlink" Target="https://secure.freee.co.jp/reports/journals?deal_id=3443176707" TargetMode="External"/><Relationship Id="rId14" Type="http://schemas.openxmlformats.org/officeDocument/2006/relationships/hyperlink" Target="https://secure.freee.co.jp/reports/journals?deal_id=3443176684" TargetMode="External"/><Relationship Id="rId15" Type="http://schemas.openxmlformats.org/officeDocument/2006/relationships/hyperlink" Target="https://secure.freee.co.jp/reports/journals?deal_id=3443181042" TargetMode="External"/><Relationship Id="rId16" Type="http://schemas.openxmlformats.org/officeDocument/2006/relationships/hyperlink" Target="https://secure.freee.co.jp/reports/journals?deal_id=327445044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6667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6-02-01&amp;end_date=2026-02-28" TargetMode="External"/><Relationship Id="rId2" Type="http://schemas.openxmlformats.org/officeDocument/2006/relationships/hyperlink" Target="https://secure.freee.co.jp/reports/general_ledgers/show?name=%E3%80%90%E6%99%AE%E9%80%9A%E3%80%91%E4%B8%89%E8%8F%B1%E6%9D%B1%E4%BA%AC%EF%BC%B5%EF%BC%A6%EF%BC%AA&amp;start_date=2026-02-01&amp;end_date=2026-02-28" TargetMode="External"/><Relationship Id="rId3" Type="http://schemas.openxmlformats.org/officeDocument/2006/relationships/hyperlink" Target="https://secure.freee.co.jp/reports/general_ledgers/show?name=%E3%80%90%E6%99%AE%E9%80%9A%E3%80%91%E6%B1%9F%E6%9D%B1%E4%BF%A1%E7%B5%84&amp;start_date=2026-02-01&amp;end_date=2026-02-28" TargetMode="External"/><Relationship Id="rId4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5" Type="http://schemas.openxmlformats.org/officeDocument/2006/relationships/hyperlink" Target="https://secure.freee.co.jp/reports/journals?start_date=2020-03-01&amp;end_date=2026-02-28&amp;name=%E5%89%8D%E6%89%95%E8%B2%BB%E7%94%A8" TargetMode="External"/><Relationship Id="rId6" Type="http://schemas.openxmlformats.org/officeDocument/2006/relationships/hyperlink" Target="https://secure.freee.co.jp/reports/journals?start_date=2020-03-01&amp;end_date=2026-02-28&amp;name=%E5%89%8D%E6%89%95%E8%B2%BB%E7%94%A8&amp;partner_id=6872612" TargetMode="External"/><Relationship Id="rId7" Type="http://schemas.openxmlformats.org/officeDocument/2006/relationships/hyperlink" Target="https://secure.freee.co.jp/reports/journals?start_date=2020-03-01&amp;end_date=2026-02-28&amp;name=%E5%89%8D%E6%89%95%E8%B2%BB%E7%94%A8&amp;partner_id=6872499" TargetMode="External"/><Relationship Id="rId8" Type="http://schemas.openxmlformats.org/officeDocument/2006/relationships/hyperlink" Target="https://secure.freee.co.jp/reports/journals?start_date=2020-03-01&amp;end_date=2026-02-28&amp;name=%E5%89%8D%E6%89%95%E8%B2%BB%E7%94%A8&amp;partner_id=6872509" TargetMode="External"/><Relationship Id="rId9" Type="http://schemas.openxmlformats.org/officeDocument/2006/relationships/hyperlink" Target="https://secure.freee.co.jp/reports/journals?start_date=2020-03-01&amp;end_date=2026-02-28&amp;name=%E5%89%8D%E6%89%95%E8%B2%BB%E7%94%A8" TargetMode="External"/><Relationship Id="rId10" Type="http://schemas.openxmlformats.org/officeDocument/2006/relationships/hyperlink" Target="https://secure.freee.co.jp/reports/journals?start_date=2024-03-01&amp;end_date=2026-02-28&amp;name=%E5%BB%BA%E7%89%A9" TargetMode="External"/><Relationship Id="rId11" Type="http://schemas.openxmlformats.org/officeDocument/2006/relationships/hyperlink" Target="https://secure.freee.co.jp/reports/journals?start_date=2024-03-01&amp;end_date=2026-02-28&amp;name=%E5%BB%BA%E7%89%A9" TargetMode="External"/><Relationship Id="rId12" Type="http://schemas.openxmlformats.org/officeDocument/2006/relationships/hyperlink" Target="https://secure.freee.co.jp/reports/journals?start_date=2024-03-01&amp;end_date=2026-02-28&amp;name=%E9%99%84%E5%B1%9E%E8%A8%AD%E5%82%99" TargetMode="External"/><Relationship Id="rId13" Type="http://schemas.openxmlformats.org/officeDocument/2006/relationships/hyperlink" Target="https://secure.freee.co.jp/reports/journals?start_date=2024-03-01&amp;end_date=2026-02-28&amp;name=%E9%99%84%E5%B1%9E%E8%A8%AD%E5%82%99&amp;partner_id=78640821" TargetMode="External"/><Relationship Id="rId14" Type="http://schemas.openxmlformats.org/officeDocument/2006/relationships/hyperlink" Target="https://secure.freee.co.jp/reports/journals?start_date=2024-03-01&amp;end_date=2026-02-28&amp;name=%E9%99%84%E5%B1%9E%E8%A8%AD%E5%82%99" TargetMode="External"/><Relationship Id="rId15" Type="http://schemas.openxmlformats.org/officeDocument/2006/relationships/hyperlink" Target="https://secure.freee.co.jp/reports/journals?start_date=2020-03-01&amp;end_date=2026-02-28&amp;name=%E9%9B%BB%E8%A9%B1%E5%8A%A0%E5%85%A5%E6%A8%A9" TargetMode="External"/><Relationship Id="rId16" Type="http://schemas.openxmlformats.org/officeDocument/2006/relationships/hyperlink" Target="https://secure.freee.co.jp/reports/journals?start_date=2020-03-01&amp;end_date=2026-02-28&amp;name=%E9%9B%BB%E8%A9%B1%E5%8A%A0%E5%85%A5%E6%A8%A9" TargetMode="External"/><Relationship Id="rId17" Type="http://schemas.openxmlformats.org/officeDocument/2006/relationships/hyperlink" Target="https://secure.freee.co.jp/reports/journals?start_date=2020-03-01&amp;end_date=2026-02-28&amp;name=%E5%87%BA%E8%B3%87%E9%87%91" TargetMode="External"/><Relationship Id="rId18" Type="http://schemas.openxmlformats.org/officeDocument/2006/relationships/hyperlink" Target="https://secure.freee.co.jp/reports/journals?start_date=2020-03-01&amp;end_date=2026-02-28&amp;name=%E5%87%BA%E8%B3%87%E9%87%91" TargetMode="External"/><Relationship Id="rId19" Type="http://schemas.openxmlformats.org/officeDocument/2006/relationships/hyperlink" Target="https://secure.freee.co.jp/reports/journals?start_date=2020-03-01&amp;end_date=2026-02-28&amp;name=%E6%9C%AA%E6%89%95%E8%B2%BB%E7%94%A8" TargetMode="External"/><Relationship Id="rId20" Type="http://schemas.openxmlformats.org/officeDocument/2006/relationships/hyperlink" Target="https://secure.freee.co.jp/reports/journals?start_date=2020-03-01&amp;end_date=2026-02-28&amp;name=%E6%9C%AA%E6%89%95%E8%B2%BB%E7%94%A8" TargetMode="External"/><Relationship Id="rId21" Type="http://schemas.openxmlformats.org/officeDocument/2006/relationships/hyperlink" Target="https://secure.freee.co.jp/reports/journals?start_date=2020-03-01&amp;end_date=2026-02-28&amp;name=%E5%88%A5%E9%80%94%E7%A9%8D%E7%AB%8B%E9%87%91" TargetMode="External"/><Relationship Id="rId22" Type="http://schemas.openxmlformats.org/officeDocument/2006/relationships/hyperlink" Target="https://secure.freee.co.jp/reports/journals?start_date=2020-03-01&amp;end_date=2026-02-28&amp;name=%E5%88%A5%E9%80%94%E7%A9%8D%E7%AB%8B%E9%87%91" TargetMode="External"/><Relationship Id="rId23" Type="http://schemas.openxmlformats.org/officeDocument/2006/relationships/hyperlink" Target="https://secure.freee.co.jp/reports/general_ledgers/show?name=%E5%89%8D%E5%8F%97%E9%87%91&amp;start_date=2025-03-01&amp;end_date=2026-02-28&amp;fiscal_year_id=9766670" TargetMode="External"/><Relationship Id="rId24" Type="http://schemas.openxmlformats.org/officeDocument/2006/relationships/hyperlink" Target="https://secure.freee.co.jp/reports/general_ledgers/show?name=%E5%89%8D%E5%8F%97%E9%87%91&amp;start_date=2025-03-01&amp;end_date=2026-02-28&amp;fiscal_year_id=9766670" TargetMode="External"/><Relationship Id="rId25" Type="http://schemas.openxmlformats.org/officeDocument/2006/relationships/hyperlink" Target="https://secure.freee.co.jp/reports/general_ledgers/show?name=%E3%80%90%E6%99%AE%E9%80%9A%E3%80%91%E4%B8%89%E8%8F%B1%E6%9D%B1%E4%BA%AC%EF%BC%B5%EF%BC%A6%EF%BC%AA&amp;start_date=2026-02-01&amp;end_date=2026-02-28&amp;fiscal_year_id=9766670" TargetMode="External"/><Relationship Id="rId26" Type="http://schemas.openxmlformats.org/officeDocument/2006/relationships/hyperlink" Target="https://secure.freee.co.jp/reports/general_ledgers/show?name=%E3%80%90%E6%99%AE%E9%80%9A%E3%80%91%E6%B1%9F%E6%9D%B1%E4%BF%A1%E7%B5%84&amp;start_date=2026-02-01&amp;end_date=2026-02-28&amp;fiscal_year_id=9766670" TargetMode="External"/><Relationship Id="rId27" Type="http://schemas.openxmlformats.org/officeDocument/2006/relationships/hyperlink" Target="https://secure.freee.co.jp/reports/general_ledgers/show?name=%E8%B2%AF%E8%94%B5%E5%93%81&amp;start_date=2026-02-01&amp;end_date=2026-02-28&amp;fiscal_year_id=9766670" TargetMode="External"/><Relationship Id="rId28" Type="http://schemas.openxmlformats.org/officeDocument/2006/relationships/hyperlink" Target="https://secure.freee.co.jp/reports/general_ledgers/show?name=%E5%89%8D%E5%8F%97%E9%87%91&amp;start_date=2026-02-01&amp;end_date=2026-02-28&amp;fiscal_year_id=9766670" TargetMode="External"/><Relationship Id="rId29" Type="http://schemas.openxmlformats.org/officeDocument/2006/relationships/hyperlink" Target="https://secure.freee.co.jp/reports/general_ledgers/show?name=%E9%A0%90%E3%82%8A%E9%87%91&amp;start_date=2026-02-01&amp;end_date=2026-02-28&amp;fiscal_year_id=9766670" TargetMode="External"/><Relationship Id="rId30" Type="http://schemas.openxmlformats.org/officeDocument/2006/relationships/hyperlink" Target="https://secure.freee.co.jp/reports/journals?deal_id=34431115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journals?start_date=2020-03-01&amp;end_date=2026-02-28&amp;name=%E5%89%8D%E6%89%95%E8%B2%BB%E7%94%A8" TargetMode="External"/><Relationship Id="rId3" Type="http://schemas.openxmlformats.org/officeDocument/2006/relationships/hyperlink" Target="https://secure.freee.co.jp/reports/journals?start_date=2020-03-01&amp;end_date=2026-02-28&amp;name=%E5%89%8D%E6%89%95%E8%B2%BB%E7%94%A8" TargetMode="External"/><Relationship Id="rId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5" Type="http://schemas.openxmlformats.org/officeDocument/2006/relationships/hyperlink" Target="https://secure.freee.co.jp/reports/journals?start_date=2025-03-01&amp;end_date=2026-02-28&amp;name=%E9%80%9A%E4%BF%A1%E8%B2%BB" TargetMode="External"/><Relationship Id="rId6" Type="http://schemas.openxmlformats.org/officeDocument/2006/relationships/hyperlink" Target="https://secure.freee.co.jp/reports/journals?start_date=2025-03-01&amp;end_date=2026-02-28&amp;name=%E4%BF%9D%E9%99%BA%E6%96%99" TargetMode="External"/><Relationship Id="rId7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8" Type="http://schemas.openxmlformats.org/officeDocument/2006/relationships/hyperlink" Target="https://secure.freee.co.jp/reports/general_ledgers/show?name=%E7%A6%8F%E5%88%A9%E5%8E%9A%E7%94%9F%E8%B2%BB&amp;start_date=2026-02-01&amp;end_date=2026-02-28" TargetMode="External"/><Relationship Id="rId9" Type="http://schemas.openxmlformats.org/officeDocument/2006/relationships/hyperlink" Target="https://secure.freee.co.jp/reports/general_ledgers/show?name=%E4%BA%8B%E5%8B%99%E7%94%A8%E5%93%81%E8%B2%BB&amp;start_date=2026-02-01&amp;end_date=2026-02-28" TargetMode="External"/><Relationship Id="rId10" Type="http://schemas.openxmlformats.org/officeDocument/2006/relationships/hyperlink" Target="https://secure.freee.co.jp/reports/general_ledgers/show?name=%E6%B8%9B%E4%BE%A1%E5%84%9F%E5%8D%B4%E8%B2%BB&amp;start_date=2026-02-01&amp;end_date=2026-02-28" TargetMode="External"/><Relationship Id="rId11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2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3" Type="http://schemas.openxmlformats.org/officeDocument/2006/relationships/hyperlink" Target="https://secure.freee.co.jp/reports/journals?start_date=2025-03-01&amp;end_date=2026-02-28&amp;name=%E9%80%9A%E4%BF%A1%E8%B2%BB" TargetMode="External"/><Relationship Id="rId14" Type="http://schemas.openxmlformats.org/officeDocument/2006/relationships/hyperlink" Target="https://secure.freee.co.jp/reports/journals?start_date=2025-03-01&amp;end_date=2026-02-28&amp;name=%E6%B0%B4%E9%81%93%E5%85%89%E7%86%B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5-03-01&amp;end_date=2026-02-28&amp;fiscal_year_id=9766670" TargetMode="External"/><Relationship Id="rId2" Type="http://schemas.openxmlformats.org/officeDocument/2006/relationships/hyperlink" Target="https://secure.freee.co.jp/reports/general_ledgers/show?name=%E3%80%90%E5%BD%93%E5%BA%A7%E3%80%91%E4%B8%89%E8%8F%B1%E6%9D%B1%E4%BA%AC%EF%BC%B5%EF%BC%A6%EF%BC%AA&amp;start_date=2025-03-01&amp;end_date=2026-02-28&amp;fiscal_year_id=9766670" TargetMode="External"/><Relationship Id="rId3" Type="http://schemas.openxmlformats.org/officeDocument/2006/relationships/hyperlink" Target="https://secure.freee.co.jp/reports/general_ledgers/show?name=%E3%80%90%E5%BD%93%E5%BA%A7%E3%80%91%E4%B8%89%E4%BA%95%E4%BD%8F%E5%8F%8B&amp;start_date=2025-03-01&amp;end_date=2026-02-28&amp;fiscal_year_id=9766670" TargetMode="External"/><Relationship Id="rId4" Type="http://schemas.openxmlformats.org/officeDocument/2006/relationships/hyperlink" Target="https://secure.freee.co.jp/reports/general_ledgers/show?name=%E3%80%90%E6%99%AE%E9%80%9A%E3%80%91%E4%B8%89%E8%8F%B1%E6%9D%B1%E4%BA%AC%EF%BC%B5%EF%BC%A6%EF%BC%AA&amp;start_date=2025-03-01&amp;end_date=2026-02-28&amp;fiscal_year_id=9766670" TargetMode="External"/><Relationship Id="rId5" Type="http://schemas.openxmlformats.org/officeDocument/2006/relationships/hyperlink" Target="https://secure.freee.co.jp/reports/general_ledgers/show?name=%E3%80%90%E6%99%AE%E9%80%9A%E3%80%91%E6%B1%9F%E6%9D%B1%E4%BF%A1%E7%B5%84&amp;start_date=2025-03-01&amp;end_date=2026-02-28&amp;fiscal_year_id=9766670" TargetMode="External"/><Relationship Id="rId6" Type="http://schemas.openxmlformats.org/officeDocument/2006/relationships/hyperlink" Target="https://secure.freee.co.jp/reports/general_ledgers/show?name=%E3%82%86%E3%81%86%E3%81%A1%E3%82%87%E2%91%A0&amp;start_date=2025-03-01&amp;end_date=2026-02-28&amp;fiscal_year_id=9766670" TargetMode="External"/><Relationship Id="rId7" Type="http://schemas.openxmlformats.org/officeDocument/2006/relationships/hyperlink" Target="https://secure.freee.co.jp/reports/journals?start_date=2020-03-01&amp;end_date=2026-02-28&amp;name=%E3%82%86%E3%81%86%E3%81%A1%E3%82%87%E2%91%A1" TargetMode="External"/><Relationship Id="rId8" Type="http://schemas.openxmlformats.org/officeDocument/2006/relationships/hyperlink" Target="https://secure.freee.co.jp/reports/journals?start_date=2020-03-01&amp;end_date=2026-02-28&amp;name=%E4%B8%89%E4%BA%95%E4%BD%8F%E5%8F%8B%EF%BC%88%E6%B3%95%E4%BA%BA%EF%BC%89" TargetMode="External"/><Relationship Id="rId9" Type="http://schemas.openxmlformats.org/officeDocument/2006/relationships/hyperlink" Target="https://secure.freee.co.jp/reports/general_ledgers/show?name=%E5%AE%9A%E6%9C%9F%E7%A9%8D%E7%AB%8B%E9%87%91&amp;start_date=2025-03-01&amp;end_date=2026-02-28&amp;fiscal_year_id=9766670" TargetMode="External"/><Relationship Id="rId10" Type="http://schemas.openxmlformats.org/officeDocument/2006/relationships/hyperlink" Target="https://secure.freee.co.jp/reports/general_ledgers/show?name=%E5%A3%B2%E6%8E%9B%E9%87%91&amp;start_date=2025-03-01&amp;end_date=2026-02-28&amp;fiscal_year_id=9766670" TargetMode="External"/><Relationship Id="rId11" Type="http://schemas.openxmlformats.org/officeDocument/2006/relationships/hyperlink" Target="https://secure.freee.co.jp/reports/general_ledgers/show?name=%E5%95%86%E5%93%81&amp;start_date=2025-03-01&amp;end_date=2026-02-28&amp;fiscal_year_id=9766670" TargetMode="External"/><Relationship Id="rId12" Type="http://schemas.openxmlformats.org/officeDocument/2006/relationships/hyperlink" Target="https://secure.freee.co.jp/reports/general_ledgers/show?name=%E8%B2%AF%E8%94%B5%E5%93%81&amp;start_date=2025-03-01&amp;end_date=2026-02-28&amp;fiscal_year_id=9766670" TargetMode="External"/><Relationship Id="rId13" Type="http://schemas.openxmlformats.org/officeDocument/2006/relationships/hyperlink" Target="https://secure.freee.co.jp/reports/journals?start_date=2020-03-01&amp;end_date=2026-02-28&amp;name=%E5%89%8D%E6%89%95%E8%B2%BB%E7%94%A8" TargetMode="External"/><Relationship Id="rId14" Type="http://schemas.openxmlformats.org/officeDocument/2006/relationships/hyperlink" Target="https://secure.freee.co.jp/reports/journals?start_date=2024-03-01&amp;end_date=2026-02-28&amp;name=%E4%BB%AE%E6%89%95%E9%87%91" TargetMode="External"/><Relationship Id="rId15" Type="http://schemas.openxmlformats.org/officeDocument/2006/relationships/hyperlink" Target="https://secure.freee.co.jp/reports/journals?start_date=2024-03-01&amp;end_date=2026-02-28&amp;name=%E5%BB%BA%E7%89%A9" TargetMode="External"/><Relationship Id="rId16" Type="http://schemas.openxmlformats.org/officeDocument/2006/relationships/hyperlink" Target="https://secure.freee.co.jp/reports/journals?start_date=2024-03-01&amp;end_date=2026-02-28&amp;name=%E9%99%84%E5%B1%9E%E8%A8%AD%E5%82%99" TargetMode="External"/><Relationship Id="rId17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66670" TargetMode="External"/><Relationship Id="rId18" Type="http://schemas.openxmlformats.org/officeDocument/2006/relationships/hyperlink" Target="https://secure.freee.co.jp/reports/general_ledgers/show?name=%E6%B8%9B%E4%BE%A1%E5%84%9F%E5%8D%B4%E7%B4%AF%E8%A8%88%E9%A1%8D&amp;start_date=2025-03-01&amp;end_date=2026-02-28&amp;fiscal_year_id=9766670" TargetMode="External"/><Relationship Id="rId19" Type="http://schemas.openxmlformats.org/officeDocument/2006/relationships/hyperlink" Target="https://secure.freee.co.jp/reports/journals?start_date=2020-03-01&amp;end_date=2026-02-28&amp;name=%E9%9B%BB%E8%A9%B1%E5%8A%A0%E5%85%A5%E6%A8%A9" TargetMode="External"/><Relationship Id="rId20" Type="http://schemas.openxmlformats.org/officeDocument/2006/relationships/hyperlink" Target="https://secure.freee.co.jp/reports/general_ledgers/show?name=%E4%BF%9D%E9%99%BA%E7%A9%8D%E7%AB%8B%E9%87%91&amp;start_date=2025-03-01&amp;end_date=2026-02-28&amp;fiscal_year_id=9766670" TargetMode="External"/><Relationship Id="rId21" Type="http://schemas.openxmlformats.org/officeDocument/2006/relationships/hyperlink" Target="https://secure.freee.co.jp/reports/journals?start_date=2020-03-01&amp;end_date=2026-02-28&amp;name=%E5%87%BA%E8%B3%87%E9%87%91" TargetMode="External"/><Relationship Id="rId22" Type="http://schemas.openxmlformats.org/officeDocument/2006/relationships/hyperlink" Target="https://secure.freee.co.jp/reports/journals?start_date=2020-03-01&amp;end_date=2026-02-28&amp;name=%E6%95%B7%E9%87%91" TargetMode="External"/><Relationship Id="rId23" Type="http://schemas.openxmlformats.org/officeDocument/2006/relationships/hyperlink" Target="https://secure.freee.co.jp/reports/journals?start_date=2021-03-01&amp;end_date=2026-02-28&amp;name=%E5%B7%AE%E5%85%A5%E4%BF%9D%E8%A8%BC%E9%87%91" TargetMode="External"/><Relationship Id="rId24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66670" TargetMode="External"/><Relationship Id="rId25" Type="http://schemas.openxmlformats.org/officeDocument/2006/relationships/hyperlink" Target="https://secure.freee.co.jp/reports/journals?start_date=2020-03-01&amp;end_date=2026-02-28&amp;name=%E8%B3%87%E9%87%91%E8%AB%B8%E5%8F%A3" TargetMode="External"/><Relationship Id="rId26" Type="http://schemas.openxmlformats.org/officeDocument/2006/relationships/hyperlink" Target="https://secure.freee.co.jp/reports/general_ledgers/show?name=%E8%B2%B7%E6%8E%9B%E9%87%91&amp;start_date=2025-03-01&amp;end_date=2026-02-28&amp;fiscal_year_id=9766670" TargetMode="External"/><Relationship Id="rId27" Type="http://schemas.openxmlformats.org/officeDocument/2006/relationships/hyperlink" Target="https://secure.freee.co.jp/reports/general_ledgers/show?name=%E6%B6%88%E8%B2%BB%E7%A8%8E%E5%BC%95%E5%BD%93%EF%BF%BD%EF%BF%BD%EF%BF%BD&amp;start_date=2025-03-01&amp;end_date=2026-02-28&amp;fiscal_year_id=9766670" TargetMode="External"/><Relationship Id="rId28" Type="http://schemas.openxmlformats.org/officeDocument/2006/relationships/hyperlink" Target="https://secure.freee.co.jp/reports/general_ledgers/show?name=%E5%BD%B9%E5%93%A1%E5%80%9F%E5%85%A5%E9%87%91&amp;start_date=2025-03-01&amp;end_date=2026-02-28&amp;fiscal_year_id=9766670" TargetMode="External"/><Relationship Id="rId29" Type="http://schemas.openxmlformats.org/officeDocument/2006/relationships/hyperlink" Target="https://secure.freee.co.jp/reports/general_ledgers/show?name=%E6%9C%AA%E6%89%95%E9%87%91&amp;start_date=2025-03-01&amp;end_date=2026-02-28&amp;fiscal_year_id=9766670" TargetMode="External"/><Relationship Id="rId30" Type="http://schemas.openxmlformats.org/officeDocument/2006/relationships/hyperlink" Target="https://secure.freee.co.jp/reports/journals?start_date=2020-03-01&amp;end_date=2026-02-28&amp;name=%E6%9C%AA%E6%89%95%E8%B2%BB%E7%94%A8" TargetMode="External"/><Relationship Id="rId31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32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33" Type="http://schemas.openxmlformats.org/officeDocument/2006/relationships/hyperlink" Target="https://secure.freee.co.jp/reports/general_ledgers/show?name=%E5%89%8D%E5%8F%97%E9%87%91&amp;start_date=2025-03-01&amp;end_date=2026-02-28&amp;fiscal_year_id=9766670" TargetMode="External"/><Relationship Id="rId34" Type="http://schemas.openxmlformats.org/officeDocument/2006/relationships/hyperlink" Target="https://secure.freee.co.jp/reports/general_ledgers/show?name=%E9%A0%90%E3%82%8A%E9%87%91&amp;start_date=2025-03-01&amp;end_date=2026-02-28&amp;fiscal_year_id=9766670" TargetMode="External"/><Relationship Id="rId35" Type="http://schemas.openxmlformats.org/officeDocument/2006/relationships/hyperlink" Target="https://secure.freee.co.jp/reports/general_ledgers/show?name=%E9%95%B7%E6%9C%9F%E5%80%9F%E5%85%A5%E9%87%91&amp;start_date=2025-03-01&amp;end_date=2026-02-28&amp;fiscal_year_id=9766670" TargetMode="External"/><Relationship Id="rId36" Type="http://schemas.openxmlformats.org/officeDocument/2006/relationships/hyperlink" Target="https://secure.freee.co.jp/reports/journals?start_date=2020-03-01&amp;end_date=2026-02-28&amp;name=%E8%B3%87%E6%9C%AC%E9%87%91" TargetMode="External"/><Relationship Id="rId37" Type="http://schemas.openxmlformats.org/officeDocument/2006/relationships/hyperlink" Target="https://secure.freee.co.jp/reports/journals?start_date=2020-03-01&amp;end_date=2026-02-28&amp;name=%E5%88%A5%E9%80%94%E7%A9%8D%E7%AB%8B%E9%87%91" TargetMode="External"/><Relationship Id="rId38" Type="http://schemas.openxmlformats.org/officeDocument/2006/relationships/hyperlink" Target="https://secure.freee.co.jp/reports/journals?start_date=2024-03-01&amp;end_date=2026-02-28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66670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66670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66670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66670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66670" TargetMode="External"/><Relationship Id="rId6" Type="http://schemas.openxmlformats.org/officeDocument/2006/relationships/hyperlink" Target="https://secure.freee.co.jp/reports/general_ledgers/show?name=%E7%A6%8F%E5%88%A9%E5%8E%9A%E7%94%9F%E8%B2%BB&amp;start_date=2025-03-01&amp;end_date=2026-02-28&amp;fiscal_year_id=9766670" TargetMode="External"/><Relationship Id="rId7" Type="http://schemas.openxmlformats.org/officeDocument/2006/relationships/hyperlink" Target="https://secure.freee.co.jp/reports/general_ledgers/show?name=%E8%8D%B7%E9%80%A0%E9%81%8B%E8%B3%83&amp;start_date=2025-03-01&amp;end_date=2026-02-28&amp;fiscal_year_id=9766670" TargetMode="External"/><Relationship Id="rId8" Type="http://schemas.openxmlformats.org/officeDocument/2006/relationships/hyperlink" Target="https://secure.freee.co.jp/reports/general_ledgers/show?name=%E4%BA%A4%E9%9A%9B%E8%B2%BB&amp;start_date=2025-03-01&amp;end_date=2026-02-28&amp;fiscal_year_id=9766670" TargetMode="External"/><Relationship Id="rId9" Type="http://schemas.openxmlformats.org/officeDocument/2006/relationships/hyperlink" Target="https://secure.freee.co.jp/reports/general_ledgers/show?name=%E6%97%85%E8%B2%BB%E4%BA%A4%E9%80%9A%E8%B2%BB&amp;start_date=2025-03-01&amp;end_date=2026-02-28&amp;fiscal_year_id=9766670" TargetMode="External"/><Relationship Id="rId10" Type="http://schemas.openxmlformats.org/officeDocument/2006/relationships/hyperlink" Target="https://secure.freee.co.jp/reports/general_ledgers/show?name=%E9%80%9A%E4%BF%A1%E8%B2%BB&amp;start_date=2025-03-01&amp;end_date=2026-02-28&amp;fiscal_year_id=9766670" TargetMode="External"/><Relationship Id="rId11" Type="http://schemas.openxmlformats.org/officeDocument/2006/relationships/hyperlink" Target="https://secure.freee.co.jp/reports/general_ledgers/show?name=%E8%B2%A9%E5%A3%B2%E6%89%8B%E6%95%B0%E6%96%99&amp;start_date=2025-03-01&amp;end_date=2026-02-28&amp;fiscal_year_id=9766670" TargetMode="External"/><Relationship Id="rId12" Type="http://schemas.openxmlformats.org/officeDocument/2006/relationships/hyperlink" Target="https://secure.freee.co.jp/reports/general_ledgers/show?name=%E6%B6%88%E8%80%97%E5%93%81%E8%B2%BB&amp;start_date=2025-03-01&amp;end_date=2026-02-28&amp;fiscal_year_id=9766670" TargetMode="External"/><Relationship Id="rId13" Type="http://schemas.openxmlformats.org/officeDocument/2006/relationships/hyperlink" Target="https://secure.freee.co.jp/reports/general_ledgers/show?name=%E4%BA%8B%E5%8B%99%E7%94%A8%E5%93%81%E8%B2%BB&amp;start_date=2025-03-01&amp;end_date=2026-02-28&amp;fiscal_year_id=9766670" TargetMode="External"/><Relationship Id="rId14" Type="http://schemas.openxmlformats.org/officeDocument/2006/relationships/hyperlink" Target="https://secure.freee.co.jp/reports/general_ledgers/show?name=%E6%B0%B4%E9%81%93%E5%85%89%E7%86%B1%E8%B2%BB&amp;start_date=2025-03-01&amp;end_date=2026-02-28&amp;fiscal_year_id=9766670" TargetMode="External"/><Relationship Id="rId15" Type="http://schemas.openxmlformats.org/officeDocument/2006/relationships/hyperlink" Target="https://secure.freee.co.jp/reports/general_ledgers/show?name=%E6%96%B0%E8%81%9E%E5%9B%B3%E6%9B%B8%E8%B2%BB&amp;start_date=2025-03-01&amp;end_date=2026-02-28&amp;fiscal_year_id=9766670" TargetMode="External"/><Relationship Id="rId16" Type="http://schemas.openxmlformats.org/officeDocument/2006/relationships/hyperlink" Target="https://secure.freee.co.jp/reports/general_ledgers/show?name=%E8%AB%B8%E4%BC%9A%E8%B2%BB&amp;start_date=2025-03-01&amp;end_date=2026-02-28&amp;fiscal_year_id=9766670" TargetMode="External"/><Relationship Id="rId17" Type="http://schemas.openxmlformats.org/officeDocument/2006/relationships/hyperlink" Target="https://secure.freee.co.jp/reports/general_ledgers/show?name=%E6%94%AF%E6%89%95%E6%89%8B%E6%95%B0%E6%96%99&amp;start_date=2025-03-01&amp;end_date=2026-02-28&amp;fiscal_year_id=9766670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66670" TargetMode="External"/><Relationship Id="rId19" Type="http://schemas.openxmlformats.org/officeDocument/2006/relationships/hyperlink" Target="https://secure.freee.co.jp/reports/general_ledgers/show?name=%E4%BF%9D%E9%99%BA%E6%96%99&amp;start_date=2025-03-01&amp;end_date=2026-02-28&amp;fiscal_year_id=9766670" TargetMode="External"/><Relationship Id="rId20" Type="http://schemas.openxmlformats.org/officeDocument/2006/relationships/hyperlink" Target="https://secure.freee.co.jp/reports/general_ledgers/show?name=%E7%A7%9F%E7%A8%8E%E5%85%AC%E8%AA%B2&amp;start_date=2025-03-01&amp;end_date=2026-02-28&amp;fiscal_year_id=9766670" TargetMode="External"/><Relationship Id="rId21" Type="http://schemas.openxmlformats.org/officeDocument/2006/relationships/hyperlink" Target="https://secure.freee.co.jp/reports/general_ledgers/show?name=%E6%B8%9B%E4%BE%A1%E5%84%9F%E5%8D%B4%E8%B2%BB&amp;start_date=2025-03-01&amp;end_date=2026-02-28&amp;fiscal_year_id=9766670" TargetMode="External"/><Relationship Id="rId22" Type="http://schemas.openxmlformats.org/officeDocument/2006/relationships/hyperlink" Target="https://secure.freee.co.jp/reports/general_ledgers/show?name=%E9%95%B7%E6%9C%9F%E5%89%8D%E6%89%95%E8%B2%BB%E7%94%A8%E5%84%9F%E5%8D%B4&amp;start_date=2025-03-01&amp;end_date=2026-02-28&amp;fiscal_year_id=9766670" TargetMode="External"/><Relationship Id="rId23" Type="http://schemas.openxmlformats.org/officeDocument/2006/relationships/hyperlink" Target="https://secure.freee.co.jp/reports/general_ledgers/show?name=%E9%9B%91%E8%B2%BB&amp;start_date=2025-03-01&amp;end_date=2026-02-28&amp;fiscal_year_id=9766670" TargetMode="External"/><Relationship Id="rId24" Type="http://schemas.openxmlformats.org/officeDocument/2006/relationships/hyperlink" Target="https://secure.freee.co.jp/reports/general_ledgers/show?name=%E5%8F%97%E5%8F%96%E5%88%A9%E6%81%AF&amp;start_date=2025-03-01&amp;end_date=2026-02-28&amp;fiscal_year_id=9766670" TargetMode="External"/><Relationship Id="rId25" Type="http://schemas.openxmlformats.org/officeDocument/2006/relationships/hyperlink" Target="https://secure.freee.co.jp/reports/general_ledgers/show?name=%E5%8F%97%E5%8F%96%E9%85%8D%E5%BD%93%E9%87%91&amp;start_date=2025-03-01&amp;end_date=2026-02-28&amp;fiscal_year_id=9766670" TargetMode="External"/><Relationship Id="rId26" Type="http://schemas.openxmlformats.org/officeDocument/2006/relationships/hyperlink" Target="https://secure.freee.co.jp/reports/general_ledgers/show?name=%E9%9B%91%E5%8F%8E%E5%85%A5&amp;start_date=2025-03-01&amp;end_date=2026-02-28&amp;fiscal_year_id=9766670" TargetMode="External"/><Relationship Id="rId27" Type="http://schemas.openxmlformats.org/officeDocument/2006/relationships/hyperlink" Target="https://secure.freee.co.jp/reports/general_ledgers/show?name=%E6%94%AF%E6%89%95%E5%88%A9%E6%81%AF&amp;start_date=2025-03-01&amp;end_date=2026-02-28&amp;fiscal_year_id=9766670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66670" TargetMode="External"/><Relationship Id="rId29" Type="http://schemas.openxmlformats.org/officeDocument/2006/relationships/hyperlink" Target="https://secure.freee.co.jp/reports/general_ledgers/show?name=%E5%AE%8C%E6%88%90%E8%BB%8A%E5%A3%B2%E4%B8%8A%E9%AB%98&amp;start_date=2025-03-01&amp;end_date=2026-02-28&amp;fiscal_year_id=9766670" TargetMode="External"/><Relationship Id="rId30" Type="http://schemas.openxmlformats.org/officeDocument/2006/relationships/hyperlink" Target="https://secure.freee.co.jp/reports/general_ledgers/show?name=%E3%83%91%E3%83%BC%E3%83%84%E5%A3%B2%E4%B8%8A%E9%AB%98&amp;start_date=2025-03-01&amp;end_date=2026-02-28&amp;fiscal_year_id=9766670" TargetMode="External"/><Relationship Id="rId31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66670" TargetMode="External"/><Relationship Id="rId32" Type="http://schemas.openxmlformats.org/officeDocument/2006/relationships/hyperlink" Target="https://secure.freee.co.jp/reports/general_ledgers/show?name=%E4%BB%95%E5%85%A5%E9%AB%98&amp;start_date=2025-03-01&amp;end_date=2026-02-28&amp;fiscal_year_id=9766670" TargetMode="External"/><Relationship Id="rId33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66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29</v>
      </c>
      <c r="D9" s="9">
        <v>11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3</v>
      </c>
      <c r="D14" s="11">
        <v>1</v>
      </c>
      <c r="E14" s="11">
        <v>4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>
        <v>17</v>
      </c>
      <c r="D17" s="11" t="s">
        <v>18</v>
      </c>
      <c r="E17" s="11">
        <v>17</v>
      </c>
    </row>
    <row r="18" spans="1:5" x14ac:dyDescent="0.25">
      <c r="A18" s="10" t="s">
        <v>22</v>
      </c>
      <c r="B18" s="11">
        <v>1</v>
      </c>
      <c r="C18" s="11">
        <v>4</v>
      </c>
      <c r="D18" s="11">
        <v>8</v>
      </c>
      <c r="E18" s="11">
        <v>13</v>
      </c>
    </row>
    <row r="19" spans="1:5" x14ac:dyDescent="0.25">
      <c r="A19" s="10" t="s">
        <v>23</v>
      </c>
      <c r="B19" s="11" t="s">
        <v>18</v>
      </c>
      <c r="C19" s="11">
        <v>4</v>
      </c>
      <c r="D19" s="11">
        <v>2</v>
      </c>
      <c r="E19" s="11">
        <v>6</v>
      </c>
    </row>
    <row r="20" spans="1:5" x14ac:dyDescent="0.25">
      <c r="A20" s="12" t="s">
        <v>16</v>
      </c>
      <c r="B20" s="13">
        <v>1</v>
      </c>
      <c r="C20" s="13">
        <v>29</v>
      </c>
      <c r="D20" s="13">
        <v>11</v>
      </c>
      <c r="E20" s="13">
        <v>41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3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35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35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35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0" t="s">
        <v>92</v>
      </c>
      <c r="B56" s="10" t="s">
        <v>93</v>
      </c>
      <c r="C56" s="11" t="s">
        <v>35</v>
      </c>
      <c r="D56" s="11">
        <v>0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35</v>
      </c>
      <c r="D58" s="11">
        <v>0</v>
      </c>
    </row>
    <row r="59" spans="1:4" x14ac:dyDescent="0.25">
      <c r="A59" s="10" t="s">
        <v>98</v>
      </c>
      <c r="B59" s="10" t="s">
        <v>99</v>
      </c>
      <c r="C59" s="11" t="s">
        <v>35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0" t="s">
        <v>102</v>
      </c>
      <c r="B61" s="10" t="s">
        <v>103</v>
      </c>
      <c r="C61" s="11" t="s">
        <v>35</v>
      </c>
      <c r="D61" s="11">
        <v>0</v>
      </c>
    </row>
    <row r="62" spans="1:4" x14ac:dyDescent="0.25">
      <c r="A62" s="10" t="s">
        <v>104</v>
      </c>
      <c r="B62" s="10" t="s">
        <v>105</v>
      </c>
      <c r="C62" s="11" t="s">
        <v>35</v>
      </c>
      <c r="D62" s="11">
        <v>0</v>
      </c>
    </row>
    <row r="63" spans="1:4" x14ac:dyDescent="0.25">
      <c r="A63" s="10" t="s">
        <v>106</v>
      </c>
      <c r="B63" s="10" t="s">
        <v>107</v>
      </c>
      <c r="C63" s="11" t="s">
        <v>35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35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7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5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3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3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4" t="s">
        <v>150</v>
      </c>
      <c r="B85" s="14" t="s">
        <v>151</v>
      </c>
      <c r="C85" s="15" t="s">
        <v>30</v>
      </c>
      <c r="D85" s="15">
        <v>1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84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28</v>
      </c>
      <c r="C3" s="14" t="s">
        <v>181</v>
      </c>
      <c r="D3" s="19" t="s">
        <v>182</v>
      </c>
      <c r="E3" s="14" t="s">
        <v>183</v>
      </c>
      <c r="F3" s="19" t="s">
        <v>184</v>
      </c>
      <c r="G3" s="20" t="s">
        <v>180</v>
      </c>
    </row>
    <row r="4" spans="1:7" x14ac:dyDescent="0.25">
      <c r="A4" s="14" t="s">
        <v>14</v>
      </c>
      <c r="B4" s="14" t="s">
        <v>31</v>
      </c>
      <c r="C4" s="14" t="s">
        <v>181</v>
      </c>
      <c r="D4" s="19" t="s">
        <v>185</v>
      </c>
      <c r="E4" s="14" t="s">
        <v>186</v>
      </c>
      <c r="F4" s="19" t="s">
        <v>187</v>
      </c>
      <c r="G4" s="14" t="s">
        <v>6</v>
      </c>
    </row>
    <row r="5" spans="1:7" x14ac:dyDescent="0.25">
      <c r="A5" s="14" t="s">
        <v>14</v>
      </c>
      <c r="B5" s="14" t="s">
        <v>31</v>
      </c>
      <c r="C5" s="14" t="s">
        <v>181</v>
      </c>
      <c r="D5" s="19" t="s">
        <v>188</v>
      </c>
      <c r="E5" s="14" t="s">
        <v>189</v>
      </c>
      <c r="F5" s="19" t="s">
        <v>187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181</v>
      </c>
      <c r="D6" s="19" t="s">
        <v>190</v>
      </c>
      <c r="E6" s="14" t="s">
        <v>191</v>
      </c>
      <c r="F6" s="19" t="s">
        <v>187</v>
      </c>
      <c r="G6" s="14" t="s">
        <v>6</v>
      </c>
    </row>
    <row r="7" spans="1:7" x14ac:dyDescent="0.25">
      <c r="A7" s="14" t="s">
        <v>14</v>
      </c>
      <c r="B7" s="14" t="s">
        <v>42</v>
      </c>
      <c r="C7" s="14" t="s">
        <v>192</v>
      </c>
      <c r="D7" s="19" t="s">
        <v>193</v>
      </c>
      <c r="E7" s="14" t="s">
        <v>194</v>
      </c>
      <c r="F7" s="19" t="s">
        <v>195</v>
      </c>
      <c r="G7" s="20" t="s">
        <v>180</v>
      </c>
    </row>
    <row r="8" spans="1:7" x14ac:dyDescent="0.25">
      <c r="A8" s="14" t="s">
        <v>14</v>
      </c>
      <c r="B8" s="14" t="s">
        <v>42</v>
      </c>
      <c r="C8" s="14" t="s">
        <v>192</v>
      </c>
      <c r="D8" s="19" t="s">
        <v>196</v>
      </c>
      <c r="E8" s="14" t="s">
        <v>197</v>
      </c>
      <c r="F8" s="19" t="s">
        <v>195</v>
      </c>
      <c r="G8" s="20" t="s">
        <v>180</v>
      </c>
    </row>
    <row r="9" spans="1:7" x14ac:dyDescent="0.25">
      <c r="A9" s="14" t="s">
        <v>14</v>
      </c>
      <c r="B9" s="14" t="s">
        <v>42</v>
      </c>
      <c r="C9" s="14" t="s">
        <v>192</v>
      </c>
      <c r="D9" s="19" t="s">
        <v>198</v>
      </c>
      <c r="E9" s="14" t="s">
        <v>199</v>
      </c>
      <c r="F9" s="19" t="s">
        <v>195</v>
      </c>
      <c r="G9" s="20" t="s">
        <v>180</v>
      </c>
    </row>
    <row r="10" spans="1:7" x14ac:dyDescent="0.25">
      <c r="A10" s="14" t="s">
        <v>14</v>
      </c>
      <c r="B10" s="14" t="s">
        <v>60</v>
      </c>
      <c r="C10" s="14" t="s">
        <v>200</v>
      </c>
      <c r="D10" s="19" t="s">
        <v>201</v>
      </c>
      <c r="E10" s="14" t="s">
        <v>202</v>
      </c>
      <c r="F10" s="19" t="s">
        <v>203</v>
      </c>
      <c r="G10" s="20" t="s">
        <v>180</v>
      </c>
    </row>
    <row r="11" spans="1:7" x14ac:dyDescent="0.25">
      <c r="A11" s="14" t="s">
        <v>14</v>
      </c>
      <c r="B11" s="14" t="s">
        <v>112</v>
      </c>
      <c r="C11" s="14" t="s">
        <v>204</v>
      </c>
      <c r="D11" s="19" t="s">
        <v>205</v>
      </c>
      <c r="E11" s="14" t="s">
        <v>206</v>
      </c>
      <c r="F11" s="19" t="s">
        <v>207</v>
      </c>
      <c r="G11" s="20" t="s">
        <v>180</v>
      </c>
    </row>
    <row r="12" spans="1:7" x14ac:dyDescent="0.25">
      <c r="A12" s="21" t="s">
        <v>6</v>
      </c>
      <c r="B12" s="21" t="s">
        <v>6</v>
      </c>
      <c r="C12" s="21" t="s">
        <v>6</v>
      </c>
      <c r="D12" s="22" t="s">
        <v>208</v>
      </c>
      <c r="E12" s="21" t="s">
        <v>209</v>
      </c>
      <c r="F12" s="22" t="s">
        <v>6</v>
      </c>
      <c r="G12" s="23" t="s">
        <v>210</v>
      </c>
    </row>
    <row r="13" spans="1:7" x14ac:dyDescent="0.25">
      <c r="A13" s="21" t="s">
        <v>6</v>
      </c>
      <c r="B13" s="21" t="s">
        <v>6</v>
      </c>
      <c r="C13" s="21" t="s">
        <v>6</v>
      </c>
      <c r="D13" s="22" t="s">
        <v>211</v>
      </c>
      <c r="E13" s="21" t="s">
        <v>212</v>
      </c>
      <c r="F13" s="22" t="s">
        <v>6</v>
      </c>
      <c r="G13" s="23" t="s">
        <v>210</v>
      </c>
    </row>
    <row r="14" spans="1:7" x14ac:dyDescent="0.25">
      <c r="A14" s="21" t="s">
        <v>6</v>
      </c>
      <c r="B14" s="21" t="s">
        <v>6</v>
      </c>
      <c r="C14" s="21" t="s">
        <v>6</v>
      </c>
      <c r="D14" s="22" t="s">
        <v>213</v>
      </c>
      <c r="E14" s="21" t="s">
        <v>214</v>
      </c>
      <c r="F14" s="22" t="s">
        <v>6</v>
      </c>
      <c r="G14" s="23" t="s">
        <v>210</v>
      </c>
    </row>
    <row r="15" spans="1:7" x14ac:dyDescent="0.25">
      <c r="A15" s="21" t="s">
        <v>6</v>
      </c>
      <c r="B15" s="21" t="s">
        <v>6</v>
      </c>
      <c r="C15" s="21" t="s">
        <v>6</v>
      </c>
      <c r="D15" s="22" t="s">
        <v>215</v>
      </c>
      <c r="E15" s="21" t="s">
        <v>216</v>
      </c>
      <c r="F15" s="22" t="s">
        <v>6</v>
      </c>
      <c r="G15" s="23" t="s">
        <v>210</v>
      </c>
    </row>
    <row r="16" spans="1:7" x14ac:dyDescent="0.25">
      <c r="A16" s="14" t="s">
        <v>14</v>
      </c>
      <c r="B16" s="14" t="s">
        <v>112</v>
      </c>
      <c r="C16" s="14" t="s">
        <v>204</v>
      </c>
      <c r="D16" s="19" t="s">
        <v>217</v>
      </c>
      <c r="E16" s="14" t="s">
        <v>218</v>
      </c>
      <c r="F16" s="19" t="s">
        <v>207</v>
      </c>
      <c r="G16" s="20" t="s">
        <v>180</v>
      </c>
    </row>
    <row r="17" spans="1:7" x14ac:dyDescent="0.25">
      <c r="A17" s="21" t="s">
        <v>6</v>
      </c>
      <c r="B17" s="21" t="s">
        <v>6</v>
      </c>
      <c r="C17" s="21" t="s">
        <v>6</v>
      </c>
      <c r="D17" s="22" t="s">
        <v>215</v>
      </c>
      <c r="E17" s="21" t="s">
        <v>219</v>
      </c>
      <c r="F17" s="22" t="s">
        <v>6</v>
      </c>
      <c r="G17" s="23" t="s">
        <v>210</v>
      </c>
    </row>
    <row r="18" spans="1:7" x14ac:dyDescent="0.25">
      <c r="A18" s="14" t="s">
        <v>14</v>
      </c>
      <c r="B18" s="14" t="s">
        <v>112</v>
      </c>
      <c r="C18" s="14" t="s">
        <v>204</v>
      </c>
      <c r="D18" s="19" t="s">
        <v>220</v>
      </c>
      <c r="E18" s="14" t="s">
        <v>221</v>
      </c>
      <c r="F18" s="19" t="s">
        <v>207</v>
      </c>
      <c r="G18" s="20" t="s">
        <v>180</v>
      </c>
    </row>
    <row r="19" spans="1:7" x14ac:dyDescent="0.25">
      <c r="A19" s="21" t="s">
        <v>6</v>
      </c>
      <c r="B19" s="21" t="s">
        <v>6</v>
      </c>
      <c r="C19" s="21" t="s">
        <v>6</v>
      </c>
      <c r="D19" s="22" t="s">
        <v>222</v>
      </c>
      <c r="E19" s="21" t="s">
        <v>223</v>
      </c>
      <c r="F19" s="22" t="s">
        <v>6</v>
      </c>
      <c r="G19" s="23" t="s">
        <v>210</v>
      </c>
    </row>
    <row r="20" spans="1:7" x14ac:dyDescent="0.25">
      <c r="A20" s="21" t="s">
        <v>6</v>
      </c>
      <c r="B20" s="21" t="s">
        <v>6</v>
      </c>
      <c r="C20" s="21" t="s">
        <v>6</v>
      </c>
      <c r="D20" s="22" t="s">
        <v>215</v>
      </c>
      <c r="E20" s="21" t="s">
        <v>224</v>
      </c>
      <c r="F20" s="22" t="s">
        <v>6</v>
      </c>
      <c r="G20" s="23" t="s">
        <v>210</v>
      </c>
    </row>
    <row r="21" spans="1:7" x14ac:dyDescent="0.25">
      <c r="A21" s="14" t="s">
        <v>14</v>
      </c>
      <c r="B21" s="14" t="s">
        <v>112</v>
      </c>
      <c r="C21" s="14" t="s">
        <v>204</v>
      </c>
      <c r="D21" s="19" t="s">
        <v>225</v>
      </c>
      <c r="E21" s="14" t="s">
        <v>226</v>
      </c>
      <c r="F21" s="19" t="s">
        <v>207</v>
      </c>
      <c r="G21" s="20" t="s">
        <v>180</v>
      </c>
    </row>
    <row r="22" spans="1:7" x14ac:dyDescent="0.25">
      <c r="A22" s="21" t="s">
        <v>6</v>
      </c>
      <c r="B22" s="21" t="s">
        <v>6</v>
      </c>
      <c r="C22" s="21" t="s">
        <v>6</v>
      </c>
      <c r="D22" s="22" t="s">
        <v>215</v>
      </c>
      <c r="E22" s="21" t="s">
        <v>227</v>
      </c>
      <c r="F22" s="22" t="s">
        <v>6</v>
      </c>
      <c r="G22" s="23" t="s">
        <v>210</v>
      </c>
    </row>
    <row r="23" spans="1:7" x14ac:dyDescent="0.25">
      <c r="A23" s="14" t="s">
        <v>14</v>
      </c>
      <c r="B23" s="14" t="s">
        <v>112</v>
      </c>
      <c r="C23" s="14" t="s">
        <v>204</v>
      </c>
      <c r="D23" s="19" t="s">
        <v>228</v>
      </c>
      <c r="E23" s="14" t="s">
        <v>229</v>
      </c>
      <c r="F23" s="19" t="s">
        <v>207</v>
      </c>
      <c r="G23" s="20" t="s">
        <v>180</v>
      </c>
    </row>
    <row r="24" spans="1:7" x14ac:dyDescent="0.25">
      <c r="A24" s="21" t="s">
        <v>6</v>
      </c>
      <c r="B24" s="21" t="s">
        <v>6</v>
      </c>
      <c r="C24" s="21" t="s">
        <v>6</v>
      </c>
      <c r="D24" s="22" t="s">
        <v>215</v>
      </c>
      <c r="E24" s="21" t="s">
        <v>230</v>
      </c>
      <c r="F24" s="22" t="s">
        <v>6</v>
      </c>
      <c r="G24" s="23" t="s">
        <v>210</v>
      </c>
    </row>
    <row r="25" spans="1:7" x14ac:dyDescent="0.25">
      <c r="A25" s="14" t="s">
        <v>14</v>
      </c>
      <c r="B25" s="14" t="s">
        <v>112</v>
      </c>
      <c r="C25" s="14" t="s">
        <v>204</v>
      </c>
      <c r="D25" s="19" t="s">
        <v>231</v>
      </c>
      <c r="E25" s="14" t="s">
        <v>232</v>
      </c>
      <c r="F25" s="19" t="s">
        <v>207</v>
      </c>
      <c r="G25" s="20" t="s">
        <v>180</v>
      </c>
    </row>
    <row r="26" spans="1:7" x14ac:dyDescent="0.25">
      <c r="A26" s="21" t="s">
        <v>6</v>
      </c>
      <c r="B26" s="21" t="s">
        <v>6</v>
      </c>
      <c r="C26" s="21" t="s">
        <v>6</v>
      </c>
      <c r="D26" s="22" t="s">
        <v>215</v>
      </c>
      <c r="E26" s="21" t="s">
        <v>233</v>
      </c>
      <c r="F26" s="22" t="s">
        <v>6</v>
      </c>
      <c r="G26" s="23" t="s">
        <v>210</v>
      </c>
    </row>
    <row r="27" spans="1:7" x14ac:dyDescent="0.25">
      <c r="A27" s="14" t="s">
        <v>14</v>
      </c>
      <c r="B27" s="14" t="s">
        <v>112</v>
      </c>
      <c r="C27" s="14" t="s">
        <v>204</v>
      </c>
      <c r="D27" s="19" t="s">
        <v>234</v>
      </c>
      <c r="E27" s="14" t="s">
        <v>235</v>
      </c>
      <c r="F27" s="19" t="s">
        <v>207</v>
      </c>
      <c r="G27" s="20" t="s">
        <v>180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215</v>
      </c>
      <c r="E28" s="21" t="s">
        <v>236</v>
      </c>
      <c r="F28" s="22" t="s">
        <v>6</v>
      </c>
      <c r="G28" s="23" t="s">
        <v>210</v>
      </c>
    </row>
    <row r="29" spans="1:7" x14ac:dyDescent="0.25">
      <c r="A29" s="14" t="s">
        <v>14</v>
      </c>
      <c r="B29" s="14" t="s">
        <v>114</v>
      </c>
      <c r="C29" s="14" t="s">
        <v>204</v>
      </c>
      <c r="D29" s="19" t="s">
        <v>237</v>
      </c>
      <c r="E29" s="14" t="s">
        <v>238</v>
      </c>
      <c r="F29" s="19" t="s">
        <v>239</v>
      </c>
      <c r="G29" s="20" t="s">
        <v>180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240</v>
      </c>
      <c r="E30" s="21" t="s">
        <v>238</v>
      </c>
      <c r="F30" s="22" t="s">
        <v>6</v>
      </c>
      <c r="G30" s="23" t="s">
        <v>210</v>
      </c>
    </row>
    <row r="31" spans="1:7" x14ac:dyDescent="0.25">
      <c r="A31" s="14" t="s">
        <v>14</v>
      </c>
      <c r="B31" s="14" t="s">
        <v>116</v>
      </c>
      <c r="C31" s="14" t="s">
        <v>204</v>
      </c>
      <c r="D31" s="19" t="s">
        <v>241</v>
      </c>
      <c r="E31" s="14" t="s">
        <v>242</v>
      </c>
      <c r="F31" s="19" t="s">
        <v>243</v>
      </c>
      <c r="G31" s="20" t="s">
        <v>180</v>
      </c>
    </row>
    <row r="32" spans="1:7" x14ac:dyDescent="0.25">
      <c r="A32" s="14" t="s">
        <v>14</v>
      </c>
      <c r="B32" s="14" t="s">
        <v>116</v>
      </c>
      <c r="C32" s="14" t="s">
        <v>204</v>
      </c>
      <c r="D32" s="19" t="s">
        <v>244</v>
      </c>
      <c r="E32" s="14" t="s">
        <v>245</v>
      </c>
      <c r="F32" s="19" t="s">
        <v>243</v>
      </c>
      <c r="G32" s="20" t="s">
        <v>180</v>
      </c>
    </row>
    <row r="33" spans="1:7" x14ac:dyDescent="0.25">
      <c r="A33" s="14" t="s">
        <v>14</v>
      </c>
      <c r="B33" s="14" t="s">
        <v>116</v>
      </c>
      <c r="C33" s="14" t="s">
        <v>204</v>
      </c>
      <c r="D33" s="19" t="s">
        <v>246</v>
      </c>
      <c r="E33" s="14" t="s">
        <v>247</v>
      </c>
      <c r="F33" s="19" t="s">
        <v>243</v>
      </c>
      <c r="G33" s="20" t="s">
        <v>180</v>
      </c>
    </row>
    <row r="34" spans="1:7" x14ac:dyDescent="0.25">
      <c r="A34" s="14" t="s">
        <v>14</v>
      </c>
      <c r="B34" s="14" t="s">
        <v>116</v>
      </c>
      <c r="C34" s="14" t="s">
        <v>204</v>
      </c>
      <c r="D34" s="19" t="s">
        <v>248</v>
      </c>
      <c r="E34" s="14" t="s">
        <v>249</v>
      </c>
      <c r="F34" s="19" t="s">
        <v>243</v>
      </c>
      <c r="G34" s="20" t="s">
        <v>180</v>
      </c>
    </row>
    <row r="35" spans="1:7" x14ac:dyDescent="0.25">
      <c r="A35" s="14" t="s">
        <v>14</v>
      </c>
      <c r="B35" s="14" t="s">
        <v>116</v>
      </c>
      <c r="C35" s="14" t="s">
        <v>204</v>
      </c>
      <c r="D35" s="19" t="s">
        <v>250</v>
      </c>
      <c r="E35" s="14" t="s">
        <v>251</v>
      </c>
      <c r="F35" s="19" t="s">
        <v>243</v>
      </c>
      <c r="G35" s="20" t="s">
        <v>180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252</v>
      </c>
      <c r="E36" s="21" t="s">
        <v>253</v>
      </c>
      <c r="F36" s="22" t="s">
        <v>254</v>
      </c>
      <c r="G36" s="23" t="s">
        <v>210</v>
      </c>
    </row>
    <row r="37" spans="1:7" x14ac:dyDescent="0.25">
      <c r="A37" s="14" t="s">
        <v>14</v>
      </c>
      <c r="B37" s="14" t="s">
        <v>120</v>
      </c>
      <c r="C37" s="14" t="s">
        <v>255</v>
      </c>
      <c r="D37" s="19" t="s">
        <v>256</v>
      </c>
      <c r="E37" s="14" t="s">
        <v>206</v>
      </c>
      <c r="F37" s="19" t="s">
        <v>257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258</v>
      </c>
      <c r="E38" s="21" t="s">
        <v>259</v>
      </c>
      <c r="F38" s="22" t="s">
        <v>6</v>
      </c>
      <c r="G38" s="23" t="s">
        <v>210</v>
      </c>
    </row>
    <row r="39" spans="1:7" x14ac:dyDescent="0.25">
      <c r="A39" s="14" t="s">
        <v>14</v>
      </c>
      <c r="B39" s="14" t="s">
        <v>126</v>
      </c>
      <c r="C39" s="14" t="s">
        <v>255</v>
      </c>
      <c r="D39" s="19" t="s">
        <v>260</v>
      </c>
      <c r="E39" s="14" t="s">
        <v>261</v>
      </c>
      <c r="F39" s="19" t="s">
        <v>262</v>
      </c>
      <c r="G39" s="20" t="s">
        <v>180</v>
      </c>
    </row>
    <row r="40" spans="1:7" x14ac:dyDescent="0.25">
      <c r="A40" s="14" t="s">
        <v>14</v>
      </c>
      <c r="B40" s="14" t="s">
        <v>126</v>
      </c>
      <c r="C40" s="14" t="s">
        <v>255</v>
      </c>
      <c r="D40" s="19" t="s">
        <v>263</v>
      </c>
      <c r="E40" s="14" t="s">
        <v>261</v>
      </c>
      <c r="F40" s="19" t="s">
        <v>264</v>
      </c>
      <c r="G40" s="20" t="s">
        <v>180</v>
      </c>
    </row>
    <row r="41" spans="1:7" x14ac:dyDescent="0.25">
      <c r="A41" s="14" t="s">
        <v>14</v>
      </c>
      <c r="B41" s="14" t="s">
        <v>126</v>
      </c>
      <c r="C41" s="14" t="s">
        <v>255</v>
      </c>
      <c r="D41" s="19" t="s">
        <v>265</v>
      </c>
      <c r="E41" s="14" t="s">
        <v>261</v>
      </c>
      <c r="F41" s="19" t="s">
        <v>266</v>
      </c>
      <c r="G41" s="20" t="s">
        <v>180</v>
      </c>
    </row>
    <row r="42" spans="1:7" x14ac:dyDescent="0.25">
      <c r="A42" s="14" t="s">
        <v>14</v>
      </c>
      <c r="B42" s="14" t="s">
        <v>146</v>
      </c>
      <c r="C42" s="14" t="s">
        <v>267</v>
      </c>
      <c r="D42" s="19" t="s">
        <v>268</v>
      </c>
      <c r="E42" s="14" t="s">
        <v>269</v>
      </c>
      <c r="F42" s="19" t="s">
        <v>270</v>
      </c>
      <c r="G42" s="20" t="s">
        <v>180</v>
      </c>
    </row>
    <row r="43" spans="1:7" x14ac:dyDescent="0.25">
      <c r="A43" s="21" t="s">
        <v>6</v>
      </c>
      <c r="B43" s="21" t="s">
        <v>6</v>
      </c>
      <c r="C43" s="21" t="s">
        <v>6</v>
      </c>
      <c r="D43" s="22" t="s">
        <v>271</v>
      </c>
      <c r="E43" s="21" t="s">
        <v>272</v>
      </c>
      <c r="F43" s="22" t="s">
        <v>6</v>
      </c>
      <c r="G43" s="23" t="s">
        <v>210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273</v>
      </c>
      <c r="E44" s="21" t="s">
        <v>274</v>
      </c>
      <c r="F44" s="22" t="s">
        <v>6</v>
      </c>
      <c r="G44" s="23" t="s">
        <v>210</v>
      </c>
    </row>
    <row r="45" spans="1:7" x14ac:dyDescent="0.25">
      <c r="A45" s="14" t="s">
        <v>14</v>
      </c>
      <c r="B45" s="14" t="s">
        <v>146</v>
      </c>
      <c r="C45" s="14" t="s">
        <v>267</v>
      </c>
      <c r="D45" s="19" t="s">
        <v>275</v>
      </c>
      <c r="E45" s="14" t="s">
        <v>276</v>
      </c>
      <c r="F45" s="19" t="s">
        <v>270</v>
      </c>
      <c r="G45" s="20" t="s">
        <v>180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277</v>
      </c>
      <c r="E46" s="21" t="s">
        <v>278</v>
      </c>
      <c r="F46" s="22" t="s">
        <v>6</v>
      </c>
      <c r="G46" s="23" t="s">
        <v>210</v>
      </c>
    </row>
    <row r="47" spans="1:7" x14ac:dyDescent="0.25">
      <c r="A47" s="21" t="s">
        <v>6</v>
      </c>
      <c r="B47" s="21" t="s">
        <v>6</v>
      </c>
      <c r="C47" s="21" t="s">
        <v>6</v>
      </c>
      <c r="D47" s="22" t="s">
        <v>279</v>
      </c>
      <c r="E47" s="21" t="s">
        <v>280</v>
      </c>
      <c r="F47" s="22" t="s">
        <v>6</v>
      </c>
      <c r="G47" s="23" t="s">
        <v>210</v>
      </c>
    </row>
    <row r="48" spans="1:7" x14ac:dyDescent="0.25">
      <c r="A48" s="21" t="s">
        <v>6</v>
      </c>
      <c r="B48" s="21" t="s">
        <v>6</v>
      </c>
      <c r="C48" s="21" t="s">
        <v>6</v>
      </c>
      <c r="D48" s="22" t="s">
        <v>281</v>
      </c>
      <c r="E48" s="21" t="s">
        <v>282</v>
      </c>
      <c r="F48" s="22" t="s">
        <v>6</v>
      </c>
      <c r="G48" s="23" t="s">
        <v>210</v>
      </c>
    </row>
    <row r="49" spans="1:7" x14ac:dyDescent="0.25">
      <c r="A49" s="14" t="s">
        <v>14</v>
      </c>
      <c r="B49" s="14" t="s">
        <v>146</v>
      </c>
      <c r="C49" s="14" t="s">
        <v>267</v>
      </c>
      <c r="D49" s="19" t="s">
        <v>283</v>
      </c>
      <c r="E49" s="14" t="s">
        <v>269</v>
      </c>
      <c r="F49" s="19" t="s">
        <v>270</v>
      </c>
      <c r="G49" s="20" t="s">
        <v>180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284</v>
      </c>
      <c r="E50" s="21" t="s">
        <v>285</v>
      </c>
      <c r="F50" s="22" t="s">
        <v>6</v>
      </c>
      <c r="G50" s="23" t="s">
        <v>210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286</v>
      </c>
      <c r="E51" s="21" t="s">
        <v>287</v>
      </c>
      <c r="F51" s="22" t="s">
        <v>6</v>
      </c>
      <c r="G51" s="23" t="s">
        <v>210</v>
      </c>
    </row>
    <row r="52" spans="1:7" x14ac:dyDescent="0.25">
      <c r="A52" s="14" t="s">
        <v>14</v>
      </c>
      <c r="B52" s="14" t="s">
        <v>158</v>
      </c>
      <c r="C52" s="14" t="s">
        <v>288</v>
      </c>
      <c r="D52" s="19" t="s">
        <v>289</v>
      </c>
      <c r="E52" s="14" t="s">
        <v>290</v>
      </c>
      <c r="F52" s="19" t="s">
        <v>291</v>
      </c>
      <c r="G52" s="20" t="s">
        <v>180</v>
      </c>
    </row>
    <row r="53" spans="1:7" x14ac:dyDescent="0.25">
      <c r="A53" s="24" t="s">
        <v>15</v>
      </c>
      <c r="B53" s="24" t="s">
        <v>54</v>
      </c>
      <c r="C53" s="24" t="s">
        <v>292</v>
      </c>
      <c r="D53" s="25" t="s">
        <v>293</v>
      </c>
      <c r="E53" s="24" t="s">
        <v>294</v>
      </c>
      <c r="F53" s="25" t="s">
        <v>295</v>
      </c>
      <c r="G53" s="26" t="s">
        <v>180</v>
      </c>
    </row>
    <row r="54" spans="1:7" x14ac:dyDescent="0.25">
      <c r="A54" s="24" t="s">
        <v>15</v>
      </c>
      <c r="B54" s="24" t="s">
        <v>56</v>
      </c>
      <c r="C54" s="24" t="s">
        <v>292</v>
      </c>
      <c r="D54" s="25" t="s">
        <v>296</v>
      </c>
      <c r="E54" s="24" t="s">
        <v>297</v>
      </c>
      <c r="F54" s="25" t="s">
        <v>298</v>
      </c>
      <c r="G54" s="24" t="s">
        <v>6</v>
      </c>
    </row>
    <row r="55" spans="1:7" x14ac:dyDescent="0.25">
      <c r="A55" s="24" t="s">
        <v>15</v>
      </c>
      <c r="B55" s="24" t="s">
        <v>108</v>
      </c>
      <c r="C55" s="24" t="s">
        <v>299</v>
      </c>
      <c r="D55" s="25" t="s">
        <v>300</v>
      </c>
      <c r="E55" s="24" t="s">
        <v>301</v>
      </c>
      <c r="F55" s="25" t="s">
        <v>302</v>
      </c>
      <c r="G55" s="26" t="s">
        <v>180</v>
      </c>
    </row>
    <row r="56" spans="1:7" x14ac:dyDescent="0.25">
      <c r="A56" s="24" t="s">
        <v>15</v>
      </c>
      <c r="B56" s="24" t="s">
        <v>108</v>
      </c>
      <c r="C56" s="24" t="s">
        <v>299</v>
      </c>
      <c r="D56" s="25" t="s">
        <v>303</v>
      </c>
      <c r="E56" s="24" t="s">
        <v>304</v>
      </c>
      <c r="F56" s="25" t="s">
        <v>302</v>
      </c>
      <c r="G56" s="26" t="s">
        <v>180</v>
      </c>
    </row>
    <row r="57" spans="1:7" x14ac:dyDescent="0.25">
      <c r="A57" s="24" t="s">
        <v>15</v>
      </c>
      <c r="B57" s="24" t="s">
        <v>108</v>
      </c>
      <c r="C57" s="24" t="s">
        <v>299</v>
      </c>
      <c r="D57" s="25" t="s">
        <v>305</v>
      </c>
      <c r="E57" s="24" t="s">
        <v>306</v>
      </c>
      <c r="F57" s="25" t="s">
        <v>302</v>
      </c>
      <c r="G57" s="26" t="s">
        <v>180</v>
      </c>
    </row>
    <row r="58" spans="1:7" x14ac:dyDescent="0.25">
      <c r="A58" s="24" t="s">
        <v>15</v>
      </c>
      <c r="B58" s="24" t="s">
        <v>108</v>
      </c>
      <c r="C58" s="24" t="s">
        <v>299</v>
      </c>
      <c r="D58" s="25" t="s">
        <v>307</v>
      </c>
      <c r="E58" s="24" t="s">
        <v>308</v>
      </c>
      <c r="F58" s="25" t="s">
        <v>302</v>
      </c>
      <c r="G58" s="26" t="s">
        <v>180</v>
      </c>
    </row>
    <row r="59" spans="1:7" x14ac:dyDescent="0.25">
      <c r="A59" s="24" t="s">
        <v>15</v>
      </c>
      <c r="B59" s="24" t="s">
        <v>108</v>
      </c>
      <c r="C59" s="24" t="s">
        <v>299</v>
      </c>
      <c r="D59" s="25" t="s">
        <v>309</v>
      </c>
      <c r="E59" s="24" t="s">
        <v>310</v>
      </c>
      <c r="F59" s="25" t="s">
        <v>302</v>
      </c>
      <c r="G59" s="26" t="s">
        <v>180</v>
      </c>
    </row>
    <row r="60" spans="1:7" x14ac:dyDescent="0.25">
      <c r="A60" s="24" t="s">
        <v>15</v>
      </c>
      <c r="B60" s="24" t="s">
        <v>128</v>
      </c>
      <c r="C60" s="24" t="s">
        <v>255</v>
      </c>
      <c r="D60" s="25" t="s">
        <v>311</v>
      </c>
      <c r="E60" s="24" t="s">
        <v>312</v>
      </c>
      <c r="F60" s="25" t="s">
        <v>313</v>
      </c>
      <c r="G60" s="26" t="s">
        <v>180</v>
      </c>
    </row>
    <row r="61" spans="1:7" x14ac:dyDescent="0.25">
      <c r="A61" s="24" t="s">
        <v>15</v>
      </c>
      <c r="B61" s="24" t="s">
        <v>128</v>
      </c>
      <c r="C61" s="24" t="s">
        <v>255</v>
      </c>
      <c r="D61" s="25" t="s">
        <v>314</v>
      </c>
      <c r="E61" s="24" t="s">
        <v>315</v>
      </c>
      <c r="F61" s="25" t="s">
        <v>313</v>
      </c>
      <c r="G61" s="26" t="s">
        <v>180</v>
      </c>
    </row>
    <row r="62" spans="1:7" x14ac:dyDescent="0.25">
      <c r="A62" s="24" t="s">
        <v>15</v>
      </c>
      <c r="B62" s="24" t="s">
        <v>128</v>
      </c>
      <c r="C62" s="24" t="s">
        <v>255</v>
      </c>
      <c r="D62" s="25" t="s">
        <v>316</v>
      </c>
      <c r="E62" s="24" t="s">
        <v>317</v>
      </c>
      <c r="F62" s="25" t="s">
        <v>313</v>
      </c>
      <c r="G62" s="26" t="s">
        <v>180</v>
      </c>
    </row>
    <row r="63" spans="1:7" x14ac:dyDescent="0.25">
      <c r="A63" s="24" t="s">
        <v>15</v>
      </c>
      <c r="B63" s="24" t="s">
        <v>150</v>
      </c>
      <c r="C63" s="24" t="s">
        <v>267</v>
      </c>
      <c r="D63" s="25" t="s">
        <v>318</v>
      </c>
      <c r="E63" s="24" t="s">
        <v>319</v>
      </c>
      <c r="F63" s="25" t="s">
        <v>320</v>
      </c>
      <c r="G63" s="24" t="s">
        <v>6</v>
      </c>
    </row>
    <row r="64" spans="1:7" x14ac:dyDescent="0.25">
      <c r="A64" s="21" t="s">
        <v>6</v>
      </c>
      <c r="B64" s="21" t="s">
        <v>6</v>
      </c>
      <c r="C64" s="21" t="s">
        <v>6</v>
      </c>
      <c r="D64" s="22" t="s">
        <v>321</v>
      </c>
      <c r="E64" s="21" t="s">
        <v>322</v>
      </c>
      <c r="F64" s="22" t="s">
        <v>323</v>
      </c>
      <c r="G64" s="23" t="s">
        <v>210</v>
      </c>
    </row>
    <row r="65" spans="1:7" x14ac:dyDescent="0.25">
      <c r="A65" s="21" t="s">
        <v>6</v>
      </c>
      <c r="B65" s="21" t="s">
        <v>6</v>
      </c>
      <c r="C65" s="21" t="s">
        <v>6</v>
      </c>
      <c r="D65" s="22" t="s">
        <v>324</v>
      </c>
      <c r="E65" s="21" t="s">
        <v>325</v>
      </c>
      <c r="F65" s="22" t="s">
        <v>6</v>
      </c>
      <c r="G65" s="23" t="s">
        <v>210</v>
      </c>
    </row>
    <row r="66" spans="1:7" x14ac:dyDescent="0.25">
      <c r="A66" s="21" t="s">
        <v>6</v>
      </c>
      <c r="B66" s="21" t="s">
        <v>6</v>
      </c>
      <c r="C66" s="21" t="s">
        <v>6</v>
      </c>
      <c r="D66" s="22" t="s">
        <v>326</v>
      </c>
      <c r="E66" s="21" t="s">
        <v>327</v>
      </c>
      <c r="F66" s="22" t="s">
        <v>6</v>
      </c>
      <c r="G66" s="23" t="s">
        <v>210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328</v>
      </c>
      <c r="E67" s="21" t="s">
        <v>329</v>
      </c>
      <c r="F67" s="22" t="s">
        <v>6</v>
      </c>
      <c r="G67" s="23" t="s">
        <v>210</v>
      </c>
    </row>
    <row r="68" spans="1:7" x14ac:dyDescent="0.25">
      <c r="A68" s="21" t="s">
        <v>6</v>
      </c>
      <c r="B68" s="21" t="s">
        <v>6</v>
      </c>
      <c r="C68" s="21" t="s">
        <v>6</v>
      </c>
      <c r="D68" s="22" t="s">
        <v>330</v>
      </c>
      <c r="E68" s="21" t="s">
        <v>331</v>
      </c>
      <c r="F68" s="22" t="s">
        <v>6</v>
      </c>
      <c r="G68" s="23" t="s">
        <v>210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332</v>
      </c>
      <c r="E69" s="21" t="s">
        <v>333</v>
      </c>
      <c r="F69" s="22" t="s">
        <v>6</v>
      </c>
      <c r="G69" s="23" t="s">
        <v>210</v>
      </c>
    </row>
  </sheetData>
  <autoFilter ref="A1:G69"/>
  <hyperlinks>
    <hyperlink ref="G2" r:id="rId1"/>
    <hyperlink ref="G3" r:id="rId2"/>
    <hyperlink ref="G7" r:id="rId3"/>
    <hyperlink ref="G8" r:id="rId4"/>
    <hyperlink ref="G9" r:id="rId5"/>
    <hyperlink ref="G10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  <hyperlink ref="G30" r:id="rId26"/>
    <hyperlink ref="G31" r:id="rId27"/>
    <hyperlink ref="G32" r:id="rId28"/>
    <hyperlink ref="G33" r:id="rId29"/>
    <hyperlink ref="G34" r:id="rId30"/>
    <hyperlink ref="G35" r:id="rId31"/>
    <hyperlink ref="G36" r:id="rId32"/>
    <hyperlink ref="G37" r:id="rId33"/>
    <hyperlink ref="G38" r:id="rId34"/>
    <hyperlink ref="G39" r:id="rId35"/>
    <hyperlink ref="G40" r:id="rId36"/>
    <hyperlink ref="G41" r:id="rId37"/>
    <hyperlink ref="G42" r:id="rId38"/>
    <hyperlink ref="G43" r:id="rId39"/>
    <hyperlink ref="G44" r:id="rId40"/>
    <hyperlink ref="G45" r:id="rId41"/>
    <hyperlink ref="G46" r:id="rId42"/>
    <hyperlink ref="G47" r:id="rId43"/>
    <hyperlink ref="G48" r:id="rId44"/>
    <hyperlink ref="G49" r:id="rId45"/>
    <hyperlink ref="G50" r:id="rId46"/>
    <hyperlink ref="G51" r:id="rId47"/>
    <hyperlink ref="G52" r:id="rId48"/>
    <hyperlink ref="G53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4" r:id="rId58"/>
    <hyperlink ref="G65" r:id="rId59"/>
    <hyperlink ref="G66" r:id="rId60"/>
    <hyperlink ref="G67" r:id="rId61"/>
    <hyperlink ref="G68" r:id="rId62"/>
    <hyperlink ref="G69" r:id="rId6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334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268</v>
      </c>
      <c r="D5" s="14" t="s">
        <v>269</v>
      </c>
      <c r="E5" s="19" t="s">
        <v>270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271</v>
      </c>
      <c r="D6" s="21" t="s">
        <v>272</v>
      </c>
      <c r="E6" s="22" t="s">
        <v>6</v>
      </c>
      <c r="F6" s="23" t="s">
        <v>210</v>
      </c>
    </row>
    <row r="7" spans="1:6" x14ac:dyDescent="0.25">
      <c r="A7" s="21" t="s">
        <v>6</v>
      </c>
      <c r="B7" s="21" t="s">
        <v>6</v>
      </c>
      <c r="C7" s="22" t="s">
        <v>273</v>
      </c>
      <c r="D7" s="21" t="s">
        <v>274</v>
      </c>
      <c r="E7" s="22" t="s">
        <v>6</v>
      </c>
      <c r="F7" s="23" t="s">
        <v>210</v>
      </c>
    </row>
    <row r="8" spans="1:6" x14ac:dyDescent="0.25">
      <c r="A8" s="14" t="s">
        <v>14</v>
      </c>
      <c r="B8" s="14" t="s">
        <v>146</v>
      </c>
      <c r="C8" s="19" t="s">
        <v>275</v>
      </c>
      <c r="D8" s="14" t="s">
        <v>276</v>
      </c>
      <c r="E8" s="19" t="s">
        <v>270</v>
      </c>
      <c r="F8" s="20" t="s">
        <v>180</v>
      </c>
    </row>
    <row r="9" spans="1:6" x14ac:dyDescent="0.25">
      <c r="A9" s="21" t="s">
        <v>6</v>
      </c>
      <c r="B9" s="21" t="s">
        <v>6</v>
      </c>
      <c r="C9" s="22" t="s">
        <v>277</v>
      </c>
      <c r="D9" s="21" t="s">
        <v>278</v>
      </c>
      <c r="E9" s="22" t="s">
        <v>6</v>
      </c>
      <c r="F9" s="23" t="s">
        <v>210</v>
      </c>
    </row>
    <row r="10" spans="1:6" x14ac:dyDescent="0.25">
      <c r="A10" s="21" t="s">
        <v>6</v>
      </c>
      <c r="B10" s="21" t="s">
        <v>6</v>
      </c>
      <c r="C10" s="22" t="s">
        <v>279</v>
      </c>
      <c r="D10" s="21" t="s">
        <v>280</v>
      </c>
      <c r="E10" s="22" t="s">
        <v>6</v>
      </c>
      <c r="F10" s="23" t="s">
        <v>210</v>
      </c>
    </row>
    <row r="11" spans="1:6" x14ac:dyDescent="0.25">
      <c r="A11" s="21" t="s">
        <v>6</v>
      </c>
      <c r="B11" s="21" t="s">
        <v>6</v>
      </c>
      <c r="C11" s="22" t="s">
        <v>281</v>
      </c>
      <c r="D11" s="21" t="s">
        <v>282</v>
      </c>
      <c r="E11" s="22" t="s">
        <v>6</v>
      </c>
      <c r="F11" s="23" t="s">
        <v>210</v>
      </c>
    </row>
    <row r="12" spans="1:6" x14ac:dyDescent="0.25">
      <c r="A12" s="14" t="s">
        <v>14</v>
      </c>
      <c r="B12" s="14" t="s">
        <v>146</v>
      </c>
      <c r="C12" s="19" t="s">
        <v>283</v>
      </c>
      <c r="D12" s="14" t="s">
        <v>269</v>
      </c>
      <c r="E12" s="19" t="s">
        <v>270</v>
      </c>
      <c r="F12" s="20" t="s">
        <v>180</v>
      </c>
    </row>
    <row r="13" spans="1:6" x14ac:dyDescent="0.25">
      <c r="A13" s="21" t="s">
        <v>6</v>
      </c>
      <c r="B13" s="21" t="s">
        <v>6</v>
      </c>
      <c r="C13" s="22" t="s">
        <v>284</v>
      </c>
      <c r="D13" s="21" t="s">
        <v>285</v>
      </c>
      <c r="E13" s="22" t="s">
        <v>6</v>
      </c>
      <c r="F13" s="23" t="s">
        <v>210</v>
      </c>
    </row>
    <row r="14" spans="1:6" x14ac:dyDescent="0.25">
      <c r="A14" s="21" t="s">
        <v>6</v>
      </c>
      <c r="B14" s="21" t="s">
        <v>6</v>
      </c>
      <c r="C14" s="22" t="s">
        <v>286</v>
      </c>
      <c r="D14" s="21" t="s">
        <v>287</v>
      </c>
      <c r="E14" s="22" t="s">
        <v>6</v>
      </c>
      <c r="F14" s="23" t="s">
        <v>210</v>
      </c>
    </row>
    <row r="15" spans="1:6" x14ac:dyDescent="0.25">
      <c r="A15" s="24" t="s">
        <v>15</v>
      </c>
      <c r="B15" s="24" t="s">
        <v>150</v>
      </c>
      <c r="C15" s="25" t="s">
        <v>318</v>
      </c>
      <c r="D15" s="24" t="s">
        <v>319</v>
      </c>
      <c r="E15" s="25" t="s">
        <v>320</v>
      </c>
      <c r="F15" s="24" t="s">
        <v>6</v>
      </c>
    </row>
    <row r="16" spans="1:6" x14ac:dyDescent="0.25">
      <c r="A16" s="21" t="s">
        <v>6</v>
      </c>
      <c r="B16" s="21" t="s">
        <v>6</v>
      </c>
      <c r="C16" s="22" t="s">
        <v>321</v>
      </c>
      <c r="D16" s="21" t="s">
        <v>322</v>
      </c>
      <c r="E16" s="22" t="s">
        <v>323</v>
      </c>
      <c r="F16" s="23" t="s">
        <v>210</v>
      </c>
    </row>
    <row r="17" spans="1:6" x14ac:dyDescent="0.25">
      <c r="A17" s="21" t="s">
        <v>6</v>
      </c>
      <c r="B17" s="21" t="s">
        <v>6</v>
      </c>
      <c r="C17" s="22" t="s">
        <v>324</v>
      </c>
      <c r="D17" s="21" t="s">
        <v>325</v>
      </c>
      <c r="E17" s="22" t="s">
        <v>6</v>
      </c>
      <c r="F17" s="23" t="s">
        <v>210</v>
      </c>
    </row>
    <row r="18" spans="1:6" x14ac:dyDescent="0.25">
      <c r="A18" s="21" t="s">
        <v>6</v>
      </c>
      <c r="B18" s="21" t="s">
        <v>6</v>
      </c>
      <c r="C18" s="22" t="s">
        <v>326</v>
      </c>
      <c r="D18" s="21" t="s">
        <v>327</v>
      </c>
      <c r="E18" s="22" t="s">
        <v>6</v>
      </c>
      <c r="F18" s="23" t="s">
        <v>210</v>
      </c>
    </row>
    <row r="19" spans="1:6" x14ac:dyDescent="0.25">
      <c r="A19" s="21" t="s">
        <v>6</v>
      </c>
      <c r="B19" s="21" t="s">
        <v>6</v>
      </c>
      <c r="C19" s="22" t="s">
        <v>328</v>
      </c>
      <c r="D19" s="21" t="s">
        <v>329</v>
      </c>
      <c r="E19" s="22" t="s">
        <v>6</v>
      </c>
      <c r="F19" s="23" t="s">
        <v>210</v>
      </c>
    </row>
    <row r="20" spans="1:6" x14ac:dyDescent="0.25">
      <c r="A20" s="21" t="s">
        <v>6</v>
      </c>
      <c r="B20" s="21" t="s">
        <v>6</v>
      </c>
      <c r="C20" s="22" t="s">
        <v>330</v>
      </c>
      <c r="D20" s="21" t="s">
        <v>331</v>
      </c>
      <c r="E20" s="22" t="s">
        <v>6</v>
      </c>
      <c r="F20" s="23" t="s">
        <v>210</v>
      </c>
    </row>
    <row r="21" spans="1:6" x14ac:dyDescent="0.25">
      <c r="A21" s="21" t="s">
        <v>6</v>
      </c>
      <c r="B21" s="21" t="s">
        <v>6</v>
      </c>
      <c r="C21" s="22" t="s">
        <v>332</v>
      </c>
      <c r="D21" s="21" t="s">
        <v>333</v>
      </c>
      <c r="E21" s="22" t="s">
        <v>6</v>
      </c>
      <c r="F21" s="23" t="s">
        <v>210</v>
      </c>
    </row>
  </sheetData>
  <autoFilter ref="A4:F2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6" r:id="rId11"/>
    <hyperlink ref="F17" r:id="rId12"/>
    <hyperlink ref="F18" r:id="rId13"/>
    <hyperlink ref="F19" r:id="rId14"/>
    <hyperlink ref="F20" r:id="rId15"/>
    <hyperlink ref="F21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335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19" t="s">
        <v>289</v>
      </c>
      <c r="D5" s="14" t="s">
        <v>290</v>
      </c>
      <c r="E5" s="19" t="s">
        <v>291</v>
      </c>
      <c r="F5" s="20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336</v>
      </c>
    </row>
    <row r="4" spans="1:1" x14ac:dyDescent="0.25">
      <c r="A4" s="29" t="s">
        <v>337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42</v>
      </c>
      <c r="C5" s="19" t="s">
        <v>193</v>
      </c>
      <c r="D5" s="14" t="s">
        <v>194</v>
      </c>
      <c r="E5" s="19" t="s">
        <v>195</v>
      </c>
      <c r="F5" s="20" t="s">
        <v>180</v>
      </c>
    </row>
    <row r="6" spans="1:6" x14ac:dyDescent="0.25">
      <c r="A6" s="14" t="s">
        <v>14</v>
      </c>
      <c r="B6" s="14" t="s">
        <v>42</v>
      </c>
      <c r="C6" s="19" t="s">
        <v>196</v>
      </c>
      <c r="D6" s="14" t="s">
        <v>197</v>
      </c>
      <c r="E6" s="19" t="s">
        <v>195</v>
      </c>
      <c r="F6" s="20" t="s">
        <v>180</v>
      </c>
    </row>
    <row r="7" spans="1:6" x14ac:dyDescent="0.25">
      <c r="A7" s="14" t="s">
        <v>14</v>
      </c>
      <c r="B7" s="14" t="s">
        <v>42</v>
      </c>
      <c r="C7" s="19" t="s">
        <v>198</v>
      </c>
      <c r="D7" s="14" t="s">
        <v>199</v>
      </c>
      <c r="E7" s="19" t="s">
        <v>195</v>
      </c>
      <c r="F7" s="20" t="s">
        <v>180</v>
      </c>
    </row>
    <row r="8" spans="1:6" x14ac:dyDescent="0.25">
      <c r="A8" s="14" t="s">
        <v>14</v>
      </c>
      <c r="B8" s="14" t="s">
        <v>60</v>
      </c>
      <c r="C8" s="19" t="s">
        <v>201</v>
      </c>
      <c r="D8" s="14" t="s">
        <v>202</v>
      </c>
      <c r="E8" s="19" t="s">
        <v>203</v>
      </c>
      <c r="F8" s="20" t="s">
        <v>180</v>
      </c>
    </row>
    <row r="9" spans="1:6" x14ac:dyDescent="0.25">
      <c r="A9" s="14" t="s">
        <v>14</v>
      </c>
      <c r="B9" s="14" t="s">
        <v>112</v>
      </c>
      <c r="C9" s="19" t="s">
        <v>205</v>
      </c>
      <c r="D9" s="14" t="s">
        <v>206</v>
      </c>
      <c r="E9" s="19" t="s">
        <v>207</v>
      </c>
      <c r="F9" s="20" t="s">
        <v>180</v>
      </c>
    </row>
    <row r="10" spans="1:6" x14ac:dyDescent="0.25">
      <c r="A10" s="21" t="s">
        <v>6</v>
      </c>
      <c r="B10" s="21" t="s">
        <v>6</v>
      </c>
      <c r="C10" s="22" t="s">
        <v>208</v>
      </c>
      <c r="D10" s="21" t="s">
        <v>209</v>
      </c>
      <c r="E10" s="22" t="s">
        <v>6</v>
      </c>
      <c r="F10" s="23" t="s">
        <v>210</v>
      </c>
    </row>
    <row r="11" spans="1:6" x14ac:dyDescent="0.25">
      <c r="A11" s="21" t="s">
        <v>6</v>
      </c>
      <c r="B11" s="21" t="s">
        <v>6</v>
      </c>
      <c r="C11" s="22" t="s">
        <v>211</v>
      </c>
      <c r="D11" s="21" t="s">
        <v>212</v>
      </c>
      <c r="E11" s="22" t="s">
        <v>6</v>
      </c>
      <c r="F11" s="23" t="s">
        <v>210</v>
      </c>
    </row>
    <row r="12" spans="1:6" x14ac:dyDescent="0.25">
      <c r="A12" s="21" t="s">
        <v>6</v>
      </c>
      <c r="B12" s="21" t="s">
        <v>6</v>
      </c>
      <c r="C12" s="22" t="s">
        <v>213</v>
      </c>
      <c r="D12" s="21" t="s">
        <v>214</v>
      </c>
      <c r="E12" s="22" t="s">
        <v>6</v>
      </c>
      <c r="F12" s="23" t="s">
        <v>210</v>
      </c>
    </row>
    <row r="13" spans="1:6" x14ac:dyDescent="0.25">
      <c r="A13" s="21" t="s">
        <v>6</v>
      </c>
      <c r="B13" s="21" t="s">
        <v>6</v>
      </c>
      <c r="C13" s="22" t="s">
        <v>215</v>
      </c>
      <c r="D13" s="21" t="s">
        <v>216</v>
      </c>
      <c r="E13" s="22" t="s">
        <v>6</v>
      </c>
      <c r="F13" s="23" t="s">
        <v>210</v>
      </c>
    </row>
    <row r="14" spans="1:6" x14ac:dyDescent="0.25">
      <c r="A14" s="14" t="s">
        <v>14</v>
      </c>
      <c r="B14" s="14" t="s">
        <v>112</v>
      </c>
      <c r="C14" s="19" t="s">
        <v>217</v>
      </c>
      <c r="D14" s="14" t="s">
        <v>218</v>
      </c>
      <c r="E14" s="19" t="s">
        <v>207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215</v>
      </c>
      <c r="D15" s="21" t="s">
        <v>219</v>
      </c>
      <c r="E15" s="22" t="s">
        <v>6</v>
      </c>
      <c r="F15" s="23" t="s">
        <v>210</v>
      </c>
    </row>
    <row r="16" spans="1:6" x14ac:dyDescent="0.25">
      <c r="A16" s="14" t="s">
        <v>14</v>
      </c>
      <c r="B16" s="14" t="s">
        <v>112</v>
      </c>
      <c r="C16" s="19" t="s">
        <v>220</v>
      </c>
      <c r="D16" s="14" t="s">
        <v>221</v>
      </c>
      <c r="E16" s="19" t="s">
        <v>207</v>
      </c>
      <c r="F16" s="20" t="s">
        <v>180</v>
      </c>
    </row>
    <row r="17" spans="1:6" x14ac:dyDescent="0.25">
      <c r="A17" s="21" t="s">
        <v>6</v>
      </c>
      <c r="B17" s="21" t="s">
        <v>6</v>
      </c>
      <c r="C17" s="22" t="s">
        <v>222</v>
      </c>
      <c r="D17" s="21" t="s">
        <v>223</v>
      </c>
      <c r="E17" s="22" t="s">
        <v>6</v>
      </c>
      <c r="F17" s="23" t="s">
        <v>210</v>
      </c>
    </row>
    <row r="18" spans="1:6" x14ac:dyDescent="0.25">
      <c r="A18" s="21" t="s">
        <v>6</v>
      </c>
      <c r="B18" s="21" t="s">
        <v>6</v>
      </c>
      <c r="C18" s="22" t="s">
        <v>215</v>
      </c>
      <c r="D18" s="21" t="s">
        <v>224</v>
      </c>
      <c r="E18" s="22" t="s">
        <v>6</v>
      </c>
      <c r="F18" s="23" t="s">
        <v>210</v>
      </c>
    </row>
    <row r="19" spans="1:6" x14ac:dyDescent="0.25">
      <c r="A19" s="14" t="s">
        <v>14</v>
      </c>
      <c r="B19" s="14" t="s">
        <v>112</v>
      </c>
      <c r="C19" s="19" t="s">
        <v>225</v>
      </c>
      <c r="D19" s="14" t="s">
        <v>226</v>
      </c>
      <c r="E19" s="19" t="s">
        <v>207</v>
      </c>
      <c r="F19" s="20" t="s">
        <v>180</v>
      </c>
    </row>
    <row r="20" spans="1:6" x14ac:dyDescent="0.25">
      <c r="A20" s="21" t="s">
        <v>6</v>
      </c>
      <c r="B20" s="21" t="s">
        <v>6</v>
      </c>
      <c r="C20" s="22" t="s">
        <v>215</v>
      </c>
      <c r="D20" s="21" t="s">
        <v>227</v>
      </c>
      <c r="E20" s="22" t="s">
        <v>6</v>
      </c>
      <c r="F20" s="23" t="s">
        <v>210</v>
      </c>
    </row>
    <row r="21" spans="1:6" x14ac:dyDescent="0.25">
      <c r="A21" s="14" t="s">
        <v>14</v>
      </c>
      <c r="B21" s="14" t="s">
        <v>112</v>
      </c>
      <c r="C21" s="19" t="s">
        <v>228</v>
      </c>
      <c r="D21" s="14" t="s">
        <v>229</v>
      </c>
      <c r="E21" s="19" t="s">
        <v>207</v>
      </c>
      <c r="F21" s="20" t="s">
        <v>180</v>
      </c>
    </row>
    <row r="22" spans="1:6" x14ac:dyDescent="0.25">
      <c r="A22" s="21" t="s">
        <v>6</v>
      </c>
      <c r="B22" s="21" t="s">
        <v>6</v>
      </c>
      <c r="C22" s="22" t="s">
        <v>215</v>
      </c>
      <c r="D22" s="21" t="s">
        <v>230</v>
      </c>
      <c r="E22" s="22" t="s">
        <v>6</v>
      </c>
      <c r="F22" s="23" t="s">
        <v>210</v>
      </c>
    </row>
    <row r="23" spans="1:6" x14ac:dyDescent="0.25">
      <c r="A23" s="14" t="s">
        <v>14</v>
      </c>
      <c r="B23" s="14" t="s">
        <v>112</v>
      </c>
      <c r="C23" s="19" t="s">
        <v>231</v>
      </c>
      <c r="D23" s="14" t="s">
        <v>232</v>
      </c>
      <c r="E23" s="19" t="s">
        <v>207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215</v>
      </c>
      <c r="D24" s="21" t="s">
        <v>233</v>
      </c>
      <c r="E24" s="22" t="s">
        <v>6</v>
      </c>
      <c r="F24" s="23" t="s">
        <v>210</v>
      </c>
    </row>
    <row r="25" spans="1:6" x14ac:dyDescent="0.25">
      <c r="A25" s="14" t="s">
        <v>14</v>
      </c>
      <c r="B25" s="14" t="s">
        <v>112</v>
      </c>
      <c r="C25" s="19" t="s">
        <v>234</v>
      </c>
      <c r="D25" s="14" t="s">
        <v>235</v>
      </c>
      <c r="E25" s="19" t="s">
        <v>207</v>
      </c>
      <c r="F25" s="20" t="s">
        <v>180</v>
      </c>
    </row>
    <row r="26" spans="1:6" x14ac:dyDescent="0.25">
      <c r="A26" s="21" t="s">
        <v>6</v>
      </c>
      <c r="B26" s="21" t="s">
        <v>6</v>
      </c>
      <c r="C26" s="22" t="s">
        <v>215</v>
      </c>
      <c r="D26" s="21" t="s">
        <v>236</v>
      </c>
      <c r="E26" s="22" t="s">
        <v>6</v>
      </c>
      <c r="F26" s="23" t="s">
        <v>210</v>
      </c>
    </row>
    <row r="27" spans="1:6" x14ac:dyDescent="0.25">
      <c r="A27" s="14" t="s">
        <v>14</v>
      </c>
      <c r="B27" s="14" t="s">
        <v>114</v>
      </c>
      <c r="C27" s="19" t="s">
        <v>237</v>
      </c>
      <c r="D27" s="14" t="s">
        <v>238</v>
      </c>
      <c r="E27" s="19" t="s">
        <v>239</v>
      </c>
      <c r="F27" s="20" t="s">
        <v>180</v>
      </c>
    </row>
    <row r="28" spans="1:6" x14ac:dyDescent="0.25">
      <c r="A28" s="21" t="s">
        <v>6</v>
      </c>
      <c r="B28" s="21" t="s">
        <v>6</v>
      </c>
      <c r="C28" s="22" t="s">
        <v>240</v>
      </c>
      <c r="D28" s="21" t="s">
        <v>238</v>
      </c>
      <c r="E28" s="22" t="s">
        <v>6</v>
      </c>
      <c r="F28" s="23" t="s">
        <v>210</v>
      </c>
    </row>
    <row r="29" spans="1:6" x14ac:dyDescent="0.25">
      <c r="A29" s="14" t="s">
        <v>14</v>
      </c>
      <c r="B29" s="14" t="s">
        <v>116</v>
      </c>
      <c r="C29" s="19" t="s">
        <v>241</v>
      </c>
      <c r="D29" s="14" t="s">
        <v>242</v>
      </c>
      <c r="E29" s="19" t="s">
        <v>243</v>
      </c>
      <c r="F29" s="20" t="s">
        <v>180</v>
      </c>
    </row>
    <row r="30" spans="1:6" x14ac:dyDescent="0.25">
      <c r="A30" s="14" t="s">
        <v>14</v>
      </c>
      <c r="B30" s="14" t="s">
        <v>116</v>
      </c>
      <c r="C30" s="19" t="s">
        <v>244</v>
      </c>
      <c r="D30" s="14" t="s">
        <v>245</v>
      </c>
      <c r="E30" s="19" t="s">
        <v>243</v>
      </c>
      <c r="F30" s="20" t="s">
        <v>180</v>
      </c>
    </row>
    <row r="31" spans="1:6" x14ac:dyDescent="0.25">
      <c r="A31" s="14" t="s">
        <v>14</v>
      </c>
      <c r="B31" s="14" t="s">
        <v>116</v>
      </c>
      <c r="C31" s="19" t="s">
        <v>246</v>
      </c>
      <c r="D31" s="14" t="s">
        <v>247</v>
      </c>
      <c r="E31" s="19" t="s">
        <v>243</v>
      </c>
      <c r="F31" s="20" t="s">
        <v>180</v>
      </c>
    </row>
    <row r="32" spans="1:6" x14ac:dyDescent="0.25">
      <c r="A32" s="14" t="s">
        <v>14</v>
      </c>
      <c r="B32" s="14" t="s">
        <v>116</v>
      </c>
      <c r="C32" s="19" t="s">
        <v>248</v>
      </c>
      <c r="D32" s="14" t="s">
        <v>249</v>
      </c>
      <c r="E32" s="19" t="s">
        <v>243</v>
      </c>
      <c r="F32" s="20" t="s">
        <v>180</v>
      </c>
    </row>
    <row r="33" spans="1:6" x14ac:dyDescent="0.25">
      <c r="A33" s="14" t="s">
        <v>14</v>
      </c>
      <c r="B33" s="14" t="s">
        <v>116</v>
      </c>
      <c r="C33" s="19" t="s">
        <v>250</v>
      </c>
      <c r="D33" s="14" t="s">
        <v>251</v>
      </c>
      <c r="E33" s="19" t="s">
        <v>243</v>
      </c>
      <c r="F33" s="20" t="s">
        <v>180</v>
      </c>
    </row>
    <row r="34" spans="1:6" x14ac:dyDescent="0.25">
      <c r="A34" s="21" t="s">
        <v>6</v>
      </c>
      <c r="B34" s="21" t="s">
        <v>6</v>
      </c>
      <c r="C34" s="22" t="s">
        <v>252</v>
      </c>
      <c r="D34" s="21" t="s">
        <v>253</v>
      </c>
      <c r="E34" s="22" t="s">
        <v>254</v>
      </c>
      <c r="F34" s="23" t="s">
        <v>210</v>
      </c>
    </row>
  </sheetData>
  <autoFilter ref="A4:F34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339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120</v>
      </c>
      <c r="C6" s="19" t="s">
        <v>256</v>
      </c>
      <c r="D6" s="14" t="s">
        <v>206</v>
      </c>
      <c r="E6" s="19" t="s">
        <v>257</v>
      </c>
      <c r="F6" s="20" t="s">
        <v>180</v>
      </c>
    </row>
    <row r="7" spans="1:6" x14ac:dyDescent="0.25">
      <c r="A7" s="21" t="s">
        <v>6</v>
      </c>
      <c r="B7" s="21" t="s">
        <v>6</v>
      </c>
      <c r="C7" s="22" t="s">
        <v>258</v>
      </c>
      <c r="D7" s="21" t="s">
        <v>259</v>
      </c>
      <c r="E7" s="22" t="s">
        <v>6</v>
      </c>
      <c r="F7" s="23" t="s">
        <v>210</v>
      </c>
    </row>
    <row r="8" spans="1:6" x14ac:dyDescent="0.25">
      <c r="A8" s="14" t="s">
        <v>14</v>
      </c>
      <c r="B8" s="14" t="s">
        <v>126</v>
      </c>
      <c r="C8" s="19" t="s">
        <v>260</v>
      </c>
      <c r="D8" s="14" t="s">
        <v>261</v>
      </c>
      <c r="E8" s="19" t="s">
        <v>262</v>
      </c>
      <c r="F8" s="20" t="s">
        <v>180</v>
      </c>
    </row>
    <row r="9" spans="1:6" x14ac:dyDescent="0.25">
      <c r="A9" s="14" t="s">
        <v>14</v>
      </c>
      <c r="B9" s="14" t="s">
        <v>126</v>
      </c>
      <c r="C9" s="19" t="s">
        <v>263</v>
      </c>
      <c r="D9" s="14" t="s">
        <v>261</v>
      </c>
      <c r="E9" s="19" t="s">
        <v>264</v>
      </c>
      <c r="F9" s="20" t="s">
        <v>180</v>
      </c>
    </row>
    <row r="10" spans="1:6" x14ac:dyDescent="0.25">
      <c r="A10" s="14" t="s">
        <v>14</v>
      </c>
      <c r="B10" s="14" t="s">
        <v>126</v>
      </c>
      <c r="C10" s="19" t="s">
        <v>265</v>
      </c>
      <c r="D10" s="14" t="s">
        <v>261</v>
      </c>
      <c r="E10" s="19" t="s">
        <v>266</v>
      </c>
      <c r="F10" s="20" t="s">
        <v>180</v>
      </c>
    </row>
    <row r="11" spans="1:6" x14ac:dyDescent="0.25">
      <c r="A11" s="24" t="s">
        <v>15</v>
      </c>
      <c r="B11" s="24" t="s">
        <v>108</v>
      </c>
      <c r="C11" s="25" t="s">
        <v>300</v>
      </c>
      <c r="D11" s="24" t="s">
        <v>301</v>
      </c>
      <c r="E11" s="25" t="s">
        <v>302</v>
      </c>
      <c r="F11" s="26" t="s">
        <v>180</v>
      </c>
    </row>
    <row r="12" spans="1:6" x14ac:dyDescent="0.25">
      <c r="A12" s="24" t="s">
        <v>15</v>
      </c>
      <c r="B12" s="24" t="s">
        <v>108</v>
      </c>
      <c r="C12" s="25" t="s">
        <v>303</v>
      </c>
      <c r="D12" s="24" t="s">
        <v>304</v>
      </c>
      <c r="E12" s="25" t="s">
        <v>302</v>
      </c>
      <c r="F12" s="26" t="s">
        <v>180</v>
      </c>
    </row>
    <row r="13" spans="1:6" x14ac:dyDescent="0.25">
      <c r="A13" s="24" t="s">
        <v>15</v>
      </c>
      <c r="B13" s="24" t="s">
        <v>108</v>
      </c>
      <c r="C13" s="25" t="s">
        <v>305</v>
      </c>
      <c r="D13" s="24" t="s">
        <v>306</v>
      </c>
      <c r="E13" s="25" t="s">
        <v>302</v>
      </c>
      <c r="F13" s="26" t="s">
        <v>180</v>
      </c>
    </row>
    <row r="14" spans="1:6" x14ac:dyDescent="0.25">
      <c r="A14" s="24" t="s">
        <v>15</v>
      </c>
      <c r="B14" s="24" t="s">
        <v>108</v>
      </c>
      <c r="C14" s="25" t="s">
        <v>307</v>
      </c>
      <c r="D14" s="24" t="s">
        <v>308</v>
      </c>
      <c r="E14" s="25" t="s">
        <v>302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309</v>
      </c>
      <c r="D15" s="24" t="s">
        <v>310</v>
      </c>
      <c r="E15" s="25" t="s">
        <v>302</v>
      </c>
      <c r="F15" s="26" t="s">
        <v>180</v>
      </c>
    </row>
    <row r="16" spans="1:6" x14ac:dyDescent="0.25">
      <c r="A16" s="24" t="s">
        <v>15</v>
      </c>
      <c r="B16" s="24" t="s">
        <v>128</v>
      </c>
      <c r="C16" s="25" t="s">
        <v>311</v>
      </c>
      <c r="D16" s="24" t="s">
        <v>312</v>
      </c>
      <c r="E16" s="25" t="s">
        <v>313</v>
      </c>
      <c r="F16" s="26" t="s">
        <v>180</v>
      </c>
    </row>
    <row r="17" spans="1:6" x14ac:dyDescent="0.25">
      <c r="A17" s="24" t="s">
        <v>15</v>
      </c>
      <c r="B17" s="24" t="s">
        <v>128</v>
      </c>
      <c r="C17" s="25" t="s">
        <v>314</v>
      </c>
      <c r="D17" s="24" t="s">
        <v>315</v>
      </c>
      <c r="E17" s="25" t="s">
        <v>313</v>
      </c>
      <c r="F17" s="26" t="s">
        <v>180</v>
      </c>
    </row>
    <row r="18" spans="1:6" x14ac:dyDescent="0.25">
      <c r="A18" s="24" t="s">
        <v>15</v>
      </c>
      <c r="B18" s="24" t="s">
        <v>128</v>
      </c>
      <c r="C18" s="25" t="s">
        <v>316</v>
      </c>
      <c r="D18" s="24" t="s">
        <v>317</v>
      </c>
      <c r="E18" s="25" t="s">
        <v>313</v>
      </c>
      <c r="F18" s="26" t="s">
        <v>180</v>
      </c>
    </row>
  </sheetData>
  <autoFilter ref="A4:F18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340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28</v>
      </c>
      <c r="C5" s="19" t="s">
        <v>182</v>
      </c>
      <c r="D5" s="14" t="s">
        <v>183</v>
      </c>
      <c r="E5" s="19" t="s">
        <v>184</v>
      </c>
      <c r="F5" s="20" t="s">
        <v>180</v>
      </c>
    </row>
    <row r="6" spans="1:6" x14ac:dyDescent="0.25">
      <c r="A6" s="14" t="s">
        <v>14</v>
      </c>
      <c r="B6" s="14" t="s">
        <v>31</v>
      </c>
      <c r="C6" s="19" t="s">
        <v>185</v>
      </c>
      <c r="D6" s="14" t="s">
        <v>186</v>
      </c>
      <c r="E6" s="19" t="s">
        <v>187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188</v>
      </c>
      <c r="D7" s="14" t="s">
        <v>189</v>
      </c>
      <c r="E7" s="19" t="s">
        <v>187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190</v>
      </c>
      <c r="D8" s="14" t="s">
        <v>191</v>
      </c>
      <c r="E8" s="19" t="s">
        <v>187</v>
      </c>
      <c r="F8" s="14" t="s">
        <v>6</v>
      </c>
    </row>
    <row r="9" spans="1:6" x14ac:dyDescent="0.25">
      <c r="A9" s="24" t="s">
        <v>15</v>
      </c>
      <c r="B9" s="24" t="s">
        <v>54</v>
      </c>
      <c r="C9" s="25" t="s">
        <v>293</v>
      </c>
      <c r="D9" s="24" t="s">
        <v>294</v>
      </c>
      <c r="E9" s="25" t="s">
        <v>295</v>
      </c>
      <c r="F9" s="26" t="s">
        <v>180</v>
      </c>
    </row>
    <row r="10" spans="1:6" x14ac:dyDescent="0.25">
      <c r="A10" s="24" t="s">
        <v>15</v>
      </c>
      <c r="B10" s="24" t="s">
        <v>56</v>
      </c>
      <c r="C10" s="25" t="s">
        <v>296</v>
      </c>
      <c r="D10" s="24" t="s">
        <v>297</v>
      </c>
      <c r="E10" s="25" t="s">
        <v>298</v>
      </c>
      <c r="F10" s="24" t="s">
        <v>6</v>
      </c>
    </row>
  </sheetData>
  <autoFilter ref="A4:F10"/>
  <mergeCells count="1">
    <mergeCell ref="A1:F1"/>
  </mergeCells>
  <hyperlinks>
    <hyperlink ref="F5" r:id="rId1"/>
    <hyperlink ref="F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341</v>
      </c>
      <c r="B1" s="5" t="s">
        <v>342</v>
      </c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</row>
    <row r="2" spans="1:7" x14ac:dyDescent="0.25">
      <c r="A2" s="10" t="s">
        <v>348</v>
      </c>
      <c r="B2" s="30">
        <v>309103</v>
      </c>
      <c r="C2" s="30">
        <v>796308</v>
      </c>
      <c r="D2" s="31">
        <v>-487205</v>
      </c>
      <c r="E2" s="32" t="s">
        <v>349</v>
      </c>
      <c r="F2" s="10" t="s">
        <v>350</v>
      </c>
      <c r="G2" s="33" t="s">
        <v>351</v>
      </c>
    </row>
    <row r="3" spans="1:7" x14ac:dyDescent="0.25">
      <c r="A3" s="10" t="s">
        <v>352</v>
      </c>
      <c r="B3" s="30">
        <v>20172646</v>
      </c>
      <c r="C3" s="30">
        <v>13673843</v>
      </c>
      <c r="D3" s="30">
        <v>6498803</v>
      </c>
      <c r="E3" s="32" t="s">
        <v>353</v>
      </c>
      <c r="F3" s="10" t="s">
        <v>6</v>
      </c>
      <c r="G3" s="33" t="s">
        <v>351</v>
      </c>
    </row>
    <row r="4" spans="1:7" x14ac:dyDescent="0.25">
      <c r="A4" s="10" t="s">
        <v>354</v>
      </c>
      <c r="B4" s="30">
        <v>851706</v>
      </c>
      <c r="C4" s="30">
        <v>812299</v>
      </c>
      <c r="D4" s="30">
        <v>39407</v>
      </c>
      <c r="E4" s="32" t="s">
        <v>355</v>
      </c>
      <c r="F4" s="10" t="s">
        <v>6</v>
      </c>
      <c r="G4" s="33" t="s">
        <v>351</v>
      </c>
    </row>
    <row r="5" spans="1:7" x14ac:dyDescent="0.25">
      <c r="A5" s="10" t="s">
        <v>356</v>
      </c>
      <c r="B5" s="30">
        <v>1017106</v>
      </c>
      <c r="C5" s="30">
        <v>5597995</v>
      </c>
      <c r="D5" s="31">
        <v>-4580889</v>
      </c>
      <c r="E5" s="32" t="s">
        <v>357</v>
      </c>
      <c r="F5" s="10" t="s">
        <v>350</v>
      </c>
      <c r="G5" s="33" t="s">
        <v>351</v>
      </c>
    </row>
    <row r="6" spans="1:7" x14ac:dyDescent="0.25">
      <c r="A6" s="10" t="s">
        <v>358</v>
      </c>
      <c r="B6" s="30">
        <v>2607023</v>
      </c>
      <c r="C6" s="30">
        <v>920218</v>
      </c>
      <c r="D6" s="31">
        <v>1686805</v>
      </c>
      <c r="E6" s="32" t="s">
        <v>359</v>
      </c>
      <c r="F6" s="10" t="s">
        <v>350</v>
      </c>
      <c r="G6" s="33" t="s">
        <v>351</v>
      </c>
    </row>
    <row r="7" spans="1:7" x14ac:dyDescent="0.25">
      <c r="A7" s="10" t="s">
        <v>360</v>
      </c>
      <c r="B7" s="30">
        <v>531985</v>
      </c>
      <c r="C7" s="30">
        <v>356125</v>
      </c>
      <c r="D7" s="30">
        <v>175860</v>
      </c>
      <c r="E7" s="32" t="s">
        <v>361</v>
      </c>
      <c r="F7" s="10" t="s">
        <v>6</v>
      </c>
      <c r="G7" s="33" t="s">
        <v>351</v>
      </c>
    </row>
    <row r="8" spans="1:7" x14ac:dyDescent="0.25">
      <c r="A8" s="10" t="s">
        <v>362</v>
      </c>
      <c r="B8" s="30">
        <v>3972</v>
      </c>
      <c r="C8" s="30">
        <v>3972</v>
      </c>
      <c r="D8" s="30">
        <v>0</v>
      </c>
      <c r="E8" s="32" t="s">
        <v>363</v>
      </c>
      <c r="F8" s="10" t="s">
        <v>6</v>
      </c>
      <c r="G8" s="33" t="s">
        <v>351</v>
      </c>
    </row>
    <row r="9" spans="1:7" x14ac:dyDescent="0.25">
      <c r="A9" s="10" t="s">
        <v>364</v>
      </c>
      <c r="B9" s="30">
        <v>491</v>
      </c>
      <c r="C9" s="30">
        <v>491</v>
      </c>
      <c r="D9" s="30">
        <v>0</v>
      </c>
      <c r="E9" s="32" t="s">
        <v>363</v>
      </c>
      <c r="F9" s="10" t="s">
        <v>6</v>
      </c>
      <c r="G9" s="33" t="s">
        <v>351</v>
      </c>
    </row>
    <row r="10" spans="1:7" x14ac:dyDescent="0.25">
      <c r="A10" s="10" t="s">
        <v>365</v>
      </c>
      <c r="B10" s="30">
        <v>4620000</v>
      </c>
      <c r="C10" s="30">
        <v>4410000</v>
      </c>
      <c r="D10" s="30">
        <v>210000</v>
      </c>
      <c r="E10" s="32" t="s">
        <v>366</v>
      </c>
      <c r="F10" s="10" t="s">
        <v>6</v>
      </c>
      <c r="G10" s="33" t="s">
        <v>351</v>
      </c>
    </row>
    <row r="11" spans="1:7" x14ac:dyDescent="0.25">
      <c r="A11" s="10" t="s">
        <v>367</v>
      </c>
      <c r="B11" s="30">
        <v>20995034</v>
      </c>
      <c r="C11" s="30">
        <v>25179348</v>
      </c>
      <c r="D11" s="30">
        <v>-4184314</v>
      </c>
      <c r="E11" s="32" t="s">
        <v>368</v>
      </c>
      <c r="F11" s="10" t="s">
        <v>6</v>
      </c>
      <c r="G11" s="33" t="s">
        <v>351</v>
      </c>
    </row>
    <row r="12" spans="1:7" x14ac:dyDescent="0.25">
      <c r="A12" s="10" t="s">
        <v>369</v>
      </c>
      <c r="B12" s="30">
        <v>27704795</v>
      </c>
      <c r="C12" s="30">
        <v>31382785</v>
      </c>
      <c r="D12" s="30">
        <v>-3677990</v>
      </c>
      <c r="E12" s="32" t="s">
        <v>370</v>
      </c>
      <c r="F12" s="10" t="s">
        <v>6</v>
      </c>
      <c r="G12" s="33" t="s">
        <v>351</v>
      </c>
    </row>
    <row r="13" spans="1:7" x14ac:dyDescent="0.25">
      <c r="A13" s="10" t="s">
        <v>371</v>
      </c>
      <c r="B13" s="30">
        <v>200888</v>
      </c>
      <c r="C13" s="30">
        <v>122000</v>
      </c>
      <c r="D13" s="31">
        <v>78888</v>
      </c>
      <c r="E13" s="32" t="s">
        <v>372</v>
      </c>
      <c r="F13" s="10" t="s">
        <v>350</v>
      </c>
      <c r="G13" s="33" t="s">
        <v>351</v>
      </c>
    </row>
    <row r="14" spans="1:7" x14ac:dyDescent="0.25">
      <c r="A14" s="10" t="s">
        <v>373</v>
      </c>
      <c r="B14" s="30">
        <v>21620</v>
      </c>
      <c r="C14" s="30">
        <v>21620</v>
      </c>
      <c r="D14" s="30">
        <v>0</v>
      </c>
      <c r="E14" s="32" t="s">
        <v>363</v>
      </c>
      <c r="F14" s="10" t="s">
        <v>6</v>
      </c>
      <c r="G14" s="33" t="s">
        <v>351</v>
      </c>
    </row>
    <row r="15" spans="1:7" x14ac:dyDescent="0.25">
      <c r="A15" s="10" t="s">
        <v>374</v>
      </c>
      <c r="B15" s="30">
        <v>0</v>
      </c>
      <c r="C15" s="30">
        <v>0</v>
      </c>
      <c r="D15" s="30">
        <v>0</v>
      </c>
      <c r="E15" s="32" t="s">
        <v>6</v>
      </c>
      <c r="F15" s="10" t="s">
        <v>6</v>
      </c>
      <c r="G15" s="33" t="s">
        <v>351</v>
      </c>
    </row>
    <row r="16" spans="1:7" x14ac:dyDescent="0.25">
      <c r="A16" s="10" t="s">
        <v>375</v>
      </c>
      <c r="B16" s="30">
        <v>1168111</v>
      </c>
      <c r="C16" s="30">
        <v>1168111</v>
      </c>
      <c r="D16" s="30">
        <v>0</v>
      </c>
      <c r="E16" s="32" t="s">
        <v>363</v>
      </c>
      <c r="F16" s="10" t="s">
        <v>6</v>
      </c>
      <c r="G16" s="33" t="s">
        <v>351</v>
      </c>
    </row>
    <row r="17" spans="1:7" x14ac:dyDescent="0.25">
      <c r="A17" s="10" t="s">
        <v>376</v>
      </c>
      <c r="B17" s="30">
        <v>482293</v>
      </c>
      <c r="C17" s="30">
        <v>482293</v>
      </c>
      <c r="D17" s="30">
        <v>0</v>
      </c>
      <c r="E17" s="32" t="s">
        <v>363</v>
      </c>
      <c r="F17" s="10" t="s">
        <v>6</v>
      </c>
      <c r="G17" s="33" t="s">
        <v>351</v>
      </c>
    </row>
    <row r="18" spans="1:7" x14ac:dyDescent="0.25">
      <c r="A18" s="10" t="s">
        <v>377</v>
      </c>
      <c r="B18" s="30">
        <v>220498</v>
      </c>
      <c r="C18" s="30">
        <v>289542</v>
      </c>
      <c r="D18" s="30">
        <v>-69044</v>
      </c>
      <c r="E18" s="32" t="s">
        <v>378</v>
      </c>
      <c r="F18" s="10" t="s">
        <v>6</v>
      </c>
      <c r="G18" s="33" t="s">
        <v>351</v>
      </c>
    </row>
    <row r="19" spans="1:7" x14ac:dyDescent="0.25">
      <c r="A19" s="10" t="s">
        <v>379</v>
      </c>
      <c r="B19" s="34">
        <v>-162936</v>
      </c>
      <c r="C19" s="30">
        <v>-149358</v>
      </c>
      <c r="D19" s="30">
        <v>-13578</v>
      </c>
      <c r="E19" s="32" t="s">
        <v>380</v>
      </c>
      <c r="F19" s="10" t="s">
        <v>30</v>
      </c>
      <c r="G19" s="33" t="s">
        <v>351</v>
      </c>
    </row>
    <row r="20" spans="1:7" x14ac:dyDescent="0.25">
      <c r="A20" s="10" t="s">
        <v>381</v>
      </c>
      <c r="B20" s="30">
        <v>72800</v>
      </c>
      <c r="C20" s="30">
        <v>72800</v>
      </c>
      <c r="D20" s="30">
        <v>0</v>
      </c>
      <c r="E20" s="32" t="s">
        <v>363</v>
      </c>
      <c r="F20" s="10" t="s">
        <v>6</v>
      </c>
      <c r="G20" s="33" t="s">
        <v>351</v>
      </c>
    </row>
    <row r="21" spans="1:7" x14ac:dyDescent="0.25">
      <c r="A21" s="10" t="s">
        <v>382</v>
      </c>
      <c r="B21" s="30">
        <v>27821070</v>
      </c>
      <c r="C21" s="30">
        <v>27612360</v>
      </c>
      <c r="D21" s="30">
        <v>208710</v>
      </c>
      <c r="E21" s="32" t="s">
        <v>383</v>
      </c>
      <c r="F21" s="10" t="s">
        <v>6</v>
      </c>
      <c r="G21" s="33" t="s">
        <v>351</v>
      </c>
    </row>
    <row r="22" spans="1:7" x14ac:dyDescent="0.25">
      <c r="A22" s="10" t="s">
        <v>384</v>
      </c>
      <c r="B22" s="30">
        <v>10000</v>
      </c>
      <c r="C22" s="30">
        <v>10000</v>
      </c>
      <c r="D22" s="30">
        <v>0</v>
      </c>
      <c r="E22" s="32" t="s">
        <v>363</v>
      </c>
      <c r="F22" s="10" t="s">
        <v>6</v>
      </c>
      <c r="G22" s="33" t="s">
        <v>351</v>
      </c>
    </row>
    <row r="23" spans="1:7" x14ac:dyDescent="0.25">
      <c r="A23" s="10" t="s">
        <v>385</v>
      </c>
      <c r="B23" s="30">
        <v>4152800</v>
      </c>
      <c r="C23" s="30">
        <v>4152800</v>
      </c>
      <c r="D23" s="30">
        <v>0</v>
      </c>
      <c r="E23" s="32" t="s">
        <v>363</v>
      </c>
      <c r="F23" s="10" t="s">
        <v>6</v>
      </c>
      <c r="G23" s="33" t="s">
        <v>351</v>
      </c>
    </row>
    <row r="24" spans="1:7" x14ac:dyDescent="0.25">
      <c r="A24" s="10" t="s">
        <v>386</v>
      </c>
      <c r="B24" s="30">
        <v>1500000</v>
      </c>
      <c r="C24" s="30">
        <v>1500000</v>
      </c>
      <c r="D24" s="30">
        <v>0</v>
      </c>
      <c r="E24" s="32" t="s">
        <v>363</v>
      </c>
      <c r="F24" s="10" t="s">
        <v>6</v>
      </c>
      <c r="G24" s="33" t="s">
        <v>351</v>
      </c>
    </row>
    <row r="25" spans="1:7" x14ac:dyDescent="0.25">
      <c r="A25" s="10" t="s">
        <v>387</v>
      </c>
      <c r="B25" s="30">
        <v>363001</v>
      </c>
      <c r="C25" s="30">
        <v>374012</v>
      </c>
      <c r="D25" s="30">
        <v>-11011</v>
      </c>
      <c r="E25" s="32" t="s">
        <v>388</v>
      </c>
      <c r="F25" s="10" t="s">
        <v>6</v>
      </c>
      <c r="G25" s="33" t="s">
        <v>351</v>
      </c>
    </row>
    <row r="26" spans="1:7" x14ac:dyDescent="0.25">
      <c r="A26" s="10" t="s">
        <v>389</v>
      </c>
      <c r="B26" s="30">
        <v>0</v>
      </c>
      <c r="C26" s="30">
        <v>0</v>
      </c>
      <c r="D26" s="30">
        <v>0</v>
      </c>
      <c r="E26" s="32" t="s">
        <v>6</v>
      </c>
      <c r="F26" s="10" t="s">
        <v>6</v>
      </c>
      <c r="G26" s="33" t="s">
        <v>351</v>
      </c>
    </row>
    <row r="27" spans="1:7" x14ac:dyDescent="0.25">
      <c r="A27" s="10" t="s">
        <v>390</v>
      </c>
      <c r="B27" s="30">
        <v>33997645</v>
      </c>
      <c r="C27" s="30">
        <v>27013806</v>
      </c>
      <c r="D27" s="30">
        <v>6983839</v>
      </c>
      <c r="E27" s="32" t="s">
        <v>391</v>
      </c>
      <c r="F27" s="10" t="s">
        <v>6</v>
      </c>
      <c r="G27" s="33" t="s">
        <v>351</v>
      </c>
    </row>
    <row r="28" spans="1:7" x14ac:dyDescent="0.25">
      <c r="A28" s="10" t="s">
        <v>392</v>
      </c>
      <c r="B28" s="30">
        <v>2115400</v>
      </c>
      <c r="C28" s="30">
        <v>0</v>
      </c>
      <c r="D28" s="30">
        <v>2115400</v>
      </c>
      <c r="E28" s="32" t="s">
        <v>6</v>
      </c>
      <c r="F28" s="10" t="s">
        <v>6</v>
      </c>
      <c r="G28" s="33" t="s">
        <v>351</v>
      </c>
    </row>
    <row r="29" spans="1:7" x14ac:dyDescent="0.25">
      <c r="A29" s="10" t="s">
        <v>393</v>
      </c>
      <c r="B29" s="30">
        <v>4980445</v>
      </c>
      <c r="C29" s="30">
        <v>9276435</v>
      </c>
      <c r="D29" s="30">
        <v>-4295990</v>
      </c>
      <c r="E29" s="32" t="s">
        <v>394</v>
      </c>
      <c r="F29" s="10" t="s">
        <v>6</v>
      </c>
      <c r="G29" s="33" t="s">
        <v>351</v>
      </c>
    </row>
    <row r="30" spans="1:7" x14ac:dyDescent="0.25">
      <c r="A30" s="10" t="s">
        <v>395</v>
      </c>
      <c r="B30" s="30">
        <v>8818968</v>
      </c>
      <c r="C30" s="30">
        <v>8253199</v>
      </c>
      <c r="D30" s="30">
        <v>565769</v>
      </c>
      <c r="E30" s="32" t="s">
        <v>396</v>
      </c>
      <c r="F30" s="10" t="s">
        <v>6</v>
      </c>
      <c r="G30" s="33" t="s">
        <v>351</v>
      </c>
    </row>
    <row r="31" spans="1:7" x14ac:dyDescent="0.25">
      <c r="A31" s="10" t="s">
        <v>397</v>
      </c>
      <c r="B31" s="30">
        <v>1126000</v>
      </c>
      <c r="C31" s="30">
        <v>1126000</v>
      </c>
      <c r="D31" s="30">
        <v>0</v>
      </c>
      <c r="E31" s="32" t="s">
        <v>363</v>
      </c>
      <c r="F31" s="10" t="s">
        <v>6</v>
      </c>
      <c r="G31" s="33" t="s">
        <v>351</v>
      </c>
    </row>
    <row r="32" spans="1:7" x14ac:dyDescent="0.25">
      <c r="A32" s="10" t="s">
        <v>398</v>
      </c>
      <c r="B32" s="30">
        <v>0</v>
      </c>
      <c r="C32" s="30">
        <v>0</v>
      </c>
      <c r="D32" s="30">
        <v>0</v>
      </c>
      <c r="E32" s="32" t="s">
        <v>6</v>
      </c>
      <c r="F32" s="10" t="s">
        <v>6</v>
      </c>
      <c r="G32" s="33" t="s">
        <v>351</v>
      </c>
    </row>
    <row r="33" spans="1:7" x14ac:dyDescent="0.25">
      <c r="A33" s="10" t="s">
        <v>399</v>
      </c>
      <c r="B33" s="30">
        <v>0</v>
      </c>
      <c r="C33" s="30">
        <v>0</v>
      </c>
      <c r="D33" s="30">
        <v>0</v>
      </c>
      <c r="E33" s="32" t="s">
        <v>6</v>
      </c>
      <c r="F33" s="10" t="s">
        <v>6</v>
      </c>
      <c r="G33" s="33" t="s">
        <v>351</v>
      </c>
    </row>
    <row r="34" spans="1:7" x14ac:dyDescent="0.25">
      <c r="A34" s="10" t="s">
        <v>400</v>
      </c>
      <c r="B34" s="30">
        <v>2016920</v>
      </c>
      <c r="C34" s="30">
        <v>716080</v>
      </c>
      <c r="D34" s="31">
        <v>1300840</v>
      </c>
      <c r="E34" s="32" t="s">
        <v>401</v>
      </c>
      <c r="F34" s="10" t="s">
        <v>350</v>
      </c>
      <c r="G34" s="33" t="s">
        <v>351</v>
      </c>
    </row>
    <row r="35" spans="1:7" x14ac:dyDescent="0.25">
      <c r="A35" s="10" t="s">
        <v>402</v>
      </c>
      <c r="B35" s="30">
        <v>1885601</v>
      </c>
      <c r="C35" s="30">
        <v>378545</v>
      </c>
      <c r="D35" s="31">
        <v>1507056</v>
      </c>
      <c r="E35" s="32" t="s">
        <v>403</v>
      </c>
      <c r="F35" s="10" t="s">
        <v>350</v>
      </c>
      <c r="G35" s="33" t="s">
        <v>351</v>
      </c>
    </row>
    <row r="36" spans="1:7" x14ac:dyDescent="0.25">
      <c r="A36" s="10" t="s">
        <v>404</v>
      </c>
      <c r="B36" s="30">
        <v>14044000</v>
      </c>
      <c r="C36" s="30">
        <v>14867000</v>
      </c>
      <c r="D36" s="30">
        <v>-823000</v>
      </c>
      <c r="E36" s="32" t="s">
        <v>405</v>
      </c>
      <c r="F36" s="10" t="s">
        <v>6</v>
      </c>
      <c r="G36" s="33" t="s">
        <v>351</v>
      </c>
    </row>
    <row r="37" spans="1:7" x14ac:dyDescent="0.25">
      <c r="A37" s="10" t="s">
        <v>406</v>
      </c>
      <c r="B37" s="30">
        <v>10000000</v>
      </c>
      <c r="C37" s="30">
        <v>10000000</v>
      </c>
      <c r="D37" s="30">
        <v>0</v>
      </c>
      <c r="E37" s="32" t="s">
        <v>363</v>
      </c>
      <c r="F37" s="10" t="s">
        <v>6</v>
      </c>
      <c r="G37" s="33" t="s">
        <v>351</v>
      </c>
    </row>
    <row r="38" spans="1:7" x14ac:dyDescent="0.25">
      <c r="A38" s="10" t="s">
        <v>407</v>
      </c>
      <c r="B38" s="30">
        <v>1000000</v>
      </c>
      <c r="C38" s="30">
        <v>1000000</v>
      </c>
      <c r="D38" s="30">
        <v>0</v>
      </c>
      <c r="E38" s="32" t="s">
        <v>363</v>
      </c>
      <c r="F38" s="10" t="s">
        <v>6</v>
      </c>
      <c r="G38" s="33" t="s">
        <v>351</v>
      </c>
    </row>
    <row r="39" spans="1:7" x14ac:dyDescent="0.25">
      <c r="A39" s="10" t="s">
        <v>408</v>
      </c>
      <c r="B39" s="30">
        <v>25464642</v>
      </c>
      <c r="C39" s="30">
        <v>25464642</v>
      </c>
      <c r="D39" s="30">
        <v>0</v>
      </c>
      <c r="E39" s="32" t="s">
        <v>363</v>
      </c>
      <c r="F39" s="10" t="s">
        <v>6</v>
      </c>
      <c r="G39" s="33" t="s">
        <v>351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409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341</v>
      </c>
      <c r="B3" s="5" t="s">
        <v>410</v>
      </c>
      <c r="C3" s="5" t="s">
        <v>411</v>
      </c>
      <c r="D3" s="5" t="s">
        <v>412</v>
      </c>
      <c r="E3" s="5" t="s">
        <v>413</v>
      </c>
      <c r="F3" s="5" t="s">
        <v>414</v>
      </c>
      <c r="G3" s="5" t="s">
        <v>415</v>
      </c>
      <c r="H3" s="5" t="s">
        <v>416</v>
      </c>
      <c r="I3" s="5" t="s">
        <v>417</v>
      </c>
      <c r="J3" s="5" t="s">
        <v>418</v>
      </c>
      <c r="K3" s="5" t="s">
        <v>419</v>
      </c>
      <c r="L3" s="5" t="s">
        <v>420</v>
      </c>
      <c r="M3" s="36" t="s">
        <v>421</v>
      </c>
      <c r="N3" s="5" t="s">
        <v>422</v>
      </c>
      <c r="O3" s="5" t="s">
        <v>347</v>
      </c>
    </row>
    <row r="4" spans="1:15" x14ac:dyDescent="0.25">
      <c r="A4" s="10" t="s">
        <v>423</v>
      </c>
      <c r="B4" s="30">
        <v>58865093</v>
      </c>
      <c r="C4" s="30">
        <v>53851159</v>
      </c>
      <c r="D4" s="30">
        <v>52483524</v>
      </c>
      <c r="E4" s="30">
        <v>49266819</v>
      </c>
      <c r="F4" s="30">
        <v>46712870</v>
      </c>
      <c r="G4" s="30">
        <v>39668692</v>
      </c>
      <c r="H4" s="30">
        <v>51260441</v>
      </c>
      <c r="I4" s="30">
        <v>47343990</v>
      </c>
      <c r="J4" s="30">
        <v>40581179</v>
      </c>
      <c r="K4" s="30">
        <v>42177662</v>
      </c>
      <c r="L4" s="30">
        <v>41671041</v>
      </c>
      <c r="M4" s="37">
        <v>39234068</v>
      </c>
      <c r="N4" s="38">
        <f>SUM(B4:M4)</f>
        <v>563116538</v>
      </c>
      <c r="O4" s="39"/>
    </row>
    <row r="5" spans="1:15" x14ac:dyDescent="0.25">
      <c r="A5" s="10" t="s">
        <v>424</v>
      </c>
      <c r="B5" s="30">
        <v>35673027</v>
      </c>
      <c r="C5" s="30">
        <v>34468831</v>
      </c>
      <c r="D5" s="30">
        <v>38076272</v>
      </c>
      <c r="E5" s="30">
        <v>33776667</v>
      </c>
      <c r="F5" s="30">
        <v>32595749</v>
      </c>
      <c r="G5" s="30">
        <v>26974515</v>
      </c>
      <c r="H5" s="30">
        <v>36924453</v>
      </c>
      <c r="I5" s="30">
        <v>33719563</v>
      </c>
      <c r="J5" s="30">
        <v>26796004</v>
      </c>
      <c r="K5" s="30">
        <v>32927695</v>
      </c>
      <c r="L5" s="30">
        <v>29174736</v>
      </c>
      <c r="M5" s="37">
        <v>34045072</v>
      </c>
      <c r="N5" s="38">
        <f>SUM(B5:M5)</f>
        <v>395152584</v>
      </c>
      <c r="O5" s="39"/>
    </row>
    <row r="6" spans="1:15" x14ac:dyDescent="0.25">
      <c r="A6" s="40" t="s">
        <v>425</v>
      </c>
      <c r="B6" s="41">
        <v>23192066</v>
      </c>
      <c r="C6" s="41">
        <v>19382328</v>
      </c>
      <c r="D6" s="41">
        <v>14407252</v>
      </c>
      <c r="E6" s="41">
        <v>15490152</v>
      </c>
      <c r="F6" s="41">
        <v>14117121</v>
      </c>
      <c r="G6" s="41">
        <v>12694177</v>
      </c>
      <c r="H6" s="41">
        <v>14335988</v>
      </c>
      <c r="I6" s="41">
        <v>13624427</v>
      </c>
      <c r="J6" s="41">
        <v>13785175</v>
      </c>
      <c r="K6" s="41">
        <v>9249967</v>
      </c>
      <c r="L6" s="41">
        <v>12496305</v>
      </c>
      <c r="M6" s="41">
        <v>5188996</v>
      </c>
      <c r="N6" s="41">
        <f>SUM(B6:M6)</f>
        <v>167963954</v>
      </c>
      <c r="O6" s="42"/>
    </row>
    <row r="7" spans="1:15" x14ac:dyDescent="0.25">
      <c r="A7" s="10" t="s">
        <v>426</v>
      </c>
      <c r="B7" s="30">
        <f>HYPERLINK("https://secure.freee.co.jp/reports/general_ledgers/show?name=%E5%BD%B9%E5%93%A1%E5%A0%B1%E9%85%AC&amp;start_date=2025-03-01&amp;end_date=2025-03-31&amp;fiscal_year_id=9766670",1535000)</f>
        <v>1535000</v>
      </c>
      <c r="C7" s="30">
        <f>HYPERLINK("https://secure.freee.co.jp/reports/general_ledgers/show?name=%E5%BD%B9%E5%93%A1%E5%A0%B1%E9%85%AC&amp;start_date=2025-04-01&amp;end_date=2025-04-30&amp;fiscal_year_id=9766670",1535000)</f>
        <v>1535000</v>
      </c>
      <c r="D7" s="30">
        <f>HYPERLINK("https://secure.freee.co.jp/reports/general_ledgers/show?name=%E5%BD%B9%E5%93%A1%E5%A0%B1%E9%85%AC&amp;start_date=2025-05-01&amp;end_date=2025-05-31&amp;fiscal_year_id=9766670",1687000)</f>
        <v>1687000</v>
      </c>
      <c r="E7" s="30">
        <f>HYPERLINK("https://secure.freee.co.jp/reports/general_ledgers/show?name=%E5%BD%B9%E5%93%A1%E5%A0%B1%E9%85%AC&amp;start_date=2025-06-01&amp;end_date=2025-06-30&amp;fiscal_year_id=9766670",1687000)</f>
        <v>1687000</v>
      </c>
      <c r="F7" s="30">
        <f>HYPERLINK("https://secure.freee.co.jp/reports/general_ledgers/show?name=%E5%BD%B9%E5%93%A1%E5%A0%B1%E9%85%AC&amp;start_date=2025-07-01&amp;end_date=2025-07-31&amp;fiscal_year_id=9766670",1687000)</f>
        <v>1687000</v>
      </c>
      <c r="G7" s="30">
        <f>HYPERLINK("https://secure.freee.co.jp/reports/general_ledgers/show?name=%E5%BD%B9%E5%93%A1%E5%A0%B1%E9%85%AC&amp;start_date=2025-08-01&amp;end_date=2025-08-31&amp;fiscal_year_id=9766670",1687000)</f>
        <v>1687000</v>
      </c>
      <c r="H7" s="30">
        <f>HYPERLINK("https://secure.freee.co.jp/reports/general_ledgers/show?name=%E5%BD%B9%E5%93%A1%E5%A0%B1%E9%85%AC&amp;start_date=2025-09-01&amp;end_date=2025-09-30&amp;fiscal_year_id=9766670",1687000)</f>
        <v>1687000</v>
      </c>
      <c r="I7" s="30">
        <f>HYPERLINK("https://secure.freee.co.jp/reports/general_ledgers/show?name=%E5%BD%B9%E5%93%A1%E5%A0%B1%E9%85%AC&amp;start_date=2025-10-01&amp;end_date=2025-10-31&amp;fiscal_year_id=9766670",1687000)</f>
        <v>1687000</v>
      </c>
      <c r="J7" s="30">
        <f>HYPERLINK("https://secure.freee.co.jp/reports/general_ledgers/show?name=%E5%BD%B9%E5%93%A1%E5%A0%B1%E9%85%AC&amp;start_date=2025-11-01&amp;end_date=2025-11-30&amp;fiscal_year_id=9766670",1687000)</f>
        <v>1687000</v>
      </c>
      <c r="K7" s="30">
        <f>HYPERLINK("https://secure.freee.co.jp/reports/general_ledgers/show?name=%E5%BD%B9%E5%93%A1%E5%A0%B1%E9%85%AC&amp;start_date=2025-12-01&amp;end_date=2025-12-31&amp;fiscal_year_id=9766670",1687000)</f>
        <v>1687000</v>
      </c>
      <c r="L7" s="30">
        <f>HYPERLINK("https://secure.freee.co.jp/reports/general_ledgers/show?name=%E5%BD%B9%E5%93%A1%E5%A0%B1%E9%85%AC&amp;start_date=2026-01-01&amp;end_date=2026-01-31&amp;fiscal_year_id=9766670",1687000)</f>
        <v>1687000</v>
      </c>
      <c r="M7" s="37">
        <f>HYPERLINK("https://secure.freee.co.jp/reports/general_ledgers/show?name=%E5%BD%B9%E5%93%A1%E5%A0%B1%E9%85%AC&amp;start_date=2026-02-01&amp;end_date=2026-02-28&amp;fiscal_year_id=9766670",1687000)</f>
        <v>1687000</v>
      </c>
      <c r="N7" s="38">
        <f>SUM(B7:M7)</f>
        <v>19940000</v>
      </c>
      <c r="O7" s="33" t="s">
        <v>347</v>
      </c>
    </row>
    <row r="8" spans="1:15" x14ac:dyDescent="0.25">
      <c r="A8" s="10" t="s">
        <v>427</v>
      </c>
      <c r="B8" s="43">
        <v>0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37">
        <f>HYPERLINK("https://secure.freee.co.jp/reports/general_ledgers/show?name=%E5%BD%B9%E5%93%A1%E8%B3%9E%E4%B8%8E&amp;start_date=2026-02-01&amp;end_date=2026-02-28&amp;fiscal_year_id=9766670",3500000)</f>
        <v>3500000</v>
      </c>
      <c r="N8" s="38">
        <f>SUM(B8:M8)</f>
        <v>3500000</v>
      </c>
      <c r="O8" s="33" t="s">
        <v>347</v>
      </c>
    </row>
    <row r="9" spans="1:15" x14ac:dyDescent="0.25">
      <c r="A9" s="10" t="s">
        <v>428</v>
      </c>
      <c r="B9" s="30">
        <f>HYPERLINK("https://secure.freee.co.jp/reports/general_ledgers/show?name=%E7%B5%A6%E6%96%99%E6%89%8B%E5%BD%93&amp;start_date=2025-03-01&amp;end_date=2025-03-31&amp;fiscal_year_id=9766670",3111000)</f>
        <v>3111000</v>
      </c>
      <c r="C9" s="30">
        <f>HYPERLINK("https://secure.freee.co.jp/reports/general_ledgers/show?name=%E7%B5%A6%E6%96%99%E6%89%8B%E5%BD%93&amp;start_date=2025-04-01&amp;end_date=2025-04-30&amp;fiscal_year_id=9766670",3111000)</f>
        <v>3111000</v>
      </c>
      <c r="D9" s="30">
        <f>HYPERLINK("https://secure.freee.co.jp/reports/general_ledgers/show?name=%E7%B5%A6%E6%96%99%E6%89%8B%E5%BD%93&amp;start_date=2025-05-01&amp;end_date=2025-05-31&amp;fiscal_year_id=9766670",3164000)</f>
        <v>3164000</v>
      </c>
      <c r="E9" s="30">
        <f>HYPERLINK("https://secure.freee.co.jp/reports/general_ledgers/show?name=%E7%B5%A6%E6%96%99%E6%89%8B%E5%BD%93&amp;start_date=2025-06-01&amp;end_date=2025-06-30&amp;fiscal_year_id=9766670",3164000)</f>
        <v>3164000</v>
      </c>
      <c r="F9" s="30">
        <f>HYPERLINK("https://secure.freee.co.jp/reports/general_ledgers/show?name=%E7%B5%A6%E6%96%99%E6%89%8B%E5%BD%93&amp;start_date=2025-07-01&amp;end_date=2025-07-31&amp;fiscal_year_id=9766670",3164000)</f>
        <v>3164000</v>
      </c>
      <c r="G9" s="30">
        <f>HYPERLINK("https://secure.freee.co.jp/reports/general_ledgers/show?name=%E7%B5%A6%E6%96%99%E6%89%8B%E5%BD%93&amp;start_date=2025-08-01&amp;end_date=2025-08-31&amp;fiscal_year_id=9766670",3164000)</f>
        <v>3164000</v>
      </c>
      <c r="H9" s="30">
        <f>HYPERLINK("https://secure.freee.co.jp/reports/general_ledgers/show?name=%E7%B5%A6%E6%96%99%E6%89%8B%E5%BD%93&amp;start_date=2025-09-01&amp;end_date=2025-09-30&amp;fiscal_year_id=9766670",3164000)</f>
        <v>3164000</v>
      </c>
      <c r="I9" s="30">
        <f>HYPERLINK("https://secure.freee.co.jp/reports/general_ledgers/show?name=%E7%B5%A6%E6%96%99%E6%89%8B%E5%BD%93&amp;start_date=2025-10-01&amp;end_date=2025-10-31&amp;fiscal_year_id=9766670",3164000)</f>
        <v>3164000</v>
      </c>
      <c r="J9" s="30">
        <f>HYPERLINK("https://secure.freee.co.jp/reports/general_ledgers/show?name=%E7%B5%A6%E6%96%99%E6%89%8B%E5%BD%93&amp;start_date=2025-11-01&amp;end_date=2025-11-30&amp;fiscal_year_id=9766670",3164000)</f>
        <v>3164000</v>
      </c>
      <c r="K9" s="30">
        <f>HYPERLINK("https://secure.freee.co.jp/reports/general_ledgers/show?name=%E7%B5%A6%E6%96%99%E6%89%8B%E5%BD%93&amp;start_date=2025-12-01&amp;end_date=2025-12-31&amp;fiscal_year_id=9766670",3164000)</f>
        <v>3164000</v>
      </c>
      <c r="L9" s="30">
        <f>HYPERLINK("https://secure.freee.co.jp/reports/general_ledgers/show?name=%E7%B5%A6%E6%96%99%E6%89%8B%E5%BD%93&amp;start_date=2026-01-01&amp;end_date=2026-01-31&amp;fiscal_year_id=9766670",3164000)</f>
        <v>3164000</v>
      </c>
      <c r="M9" s="37">
        <f>HYPERLINK("https://secure.freee.co.jp/reports/general_ledgers/show?name=%E7%B5%A6%E6%96%99%E6%89%8B%E5%BD%93&amp;start_date=2026-02-01&amp;end_date=2026-02-28&amp;fiscal_year_id=9766670",3164000)</f>
        <v>3164000</v>
      </c>
      <c r="N9" s="38">
        <f>SUM(B9:M9)</f>
        <v>37862000</v>
      </c>
      <c r="O9" s="33" t="s">
        <v>347</v>
      </c>
    </row>
    <row r="10" spans="1:15" x14ac:dyDescent="0.25">
      <c r="A10" s="10" t="s">
        <v>429</v>
      </c>
      <c r="B10" s="43">
        <v>0</v>
      </c>
      <c r="C10" s="43">
        <v>0</v>
      </c>
      <c r="D10" s="43">
        <v>0</v>
      </c>
      <c r="E10" s="43">
        <v>0</v>
      </c>
      <c r="F10" s="30">
        <f>HYPERLINK("https://secure.freee.co.jp/reports/general_ledgers/show?name=%E8%B3%9E%E4%B8%8E&amp;start_date=2025-07-01&amp;end_date=2025-07-31&amp;fiscal_year_id=9766670",3242900)</f>
        <v>3242900</v>
      </c>
      <c r="G10" s="44">
        <v>0</v>
      </c>
      <c r="H10" s="43">
        <v>0</v>
      </c>
      <c r="I10" s="43">
        <v>0</v>
      </c>
      <c r="J10" s="43">
        <v>0</v>
      </c>
      <c r="K10" s="30">
        <f>HYPERLINK("https://secure.freee.co.jp/reports/general_ledgers/show?name=%E8%B3%9E%E4%B8%8E&amp;start_date=2025-12-01&amp;end_date=2025-12-31&amp;fiscal_year_id=9766670",3753100)</f>
        <v>3753100</v>
      </c>
      <c r="L10" s="44">
        <v>0</v>
      </c>
      <c r="M10" s="45">
        <v>0</v>
      </c>
      <c r="N10" s="38">
        <f>SUM(B10:M10)</f>
        <v>6996000</v>
      </c>
      <c r="O10" s="33" t="s">
        <v>347</v>
      </c>
    </row>
    <row r="11" spans="1:15" x14ac:dyDescent="0.25">
      <c r="A11" s="10" t="s">
        <v>430</v>
      </c>
      <c r="B11" s="30">
        <f>HYPERLINK("https://secure.freee.co.jp/reports/general_ledgers/show?name=%E6%B3%95%E5%AE%9A%E7%A6%8F%E5%88%A9%E8%B2%BB&amp;start_date=2025-03-01&amp;end_date=2025-03-31&amp;fiscal_year_id=9766670",462534)</f>
        <v>462534</v>
      </c>
      <c r="C11" s="30">
        <f>HYPERLINK("https://secure.freee.co.jp/reports/general_ledgers/show?name=%E6%B3%95%E5%AE%9A%E7%A6%8F%E5%88%A9%E8%B2%BB&amp;start_date=2025-04-01&amp;end_date=2025-04-30&amp;fiscal_year_id=9766670",463659)</f>
        <v>463659</v>
      </c>
      <c r="D11" s="30">
        <f>HYPERLINK("https://secure.freee.co.jp/reports/general_ledgers/show?name=%E6%B3%95%E5%AE%9A%E7%A6%8F%E5%88%A9%E8%B2%BB&amp;start_date=2025-05-01&amp;end_date=2025-05-31&amp;fiscal_year_id=9766670",463247)</f>
        <v>463247</v>
      </c>
      <c r="E11" s="31">
        <f>HYPERLINK("https://secure.freee.co.jp/reports/general_ledgers/show?name=%E6%B3%95%E5%AE%9A%E7%A6%8F%E5%88%A9%E8%B2%BB&amp;start_date=2025-06-01&amp;end_date=2025-06-30&amp;fiscal_year_id=9766670",1152647)</f>
        <v>1152647</v>
      </c>
      <c r="F11" s="30">
        <f>HYPERLINK("https://secure.freee.co.jp/reports/general_ledgers/show?name=%E6%B3%95%E5%AE%9A%E7%A6%8F%E5%88%A9%E8%B2%BB&amp;start_date=2025-07-01&amp;end_date=2025-07-31&amp;fiscal_year_id=9766670",943122)</f>
        <v>943122</v>
      </c>
      <c r="G11" s="31">
        <f>HYPERLINK("https://secure.freee.co.jp/reports/general_ledgers/show?name=%E6%B3%95%E5%AE%9A%E7%A6%8F%E5%88%A9%E8%B2%BB&amp;start_date=2025-08-01&amp;end_date=2025-08-31&amp;fiscal_year_id=9766670",452491)</f>
        <v>452491</v>
      </c>
      <c r="H11" s="31">
        <f>HYPERLINK("https://secure.freee.co.jp/reports/general_ledgers/show?name=%E6%B3%95%E5%AE%9A%E7%A6%8F%E5%88%A9%E8%B2%BB&amp;start_date=2025-09-01&amp;end_date=2025-09-30&amp;fiscal_year_id=9766670",712732)</f>
        <v>712732</v>
      </c>
      <c r="I11" s="30">
        <f>HYPERLINK("https://secure.freee.co.jp/reports/general_ledgers/show?name=%E6%B3%95%E5%AE%9A%E7%A6%8F%E5%88%A9%E8%B2%BB&amp;start_date=2025-10-01&amp;end_date=2025-10-31&amp;fiscal_year_id=9766670",478247)</f>
        <v>478247</v>
      </c>
      <c r="J11" s="30">
        <f>HYPERLINK("https://secure.freee.co.jp/reports/general_ledgers/show?name=%E6%B3%95%E5%AE%9A%E7%A6%8F%E5%88%A9%E8%B2%BB&amp;start_date=2025-11-01&amp;end_date=2025-11-30&amp;fiscal_year_id=9766670",676169)</f>
        <v>676169</v>
      </c>
      <c r="K11" s="31">
        <f>HYPERLINK("https://secure.freee.co.jp/reports/general_ledgers/show?name=%E6%B3%95%E5%AE%9A%E7%A6%8F%E5%88%A9%E8%B2%BB&amp;start_date=2025-12-01&amp;end_date=2025-12-31&amp;fiscal_year_id=9766670",1082873)</f>
        <v>1082873</v>
      </c>
      <c r="L11" s="30">
        <f>HYPERLINK("https://secure.freee.co.jp/reports/general_ledgers/show?name=%E6%B3%95%E5%AE%9A%E7%A6%8F%E5%88%A9%E8%B2%BB&amp;start_date=2026-01-01&amp;end_date=2026-01-31&amp;fiscal_year_id=9766670",820466)</f>
        <v>820466</v>
      </c>
      <c r="M11" s="37">
        <f>HYPERLINK("https://secure.freee.co.jp/reports/general_ledgers/show?name=%E6%B3%95%E5%AE%9A%E7%A6%8F%E5%88%A9%E8%B2%BB&amp;start_date=2026-02-01&amp;end_date=2026-02-28&amp;fiscal_year_id=9766670",863180)</f>
        <v>863180</v>
      </c>
      <c r="N11" s="38">
        <f>SUM(B11:M11)</f>
        <v>8571367</v>
      </c>
      <c r="O11" s="33" t="s">
        <v>347</v>
      </c>
    </row>
    <row r="12" spans="1:15" x14ac:dyDescent="0.25">
      <c r="A12" s="10" t="s">
        <v>431</v>
      </c>
      <c r="B12" s="43">
        <v>0</v>
      </c>
      <c r="C12" s="30">
        <f>HYPERLINK("https://secure.freee.co.jp/reports/general_ledgers/show?name=%E7%A6%8F%E5%88%A9%E5%8E%9A%E7%94%9F%E8%B2%BB&amp;start_date=2025-04-01&amp;end_date=2025-04-30&amp;fiscal_year_id=9766670",12000)</f>
        <v>12000</v>
      </c>
      <c r="D12" s="44">
        <v>0</v>
      </c>
      <c r="E12" s="43">
        <v>0</v>
      </c>
      <c r="F12" s="43">
        <v>0</v>
      </c>
      <c r="G12" s="43">
        <v>0</v>
      </c>
      <c r="H12" s="43">
        <v>0</v>
      </c>
      <c r="I12" s="30">
        <f>HYPERLINK("https://secure.freee.co.jp/reports/general_ledgers/show?name=%E7%A6%8F%E5%88%A9%E5%8E%9A%E7%94%9F%E8%B2%BB&amp;start_date=2025-10-01&amp;end_date=2025-10-31&amp;fiscal_year_id=9766670",5746)</f>
        <v>5746</v>
      </c>
      <c r="J12" s="31">
        <f>HYPERLINK("https://secure.freee.co.jp/reports/general_ledgers/show?name=%E7%A6%8F%E5%88%A9%E5%8E%9A%E7%94%9F%E8%B2%BB&amp;start_date=2025-11-01&amp;end_date=2025-11-30&amp;fiscal_year_id=9766670",15000)</f>
        <v>15000</v>
      </c>
      <c r="K12" s="30">
        <f>HYPERLINK("https://secure.freee.co.jp/reports/general_ledgers/show?name=%E7%A6%8F%E5%88%A9%E5%8E%9A%E7%94%9F%E8%B2%BB&amp;start_date=2025-12-01&amp;end_date=2025-12-31&amp;fiscal_year_id=9766670",11320)</f>
        <v>11320</v>
      </c>
      <c r="L12" s="44">
        <v>0</v>
      </c>
      <c r="M12" s="37">
        <f>HYPERLINK("https://secure.freee.co.jp/reports/general_ledgers/show?name=%E7%A6%8F%E5%88%A9%E5%8E%9A%E7%94%9F%E8%B2%BB&amp;start_date=2026-02-01&amp;end_date=2026-02-28&amp;fiscal_year_id=9766670",17268)</f>
        <v>17268</v>
      </c>
      <c r="N12" s="38">
        <f>SUM(B12:M12)</f>
        <v>61334</v>
      </c>
      <c r="O12" s="33" t="s">
        <v>347</v>
      </c>
    </row>
    <row r="13" spans="1:15" x14ac:dyDescent="0.25">
      <c r="A13" s="10" t="s">
        <v>432</v>
      </c>
      <c r="B13" s="30">
        <f>HYPERLINK("https://secure.freee.co.jp/reports/general_ledgers/show?name=%E8%8D%B7%E9%80%A0%E9%81%8B%E8%B3%83&amp;start_date=2025-03-01&amp;end_date=2025-03-31&amp;fiscal_year_id=9766670",2400000)</f>
        <v>2400000</v>
      </c>
      <c r="C13" s="30">
        <f>HYPERLINK("https://secure.freee.co.jp/reports/general_ledgers/show?name=%E8%8D%B7%E9%80%A0%E9%81%8B%E8%B3%83&amp;start_date=2025-04-01&amp;end_date=2025-04-30&amp;fiscal_year_id=9766670",1391379)</f>
        <v>1391379</v>
      </c>
      <c r="D13" s="30">
        <f>HYPERLINK("https://secure.freee.co.jp/reports/general_ledgers/show?name=%E8%8D%B7%E9%80%A0%E9%81%8B%E8%B3%83&amp;start_date=2025-05-01&amp;end_date=2025-05-31&amp;fiscal_year_id=9766670",1491222)</f>
        <v>1491222</v>
      </c>
      <c r="E13" s="31">
        <f>HYPERLINK("https://secure.freee.co.jp/reports/general_ledgers/show?name=%E8%8D%B7%E9%80%A0%E9%81%8B%E8%B3%83&amp;start_date=2025-06-01&amp;end_date=2025-06-30&amp;fiscal_year_id=9766670",2251556)</f>
        <v>2251556</v>
      </c>
      <c r="F13" s="30">
        <f>HYPERLINK("https://secure.freee.co.jp/reports/general_ledgers/show?name=%E8%8D%B7%E9%80%A0%E9%81%8B%E8%B3%83&amp;start_date=2025-07-01&amp;end_date=2025-07-31&amp;fiscal_year_id=9766670",1535681)</f>
        <v>1535681</v>
      </c>
      <c r="G13" s="30">
        <f>HYPERLINK("https://secure.freee.co.jp/reports/general_ledgers/show?name=%E8%8D%B7%E9%80%A0%E9%81%8B%E8%B3%83&amp;start_date=2025-08-01&amp;end_date=2025-08-31&amp;fiscal_year_id=9766670",898537)</f>
        <v>898537</v>
      </c>
      <c r="H13" s="31">
        <f>HYPERLINK("https://secure.freee.co.jp/reports/general_ledgers/show?name=%E8%8D%B7%E9%80%A0%E9%81%8B%E8%B3%83&amp;start_date=2025-09-01&amp;end_date=2025-09-30&amp;fiscal_year_id=9766670",1708318)</f>
        <v>1708318</v>
      </c>
      <c r="I13" s="30">
        <f>HYPERLINK("https://secure.freee.co.jp/reports/general_ledgers/show?name=%E8%8D%B7%E9%80%A0%E9%81%8B%E8%B3%83&amp;start_date=2025-10-01&amp;end_date=2025-10-31&amp;fiscal_year_id=9766670",1522518)</f>
        <v>1522518</v>
      </c>
      <c r="J13" s="30">
        <f>HYPERLINK("https://secure.freee.co.jp/reports/general_ledgers/show?name=%E8%8D%B7%E9%80%A0%E9%81%8B%E8%B3%83&amp;start_date=2025-11-01&amp;end_date=2025-11-30&amp;fiscal_year_id=9766670",927495)</f>
        <v>927495</v>
      </c>
      <c r="K13" s="31">
        <f>HYPERLINK("https://secure.freee.co.jp/reports/general_ledgers/show?name=%E8%8D%B7%E9%80%A0%E9%81%8B%E8%B3%83&amp;start_date=2025-12-01&amp;end_date=2025-12-31&amp;fiscal_year_id=9766670",1611639)</f>
        <v>1611639</v>
      </c>
      <c r="L13" s="30">
        <f>HYPERLINK("https://secure.freee.co.jp/reports/general_ledgers/show?name=%E8%8D%B7%E9%80%A0%E9%81%8B%E8%B3%83&amp;start_date=2026-01-01&amp;end_date=2026-01-31&amp;fiscal_year_id=9766670",1367308)</f>
        <v>1367308</v>
      </c>
      <c r="M13" s="37">
        <f>HYPERLINK("https://secure.freee.co.jp/reports/general_ledgers/show?name=%E8%8D%B7%E9%80%A0%E9%81%8B%E8%B3%83&amp;start_date=2026-02-01&amp;end_date=2026-02-28&amp;fiscal_year_id=9766670",811842)</f>
        <v>811842</v>
      </c>
      <c r="N13" s="38">
        <f>SUM(B13:M13)</f>
        <v>17917495</v>
      </c>
      <c r="O13" s="33" t="s">
        <v>347</v>
      </c>
    </row>
    <row r="14" spans="1:15" x14ac:dyDescent="0.25">
      <c r="A14" s="10" t="s">
        <v>433</v>
      </c>
      <c r="B14" s="30">
        <f>HYPERLINK("https://secure.freee.co.jp/reports/general_ledgers/show?name=%E4%BA%A4%E9%9A%9B%E8%B2%BB&amp;start_date=2025-03-01&amp;end_date=2025-03-31&amp;fiscal_year_id=9766670",28130)</f>
        <v>28130</v>
      </c>
      <c r="C14" s="31">
        <f>HYPERLINK("https://secure.freee.co.jp/reports/general_ledgers/show?name=%E4%BA%A4%E9%9A%9B%E8%B2%BB&amp;start_date=2025-04-01&amp;end_date=2025-04-30&amp;fiscal_year_id=9766670",10000)</f>
        <v>10000</v>
      </c>
      <c r="D14" s="44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5">
        <v>0</v>
      </c>
      <c r="N14" s="38">
        <f>SUM(B14:M14)</f>
        <v>38130</v>
      </c>
      <c r="O14" s="33" t="s">
        <v>347</v>
      </c>
    </row>
    <row r="15" spans="1:15" x14ac:dyDescent="0.25">
      <c r="A15" s="10" t="s">
        <v>434</v>
      </c>
      <c r="B15" s="30">
        <f>HYPERLINK("https://secure.freee.co.jp/reports/general_ledgers/show?name=%E6%97%85%E8%B2%BB%E4%BA%A4%E9%80%9A%E8%B2%BB&amp;start_date=2025-03-01&amp;end_date=2025-03-31&amp;fiscal_year_id=9766670",113886)</f>
        <v>113886</v>
      </c>
      <c r="C15" s="30">
        <f>HYPERLINK("https://secure.freee.co.jp/reports/general_ledgers/show?name=%E6%97%85%E8%B2%BB%E4%BA%A4%E9%80%9A%E8%B2%BB&amp;start_date=2025-04-01&amp;end_date=2025-04-30&amp;fiscal_year_id=9766670",110560)</f>
        <v>110560</v>
      </c>
      <c r="D15" s="30">
        <f>HYPERLINK("https://secure.freee.co.jp/reports/general_ledgers/show?name=%E6%97%85%E8%B2%BB%E4%BA%A4%E9%80%9A%E8%B2%BB&amp;start_date=2025-05-01&amp;end_date=2025-05-31&amp;fiscal_year_id=9766670",60790)</f>
        <v>60790</v>
      </c>
      <c r="E15" s="31">
        <f>HYPERLINK("https://secure.freee.co.jp/reports/general_ledgers/show?name=%E6%97%85%E8%B2%BB%E4%BA%A4%E9%80%9A%E8%B2%BB&amp;start_date=2025-06-01&amp;end_date=2025-06-30&amp;fiscal_year_id=9766670",120220)</f>
        <v>120220</v>
      </c>
      <c r="F15" s="31">
        <f>HYPERLINK("https://secure.freee.co.jp/reports/general_ledgers/show?name=%E6%97%85%E8%B2%BB%E4%BA%A4%E9%80%9A%E8%B2%BB&amp;start_date=2025-07-01&amp;end_date=2025-07-31&amp;fiscal_year_id=9766670",51002)</f>
        <v>51002</v>
      </c>
      <c r="G15" s="31">
        <f>HYPERLINK("https://secure.freee.co.jp/reports/general_ledgers/show?name=%E6%97%85%E8%B2%BB%E4%BA%A4%E9%80%9A%E8%B2%BB&amp;start_date=2025-08-01&amp;end_date=2025-08-31&amp;fiscal_year_id=9766670",8468)</f>
        <v>8468</v>
      </c>
      <c r="H15" s="31">
        <f>HYPERLINK("https://secure.freee.co.jp/reports/general_ledgers/show?name=%E6%97%85%E8%B2%BB%E4%BA%A4%E9%80%9A%E8%B2%BB&amp;start_date=2025-09-01&amp;end_date=2025-09-30&amp;fiscal_year_id=9766670",123030)</f>
        <v>123030</v>
      </c>
      <c r="I15" s="30">
        <f>HYPERLINK("https://secure.freee.co.jp/reports/general_ledgers/show?name=%E6%97%85%E8%B2%BB%E4%BA%A4%E9%80%9A%E8%B2%BB&amp;start_date=2025-10-01&amp;end_date=2025-10-31&amp;fiscal_year_id=9766670",119155)</f>
        <v>119155</v>
      </c>
      <c r="J15" s="30">
        <f>HYPERLINK("https://secure.freee.co.jp/reports/general_ledgers/show?name=%E6%97%85%E8%B2%BB%E4%BA%A4%E9%80%9A%E8%B2%BB&amp;start_date=2025-11-01&amp;end_date=2025-11-30&amp;fiscal_year_id=9766670",116629)</f>
        <v>116629</v>
      </c>
      <c r="K15" s="31">
        <f>HYPERLINK("https://secure.freee.co.jp/reports/general_ledgers/show?name=%E6%97%85%E8%B2%BB%E4%BA%A4%E9%80%9A%E8%B2%BB&amp;start_date=2025-12-01&amp;end_date=2025-12-31&amp;fiscal_year_id=9766670",6950)</f>
        <v>6950</v>
      </c>
      <c r="L15" s="31">
        <f>HYPERLINK("https://secure.freee.co.jp/reports/general_ledgers/show?name=%E6%97%85%E8%B2%BB%E4%BA%A4%E9%80%9A%E8%B2%BB&amp;start_date=2026-01-01&amp;end_date=2026-01-31&amp;fiscal_year_id=9766670",121450)</f>
        <v>121450</v>
      </c>
      <c r="M15" s="31">
        <f>HYPERLINK("https://secure.freee.co.jp/reports/general_ledgers/show?name=%E6%97%85%E8%B2%BB%E4%BA%A4%E9%80%9A%E8%B2%BB&amp;start_date=2026-02-01&amp;end_date=2026-02-28&amp;fiscal_year_id=9766670",9911)</f>
        <v>9911</v>
      </c>
      <c r="N15" s="38">
        <f>SUM(B15:M15)</f>
        <v>962051</v>
      </c>
      <c r="O15" s="33" t="s">
        <v>347</v>
      </c>
    </row>
    <row r="16" spans="1:15" x14ac:dyDescent="0.25">
      <c r="A16" s="10" t="s">
        <v>435</v>
      </c>
      <c r="B16" s="30">
        <f>HYPERLINK("https://secure.freee.co.jp/reports/general_ledgers/show?name=%E9%80%9A%E4%BF%A1%E8%B2%BB&amp;start_date=2025-03-01&amp;end_date=2025-03-31&amp;fiscal_year_id=9766670",34832)</f>
        <v>34832</v>
      </c>
      <c r="C16" s="31">
        <f>HYPERLINK("https://secure.freee.co.jp/reports/general_ledgers/show?name=%E9%80%9A%E4%BF%A1%E8%B2%BB&amp;start_date=2025-04-01&amp;end_date=2025-04-30&amp;fiscal_year_id=9766670",75328)</f>
        <v>75328</v>
      </c>
      <c r="D16" s="30">
        <f>HYPERLINK("https://secure.freee.co.jp/reports/general_ledgers/show?name=%E9%80%9A%E4%BF%A1%E8%B2%BB&amp;start_date=2025-05-01&amp;end_date=2025-05-31&amp;fiscal_year_id=9766670",62333)</f>
        <v>62333</v>
      </c>
      <c r="E16" s="30">
        <f>HYPERLINK("https://secure.freee.co.jp/reports/general_ledgers/show?name=%E9%80%9A%E4%BF%A1%E8%B2%BB&amp;start_date=2025-06-01&amp;end_date=2025-06-30&amp;fiscal_year_id=9766670",89026)</f>
        <v>89026</v>
      </c>
      <c r="F16" s="30">
        <f>HYPERLINK("https://secure.freee.co.jp/reports/general_ledgers/show?name=%E9%80%9A%E4%BF%A1%E8%B2%BB&amp;start_date=2025-07-01&amp;end_date=2025-07-31&amp;fiscal_year_id=9766670",72168)</f>
        <v>72168</v>
      </c>
      <c r="G16" s="30">
        <f>HYPERLINK("https://secure.freee.co.jp/reports/general_ledgers/show?name=%E9%80%9A%E4%BF%A1%E8%B2%BB&amp;start_date=2025-08-01&amp;end_date=2025-08-31&amp;fiscal_year_id=9766670",74207)</f>
        <v>74207</v>
      </c>
      <c r="H16" s="30">
        <f>HYPERLINK("https://secure.freee.co.jp/reports/general_ledgers/show?name=%E9%80%9A%E4%BF%A1%E8%B2%BB&amp;start_date=2025-09-01&amp;end_date=2025-09-30&amp;fiscal_year_id=9766670",76673)</f>
        <v>76673</v>
      </c>
      <c r="I16" s="30">
        <f>HYPERLINK("https://secure.freee.co.jp/reports/general_ledgers/show?name=%E9%80%9A%E4%BF%A1%E8%B2%BB&amp;start_date=2025-10-01&amp;end_date=2025-10-31&amp;fiscal_year_id=9766670",73307)</f>
        <v>73307</v>
      </c>
      <c r="J16" s="30">
        <f>HYPERLINK("https://secure.freee.co.jp/reports/general_ledgers/show?name=%E9%80%9A%E4%BF%A1%E8%B2%BB&amp;start_date=2025-11-01&amp;end_date=2025-11-30&amp;fiscal_year_id=9766670",60021)</f>
        <v>60021</v>
      </c>
      <c r="K16" s="30">
        <f>HYPERLINK("https://secure.freee.co.jp/reports/general_ledgers/show?name=%E9%80%9A%E4%BF%A1%E8%B2%BB&amp;start_date=2025-12-01&amp;end_date=2025-12-31&amp;fiscal_year_id=9766670",71888)</f>
        <v>71888</v>
      </c>
      <c r="L16" s="30">
        <f>HYPERLINK("https://secure.freee.co.jp/reports/general_ledgers/show?name=%E9%80%9A%E4%BF%A1%E8%B2%BB&amp;start_date=2026-01-01&amp;end_date=2026-01-31&amp;fiscal_year_id=9766670",82995)</f>
        <v>82995</v>
      </c>
      <c r="M16" s="37">
        <f>HYPERLINK("https://secure.freee.co.jp/reports/general_ledgers/show?name=%E9%80%9A%E4%BF%A1%E8%B2%BB&amp;start_date=2026-02-01&amp;end_date=2026-02-28&amp;fiscal_year_id=9766670",97220)</f>
        <v>97220</v>
      </c>
      <c r="N16" s="38">
        <f>SUM(B16:M16)</f>
        <v>869998</v>
      </c>
      <c r="O16" s="33" t="s">
        <v>347</v>
      </c>
    </row>
    <row r="17" spans="1:15" x14ac:dyDescent="0.25">
      <c r="A17" s="10" t="s">
        <v>436</v>
      </c>
      <c r="B17" s="30">
        <f>HYPERLINK("https://secure.freee.co.jp/reports/general_ledgers/show?name=%E8%B2%A9%E5%A3%B2%E6%89%8B%E6%95%B0%E6%96%99&amp;start_date=2025-03-01&amp;end_date=2025-03-31&amp;fiscal_year_id=9766670",3096414)</f>
        <v>3096414</v>
      </c>
      <c r="C17" s="30">
        <f>HYPERLINK("https://secure.freee.co.jp/reports/general_ledgers/show?name=%E8%B2%A9%E5%A3%B2%E6%89%8B%E6%95%B0%E6%96%99&amp;start_date=2025-04-01&amp;end_date=2025-04-30&amp;fiscal_year_id=9766670",3344900)</f>
        <v>3344900</v>
      </c>
      <c r="D17" s="30">
        <f>HYPERLINK("https://secure.freee.co.jp/reports/general_ledgers/show?name=%E8%B2%A9%E5%A3%B2%E6%89%8B%E6%95%B0%E6%96%99&amp;start_date=2025-05-01&amp;end_date=2025-05-31&amp;fiscal_year_id=9766670",3750068)</f>
        <v>3750068</v>
      </c>
      <c r="E17" s="30">
        <f>HYPERLINK("https://secure.freee.co.jp/reports/general_ledgers/show?name=%E8%B2%A9%E5%A3%B2%E6%89%8B%E6%95%B0%E6%96%99&amp;start_date=2025-06-01&amp;end_date=2025-06-30&amp;fiscal_year_id=9766670",2534137)</f>
        <v>2534137</v>
      </c>
      <c r="F17" s="30">
        <f>HYPERLINK("https://secure.freee.co.jp/reports/general_ledgers/show?name=%E8%B2%A9%E5%A3%B2%E6%89%8B%E6%95%B0%E6%96%99&amp;start_date=2025-07-01&amp;end_date=2025-07-31&amp;fiscal_year_id=9766670",2991492)</f>
        <v>2991492</v>
      </c>
      <c r="G17" s="30">
        <f>HYPERLINK("https://secure.freee.co.jp/reports/general_ledgers/show?name=%E8%B2%A9%E5%A3%B2%E6%89%8B%E6%95%B0%E6%96%99&amp;start_date=2025-08-01&amp;end_date=2025-08-31&amp;fiscal_year_id=9766670",2397247)</f>
        <v>2397247</v>
      </c>
      <c r="H17" s="30">
        <f>HYPERLINK("https://secure.freee.co.jp/reports/general_ledgers/show?name=%E8%B2%A9%E5%A3%B2%E6%89%8B%E6%95%B0%E6%96%99&amp;start_date=2025-09-01&amp;end_date=2025-09-30&amp;fiscal_year_id=9766670",2958438)</f>
        <v>2958438</v>
      </c>
      <c r="I17" s="30">
        <f>HYPERLINK("https://secure.freee.co.jp/reports/general_ledgers/show?name=%E8%B2%A9%E5%A3%B2%E6%89%8B%E6%95%B0%E6%96%99&amp;start_date=2025-10-01&amp;end_date=2025-10-31&amp;fiscal_year_id=9766670",2449118)</f>
        <v>2449118</v>
      </c>
      <c r="J17" s="30">
        <f>HYPERLINK("https://secure.freee.co.jp/reports/general_ledgers/show?name=%E8%B2%A9%E5%A3%B2%E6%89%8B%E6%95%B0%E6%96%99&amp;start_date=2025-11-01&amp;end_date=2025-11-30&amp;fiscal_year_id=9766670",2116948)</f>
        <v>2116948</v>
      </c>
      <c r="K17" s="30">
        <f>HYPERLINK("https://secure.freee.co.jp/reports/general_ledgers/show?name=%E8%B2%A9%E5%A3%B2%E6%89%8B%E6%95%B0%E6%96%99&amp;start_date=2025-12-01&amp;end_date=2025-12-31&amp;fiscal_year_id=9766670",2494957)</f>
        <v>2494957</v>
      </c>
      <c r="L17" s="30">
        <f>HYPERLINK("https://secure.freee.co.jp/reports/general_ledgers/show?name=%E8%B2%A9%E5%A3%B2%E6%89%8B%E6%95%B0%E6%96%99&amp;start_date=2026-01-01&amp;end_date=2026-01-31&amp;fiscal_year_id=9766670",3016365)</f>
        <v>3016365</v>
      </c>
      <c r="M17" s="37">
        <f>HYPERLINK("https://secure.freee.co.jp/reports/general_ledgers/show?name=%E8%B2%A9%E5%A3%B2%E6%89%8B%E6%95%B0%E6%96%99&amp;start_date=2026-02-01&amp;end_date=2026-02-28&amp;fiscal_year_id=9766670",2195074)</f>
        <v>2195074</v>
      </c>
      <c r="N17" s="38">
        <f>SUM(B17:M17)</f>
        <v>33345158</v>
      </c>
      <c r="O17" s="33" t="s">
        <v>347</v>
      </c>
    </row>
    <row r="18" spans="1:15" x14ac:dyDescent="0.25">
      <c r="A18" s="10" t="s">
        <v>437</v>
      </c>
      <c r="B18" s="30">
        <f>HYPERLINK("https://secure.freee.co.jp/reports/general_ledgers/show?name=%E6%B6%88%E8%80%97%E5%93%81%E8%B2%BB&amp;start_date=2025-03-01&amp;end_date=2025-03-31&amp;fiscal_year_id=9766670",4089)</f>
        <v>4089</v>
      </c>
      <c r="C18" s="31">
        <f>HYPERLINK("https://secure.freee.co.jp/reports/general_ledgers/show?name=%E6%B6%88%E8%80%97%E5%93%81%E8%B2%BB&amp;start_date=2025-04-01&amp;end_date=2025-04-30&amp;fiscal_year_id=9766670",20716)</f>
        <v>20716</v>
      </c>
      <c r="D18" s="31">
        <f>HYPERLINK("https://secure.freee.co.jp/reports/general_ledgers/show?name=%E6%B6%88%E8%80%97%E5%93%81%E8%B2%BB&amp;start_date=2025-05-01&amp;end_date=2025-05-31&amp;fiscal_year_id=9766670",58431)</f>
        <v>58431</v>
      </c>
      <c r="E18" s="31">
        <f>HYPERLINK("https://secure.freee.co.jp/reports/general_ledgers/show?name=%E6%B6%88%E8%80%97%E5%93%81%E8%B2%BB&amp;start_date=2025-06-01&amp;end_date=2025-06-30&amp;fiscal_year_id=9766670",22961)</f>
        <v>22961</v>
      </c>
      <c r="F18" s="31">
        <f>HYPERLINK("https://secure.freee.co.jp/reports/general_ledgers/show?name=%E6%B6%88%E8%80%97%E5%93%81%E8%B2%BB&amp;start_date=2025-07-01&amp;end_date=2025-07-31&amp;fiscal_year_id=9766670",90205)</f>
        <v>90205</v>
      </c>
      <c r="G18" s="31">
        <f>HYPERLINK("https://secure.freee.co.jp/reports/general_ledgers/show?name=%E6%B6%88%E8%80%97%E5%93%81%E8%B2%BB&amp;start_date=2025-08-01&amp;end_date=2025-08-31&amp;fiscal_year_id=9766670",29366)</f>
        <v>29366</v>
      </c>
      <c r="H18" s="31">
        <f>HYPERLINK("https://secure.freee.co.jp/reports/general_ledgers/show?name=%E6%B6%88%E8%80%97%E5%93%81%E8%B2%BB&amp;start_date=2025-09-01&amp;end_date=2025-09-30&amp;fiscal_year_id=9766670",102141)</f>
        <v>102141</v>
      </c>
      <c r="I18" s="31">
        <f>HYPERLINK("https://secure.freee.co.jp/reports/general_ledgers/show?name=%E6%B6%88%E8%80%97%E5%93%81%E8%B2%BB&amp;start_date=2025-10-01&amp;end_date=2025-10-31&amp;fiscal_year_id=9766670",38702)</f>
        <v>38702</v>
      </c>
      <c r="J18" s="31">
        <f>HYPERLINK("https://secure.freee.co.jp/reports/general_ledgers/show?name=%E6%B6%88%E8%80%97%E5%93%81%E8%B2%BB&amp;start_date=2025-11-01&amp;end_date=2025-11-30&amp;fiscal_year_id=9766670",186619)</f>
        <v>186619</v>
      </c>
      <c r="K18" s="30">
        <f>HYPERLINK("https://secure.freee.co.jp/reports/general_ledgers/show?name=%E6%B6%88%E8%80%97%E5%93%81%E8%B2%BB&amp;start_date=2025-12-01&amp;end_date=2025-12-31&amp;fiscal_year_id=9766670",94823)</f>
        <v>94823</v>
      </c>
      <c r="L18" s="31">
        <f>HYPERLINK("https://secure.freee.co.jp/reports/general_ledgers/show?name=%E6%B6%88%E8%80%97%E5%93%81%E8%B2%BB&amp;start_date=2026-01-01&amp;end_date=2026-01-31&amp;fiscal_year_id=9766670",36106)</f>
        <v>36106</v>
      </c>
      <c r="M18" s="31">
        <f>HYPERLINK("https://secure.freee.co.jp/reports/general_ledgers/show?name=%E6%B6%88%E8%80%97%E5%93%81%E8%B2%BB&amp;start_date=2026-02-01&amp;end_date=2026-02-28&amp;fiscal_year_id=9766670",177640)</f>
        <v>177640</v>
      </c>
      <c r="N18" s="38">
        <f>SUM(B18:M18)</f>
        <v>861799</v>
      </c>
      <c r="O18" s="33" t="s">
        <v>347</v>
      </c>
    </row>
    <row r="19" spans="1:15" x14ac:dyDescent="0.25">
      <c r="A19" s="10" t="s">
        <v>438</v>
      </c>
      <c r="B19" s="43">
        <v>0</v>
      </c>
      <c r="C19" s="30">
        <f>HYPERLINK("https://secure.freee.co.jp/reports/general_ledgers/show?name=%E4%BA%8B%E5%8B%99%E7%94%A8%E5%93%81%E8%B2%BB&amp;start_date=2025-04-01&amp;end_date=2025-04-30&amp;fiscal_year_id=9766670",1627)</f>
        <v>1627</v>
      </c>
      <c r="D19" s="31">
        <f>HYPERLINK("https://secure.freee.co.jp/reports/general_ledgers/show?name=%E4%BA%8B%E5%8B%99%E7%94%A8%E5%93%81%E8%B2%BB&amp;start_date=2025-05-01&amp;end_date=2025-05-31&amp;fiscal_year_id=9766670",4375)</f>
        <v>4375</v>
      </c>
      <c r="E19" s="31">
        <f>HYPERLINK("https://secure.freee.co.jp/reports/general_ledgers/show?name=%E4%BA%8B%E5%8B%99%E7%94%A8%E5%93%81%E8%B2%BB&amp;start_date=2025-06-01&amp;end_date=2025-06-30&amp;fiscal_year_id=9766670",15232)</f>
        <v>15232</v>
      </c>
      <c r="F19" s="31">
        <f>HYPERLINK("https://secure.freee.co.jp/reports/general_ledgers/show?name=%E4%BA%8B%E5%8B%99%E7%94%A8%E5%93%81%E8%B2%BB&amp;start_date=2025-07-01&amp;end_date=2025-07-31&amp;fiscal_year_id=9766670",3993)</f>
        <v>3993</v>
      </c>
      <c r="G19" s="31">
        <f>HYPERLINK("https://secure.freee.co.jp/reports/general_ledgers/show?name=%E4%BA%8B%E5%8B%99%E7%94%A8%E5%93%81%E8%B2%BB&amp;start_date=2025-08-01&amp;end_date=2025-08-31&amp;fiscal_year_id=9766670",9807)</f>
        <v>9807</v>
      </c>
      <c r="H19" s="30">
        <f>HYPERLINK("https://secure.freee.co.jp/reports/general_ledgers/show?name=%E4%BA%8B%E5%8B%99%E7%94%A8%E5%93%81%E8%B2%BB&amp;start_date=2025-09-01&amp;end_date=2025-09-30&amp;fiscal_year_id=9766670",5112)</f>
        <v>5112</v>
      </c>
      <c r="I19" s="30">
        <f>HYPERLINK("https://secure.freee.co.jp/reports/general_ledgers/show?name=%E4%BA%8B%E5%8B%99%E7%94%A8%E5%93%81%E8%B2%BB&amp;start_date=2025-10-01&amp;end_date=2025-10-31&amp;fiscal_year_id=9766670",3012)</f>
        <v>3012</v>
      </c>
      <c r="J19" s="44">
        <v>0</v>
      </c>
      <c r="K19" s="30">
        <f>HYPERLINK("https://secure.freee.co.jp/reports/general_ledgers/show?name=%E4%BA%8B%E5%8B%99%E7%94%A8%E5%93%81%E8%B2%BB&amp;start_date=2025-12-01&amp;end_date=2025-12-31&amp;fiscal_year_id=9766670",8949)</f>
        <v>8949</v>
      </c>
      <c r="L19" s="30">
        <f>HYPERLINK("https://secure.freee.co.jp/reports/general_ledgers/show?name=%E4%BA%8B%E5%8B%99%E7%94%A8%E5%93%81%E8%B2%BB&amp;start_date=2026-01-01&amp;end_date=2026-01-31&amp;fiscal_year_id=9766670",5560)</f>
        <v>5560</v>
      </c>
      <c r="M19" s="31">
        <f>HYPERLINK("https://secure.freee.co.jp/reports/general_ledgers/show?name=%E4%BA%8B%E5%8B%99%E7%94%A8%E5%93%81%E8%B2%BB&amp;start_date=2026-02-01&amp;end_date=2026-02-28&amp;fiscal_year_id=9766670",17050)</f>
        <v>17050</v>
      </c>
      <c r="N19" s="38">
        <f>SUM(B19:M19)</f>
        <v>74717</v>
      </c>
      <c r="O19" s="33" t="s">
        <v>347</v>
      </c>
    </row>
    <row r="20" spans="1:15" x14ac:dyDescent="0.25">
      <c r="A20" s="10" t="s">
        <v>439</v>
      </c>
      <c r="B20" s="30">
        <f>HYPERLINK("https://secure.freee.co.jp/reports/general_ledgers/show?name=%E6%B0%B4%E9%81%93%E5%85%89%E7%86%B1%E8%B2%BB&amp;start_date=2025-03-01&amp;end_date=2025-03-31&amp;fiscal_year_id=9766670",66313)</f>
        <v>66313</v>
      </c>
      <c r="C20" s="31">
        <f>HYPERLINK("https://secure.freee.co.jp/reports/general_ledgers/show?name=%E6%B0%B4%E9%81%93%E5%85%89%E7%86%B1%E8%B2%BB&amp;start_date=2025-04-01&amp;end_date=2025-04-30&amp;fiscal_year_id=9766670",253220)</f>
        <v>253220</v>
      </c>
      <c r="D20" s="30">
        <f>HYPERLINK("https://secure.freee.co.jp/reports/general_ledgers/show?name=%E6%B0%B4%E9%81%93%E5%85%89%E7%86%B1%E8%B2%BB&amp;start_date=2025-05-01&amp;end_date=2025-05-31&amp;fiscal_year_id=9766670",230475)</f>
        <v>230475</v>
      </c>
      <c r="E20" s="30">
        <f>HYPERLINK("https://secure.freee.co.jp/reports/general_ledgers/show?name=%E6%B0%B4%E9%81%93%E5%85%89%E7%86%B1%E8%B2%BB&amp;start_date=2025-06-01&amp;end_date=2025-06-30&amp;fiscal_year_id=9766670",186039)</f>
        <v>186039</v>
      </c>
      <c r="F20" s="30">
        <f>HYPERLINK("https://secure.freee.co.jp/reports/general_ledgers/show?name=%E6%B0%B4%E9%81%93%E5%85%89%E7%86%B1%E8%B2%BB&amp;start_date=2025-07-01&amp;end_date=2025-07-31&amp;fiscal_year_id=9766670",142609)</f>
        <v>142609</v>
      </c>
      <c r="G20" s="30">
        <f>HYPERLINK("https://secure.freee.co.jp/reports/general_ledgers/show?name=%E6%B0%B4%E9%81%93%E5%85%89%E7%86%B1%E8%B2%BB&amp;start_date=2025-08-01&amp;end_date=2025-08-31&amp;fiscal_year_id=9766670",173447)</f>
        <v>173447</v>
      </c>
      <c r="H20" s="30">
        <f>HYPERLINK("https://secure.freee.co.jp/reports/general_ledgers/show?name=%E6%B0%B4%E9%81%93%E5%85%89%E7%86%B1%E8%B2%BB&amp;start_date=2025-09-01&amp;end_date=2025-09-30&amp;fiscal_year_id=9766670",202339)</f>
        <v>202339</v>
      </c>
      <c r="I20" s="30">
        <f>HYPERLINK("https://secure.freee.co.jp/reports/general_ledgers/show?name=%E6%B0%B4%E9%81%93%E5%85%89%E7%86%B1%E8%B2%BB&amp;start_date=2025-10-01&amp;end_date=2025-10-31&amp;fiscal_year_id=9766670",208087)</f>
        <v>208087</v>
      </c>
      <c r="J20" s="30">
        <f>HYPERLINK("https://secure.freee.co.jp/reports/general_ledgers/show?name=%E6%B0%B4%E9%81%93%E5%85%89%E7%86%B1%E8%B2%BB&amp;start_date=2025-11-01&amp;end_date=2025-11-30&amp;fiscal_year_id=9766670",151789)</f>
        <v>151789</v>
      </c>
      <c r="K20" s="30">
        <f>HYPERLINK("https://secure.freee.co.jp/reports/general_ledgers/show?name=%E6%B0%B4%E9%81%93%E5%85%89%E7%86%B1%E8%B2%BB&amp;start_date=2025-12-01&amp;end_date=2025-12-31&amp;fiscal_year_id=9766670",137623)</f>
        <v>137623</v>
      </c>
      <c r="L20" s="30">
        <f>HYPERLINK("https://secure.freee.co.jp/reports/general_ledgers/show?name=%E6%B0%B4%E9%81%93%E5%85%89%E7%86%B1%E8%B2%BB&amp;start_date=2026-01-01&amp;end_date=2026-01-31&amp;fiscal_year_id=9766670",140867)</f>
        <v>140867</v>
      </c>
      <c r="M20" s="31">
        <f>HYPERLINK("https://secure.freee.co.jp/reports/general_ledgers/show?name=%E6%B0%B4%E9%81%93%E5%85%89%E7%86%B1%E8%B2%BB&amp;start_date=2026-02-01&amp;end_date=2026-02-28&amp;fiscal_year_id=9766670",317232)</f>
        <v>317232</v>
      </c>
      <c r="N20" s="38">
        <f>SUM(B20:M20)</f>
        <v>2210040</v>
      </c>
      <c r="O20" s="33" t="s">
        <v>347</v>
      </c>
    </row>
    <row r="21" spans="1:15" x14ac:dyDescent="0.25">
      <c r="A21" s="10" t="s">
        <v>440</v>
      </c>
      <c r="B21" s="30">
        <f>HYPERLINK("https://secure.freee.co.jp/reports/general_ledgers/show?name=%E6%96%B0%E8%81%9E%E5%9B%B3%E6%9B%B8%E8%B2%BB&amp;start_date=2025-03-01&amp;end_date=2025-03-31&amp;fiscal_year_id=9766670",4800)</f>
        <v>4800</v>
      </c>
      <c r="C21" s="30">
        <f>HYPERLINK("https://secure.freee.co.jp/reports/general_ledgers/show?name=%E6%96%B0%E8%81%9E%E5%9B%B3%E6%9B%B8%E8%B2%BB&amp;start_date=2025-04-01&amp;end_date=2025-04-30&amp;fiscal_year_id=9766670",4800)</f>
        <v>4800</v>
      </c>
      <c r="D21" s="30">
        <f>HYPERLINK("https://secure.freee.co.jp/reports/general_ledgers/show?name=%E6%96%B0%E8%81%9E%E5%9B%B3%E6%9B%B8%E8%B2%BB&amp;start_date=2025-05-01&amp;end_date=2025-05-31&amp;fiscal_year_id=9766670",4800)</f>
        <v>4800</v>
      </c>
      <c r="E21" s="30">
        <f>HYPERLINK("https://secure.freee.co.jp/reports/general_ledgers/show?name=%E6%96%B0%E8%81%9E%E5%9B%B3%E6%9B%B8%E8%B2%BB&amp;start_date=2025-06-01&amp;end_date=2025-06-30&amp;fiscal_year_id=9766670",4800)</f>
        <v>4800</v>
      </c>
      <c r="F21" s="30">
        <f>HYPERLINK("https://secure.freee.co.jp/reports/general_ledgers/show?name=%E6%96%B0%E8%81%9E%E5%9B%B3%E6%9B%B8%E8%B2%BB&amp;start_date=2025-07-01&amp;end_date=2025-07-31&amp;fiscal_year_id=9766670",4800)</f>
        <v>4800</v>
      </c>
      <c r="G21" s="30">
        <f>HYPERLINK("https://secure.freee.co.jp/reports/general_ledgers/show?name=%E6%96%B0%E8%81%9E%E5%9B%B3%E6%9B%B8%E8%B2%BB&amp;start_date=2025-08-01&amp;end_date=2025-08-31&amp;fiscal_year_id=9766670",4800)</f>
        <v>4800</v>
      </c>
      <c r="H21" s="30">
        <f>HYPERLINK("https://secure.freee.co.jp/reports/general_ledgers/show?name=%E6%96%B0%E8%81%9E%E5%9B%B3%E6%9B%B8%E8%B2%BB&amp;start_date=2025-09-01&amp;end_date=2025-09-30&amp;fiscal_year_id=9766670",4800)</f>
        <v>4800</v>
      </c>
      <c r="I21" s="30">
        <f>HYPERLINK("https://secure.freee.co.jp/reports/general_ledgers/show?name=%E6%96%B0%E8%81%9E%E5%9B%B3%E6%9B%B8%E8%B2%BB&amp;start_date=2025-10-01&amp;end_date=2025-10-31&amp;fiscal_year_id=9766670",4800)</f>
        <v>4800</v>
      </c>
      <c r="J21" s="30">
        <f>HYPERLINK("https://secure.freee.co.jp/reports/general_ledgers/show?name=%E6%96%B0%E8%81%9E%E5%9B%B3%E6%9B%B8%E8%B2%BB&amp;start_date=2025-11-01&amp;end_date=2025-11-30&amp;fiscal_year_id=9766670",4800)</f>
        <v>4800</v>
      </c>
      <c r="K21" s="30">
        <f>HYPERLINK("https://secure.freee.co.jp/reports/general_ledgers/show?name=%E6%96%B0%E8%81%9E%E5%9B%B3%E6%9B%B8%E8%B2%BB&amp;start_date=2025-12-01&amp;end_date=2025-12-31&amp;fiscal_year_id=9766670",4800)</f>
        <v>4800</v>
      </c>
      <c r="L21" s="30">
        <f>HYPERLINK("https://secure.freee.co.jp/reports/general_ledgers/show?name=%E6%96%B0%E8%81%9E%E5%9B%B3%E6%9B%B8%E8%B2%BB&amp;start_date=2026-01-01&amp;end_date=2026-01-31&amp;fiscal_year_id=9766670",4800)</f>
        <v>4800</v>
      </c>
      <c r="M21" s="37">
        <f>HYPERLINK("https://secure.freee.co.jp/reports/general_ledgers/show?name=%E6%96%B0%E8%81%9E%E5%9B%B3%E6%9B%B8%E8%B2%BB&amp;start_date=2026-02-01&amp;end_date=2026-02-28&amp;fiscal_year_id=9766670",4800)</f>
        <v>4800</v>
      </c>
      <c r="N21" s="38">
        <f>SUM(B21:M21)</f>
        <v>57600</v>
      </c>
      <c r="O21" s="33" t="s">
        <v>347</v>
      </c>
    </row>
    <row r="22" spans="1:15" x14ac:dyDescent="0.25">
      <c r="A22" s="10" t="s">
        <v>441</v>
      </c>
      <c r="B22" s="30">
        <f>HYPERLINK("https://secure.freee.co.jp/reports/general_ledgers/show?name=%E8%AB%B8%E4%BC%9A%E8%B2%BB&amp;start_date=2025-03-01&amp;end_date=2025-03-31&amp;fiscal_year_id=9766670",11100)</f>
        <v>11100</v>
      </c>
      <c r="C22" s="30">
        <f>HYPERLINK("https://secure.freee.co.jp/reports/general_ledgers/show?name=%E8%AB%B8%E4%BC%9A%E8%B2%BB&amp;start_date=2025-04-01&amp;end_date=2025-04-30&amp;fiscal_year_id=9766670",8700)</f>
        <v>8700</v>
      </c>
      <c r="D22" s="30">
        <f>HYPERLINK("https://secure.freee.co.jp/reports/general_ledgers/show?name=%E8%AB%B8%E4%BC%9A%E8%B2%BB&amp;start_date=2025-05-01&amp;end_date=2025-05-31&amp;fiscal_year_id=9766670",5000)</f>
        <v>5000</v>
      </c>
      <c r="E22" s="31">
        <f>HYPERLINK("https://secure.freee.co.jp/reports/general_ledgers/show?name=%E8%AB%B8%E4%BC%9A%E8%B2%BB&amp;start_date=2025-06-01&amp;end_date=2025-06-30&amp;fiscal_year_id=9766670",1500)</f>
        <v>1500</v>
      </c>
      <c r="F22" s="30">
        <f>HYPERLINK("https://secure.freee.co.jp/reports/general_ledgers/show?name=%E8%AB%B8%E4%BC%9A%E8%B2%BB&amp;start_date=2025-07-01&amp;end_date=2025-07-31&amp;fiscal_year_id=9766670",1500)</f>
        <v>1500</v>
      </c>
      <c r="G22" s="30">
        <f>HYPERLINK("https://secure.freee.co.jp/reports/general_ledgers/show?name=%E8%AB%B8%E4%BC%9A%E8%B2%BB&amp;start_date=2025-08-01&amp;end_date=2025-08-31&amp;fiscal_year_id=9766670",1500)</f>
        <v>1500</v>
      </c>
      <c r="H22" s="30">
        <f>HYPERLINK("https://secure.freee.co.jp/reports/general_ledgers/show?name=%E8%AB%B8%E4%BC%9A%E8%B2%BB&amp;start_date=2025-09-01&amp;end_date=2025-09-30&amp;fiscal_year_id=9766670",1500)</f>
        <v>1500</v>
      </c>
      <c r="I22" s="31">
        <f>HYPERLINK("https://secure.freee.co.jp/reports/general_ledgers/show?name=%E8%AB%B8%E4%BC%9A%E8%B2%BB&amp;start_date=2025-10-01&amp;end_date=2025-10-31&amp;fiscal_year_id=9766670",8700)</f>
        <v>8700</v>
      </c>
      <c r="J22" s="30">
        <f>HYPERLINK("https://secure.freee.co.jp/reports/general_ledgers/show?name=%E8%AB%B8%E4%BC%9A%E8%B2%BB&amp;start_date=2025-11-01&amp;end_date=2025-11-30&amp;fiscal_year_id=9766670",11500)</f>
        <v>11500</v>
      </c>
      <c r="K22" s="31">
        <f>HYPERLINK("https://secure.freee.co.jp/reports/general_ledgers/show?name=%E8%AB%B8%E4%BC%9A%E8%B2%BB&amp;start_date=2025-12-01&amp;end_date=2025-12-31&amp;fiscal_year_id=9766670",1500)</f>
        <v>1500</v>
      </c>
      <c r="L22" s="30">
        <f>HYPERLINK("https://secure.freee.co.jp/reports/general_ledgers/show?name=%E8%AB%B8%E4%BC%9A%E8%B2%BB&amp;start_date=2026-01-01&amp;end_date=2026-01-31&amp;fiscal_year_id=9766670",1500)</f>
        <v>1500</v>
      </c>
      <c r="M22" s="37">
        <f>HYPERLINK("https://secure.freee.co.jp/reports/general_ledgers/show?name=%E8%AB%B8%E4%BC%9A%E8%B2%BB&amp;start_date=2026-02-01&amp;end_date=2026-02-28&amp;fiscal_year_id=9766670",1500)</f>
        <v>1500</v>
      </c>
      <c r="N22" s="38">
        <f>SUM(B22:M22)</f>
        <v>55500</v>
      </c>
      <c r="O22" s="33" t="s">
        <v>347</v>
      </c>
    </row>
    <row r="23" spans="1:15" x14ac:dyDescent="0.25">
      <c r="A23" s="10" t="s">
        <v>442</v>
      </c>
      <c r="B23" s="30">
        <f>HYPERLINK("https://secure.freee.co.jp/reports/general_ledgers/show?name=%E6%94%AF%E6%89%95%E6%89%8B%E6%95%B0%E6%96%99&amp;start_date=2025-03-01&amp;end_date=2025-03-31&amp;fiscal_year_id=9766670",61840)</f>
        <v>61840</v>
      </c>
      <c r="C23" s="31">
        <f>HYPERLINK("https://secure.freee.co.jp/reports/general_ledgers/show?name=%E6%94%AF%E6%89%95%E6%89%8B%E6%95%B0%E6%96%99&amp;start_date=2025-04-01&amp;end_date=2025-04-30&amp;fiscal_year_id=9766670",96079)</f>
        <v>96079</v>
      </c>
      <c r="D23" s="30">
        <f>HYPERLINK("https://secure.freee.co.jp/reports/general_ledgers/show?name=%E6%94%AF%E6%89%95%E6%89%8B%E6%95%B0%E6%96%99&amp;start_date=2025-05-01&amp;end_date=2025-05-31&amp;fiscal_year_id=9766670",107054)</f>
        <v>107054</v>
      </c>
      <c r="E23" s="30">
        <f>HYPERLINK("https://secure.freee.co.jp/reports/general_ledgers/show?name=%E6%94%AF%E6%89%95%E6%89%8B%E6%95%B0%E6%96%99&amp;start_date=2025-06-01&amp;end_date=2025-06-30&amp;fiscal_year_id=9766670",117368)</f>
        <v>117368</v>
      </c>
      <c r="F23" s="30">
        <f>HYPERLINK("https://secure.freee.co.jp/reports/general_ledgers/show?name=%E6%94%AF%E6%89%95%E6%89%8B%E6%95%B0%E6%96%99&amp;start_date=2025-07-01&amp;end_date=2025-07-31&amp;fiscal_year_id=9766670",124912)</f>
        <v>124912</v>
      </c>
      <c r="G23" s="30">
        <f>HYPERLINK("https://secure.freee.co.jp/reports/general_ledgers/show?name=%E6%94%AF%E6%89%95%E6%89%8B%E6%95%B0%E6%96%99&amp;start_date=2025-08-01&amp;end_date=2025-08-31&amp;fiscal_year_id=9766670",121830)</f>
        <v>121830</v>
      </c>
      <c r="H23" s="30">
        <f>HYPERLINK("https://secure.freee.co.jp/reports/general_ledgers/show?name=%E6%94%AF%E6%89%95%E6%89%8B%E6%95%B0%E6%96%99&amp;start_date=2025-09-01&amp;end_date=2025-09-30&amp;fiscal_year_id=9766670",86448)</f>
        <v>86448</v>
      </c>
      <c r="I23" s="30">
        <f>HYPERLINK("https://secure.freee.co.jp/reports/general_ledgers/show?name=%E6%94%AF%E6%89%95%E6%89%8B%E6%95%B0%E6%96%99&amp;start_date=2025-10-01&amp;end_date=2025-10-31&amp;fiscal_year_id=9766670",97026)</f>
        <v>97026</v>
      </c>
      <c r="J23" s="30">
        <f>HYPERLINK("https://secure.freee.co.jp/reports/general_ledgers/show?name=%E6%94%AF%E6%89%95%E6%89%8B%E6%95%B0%E6%96%99&amp;start_date=2025-11-01&amp;end_date=2025-11-30&amp;fiscal_year_id=9766670",88885)</f>
        <v>88885</v>
      </c>
      <c r="K23" s="30">
        <f>HYPERLINK("https://secure.freee.co.jp/reports/general_ledgers/show?name=%E6%94%AF%E6%89%95%E6%89%8B%E6%95%B0%E6%96%99&amp;start_date=2025-12-01&amp;end_date=2025-12-31&amp;fiscal_year_id=9766670",132613)</f>
        <v>132613</v>
      </c>
      <c r="L23" s="30">
        <f>HYPERLINK("https://secure.freee.co.jp/reports/general_ledgers/show?name=%E6%94%AF%E6%89%95%E6%89%8B%E6%95%B0%E6%96%99&amp;start_date=2026-01-01&amp;end_date=2026-01-31&amp;fiscal_year_id=9766670",107146)</f>
        <v>107146</v>
      </c>
      <c r="M23" s="37">
        <f>HYPERLINK("https://secure.freee.co.jp/reports/general_ledgers/show?name=%E6%94%AF%E6%89%95%E6%89%8B%E6%95%B0%E6%96%99&amp;start_date=2026-02-01&amp;end_date=2026-02-28&amp;fiscal_year_id=9766670",115971)</f>
        <v>115971</v>
      </c>
      <c r="N23" s="38">
        <f>SUM(B23:M23)</f>
        <v>1257172</v>
      </c>
      <c r="O23" s="33" t="s">
        <v>347</v>
      </c>
    </row>
    <row r="24" spans="1:15" x14ac:dyDescent="0.25">
      <c r="A24" s="10" t="s">
        <v>443</v>
      </c>
      <c r="B24" s="30">
        <f>HYPERLINK("https://secure.freee.co.jp/reports/general_ledgers/show?name=%E5%9C%B0%E4%BB%A3%E5%AE%B6%E8%B3%83&amp;start_date=2025-03-01&amp;end_date=2025-03-31&amp;fiscal_year_id=9766670",1294763)</f>
        <v>1294763</v>
      </c>
      <c r="C24" s="30">
        <f>HYPERLINK("https://secure.freee.co.jp/reports/general_ledgers/show?name=%E5%9C%B0%E4%BB%A3%E5%AE%B6%E8%B3%83&amp;start_date=2025-04-01&amp;end_date=2025-04-30&amp;fiscal_year_id=9766670",1294763)</f>
        <v>1294763</v>
      </c>
      <c r="D24" s="30">
        <f>HYPERLINK("https://secure.freee.co.jp/reports/general_ledgers/show?name=%E5%9C%B0%E4%BB%A3%E5%AE%B6%E8%B3%83&amp;start_date=2025-05-01&amp;end_date=2025-05-31&amp;fiscal_year_id=9766670",1294763)</f>
        <v>1294763</v>
      </c>
      <c r="E24" s="30">
        <f>HYPERLINK("https://secure.freee.co.jp/reports/general_ledgers/show?name=%E5%9C%B0%E4%BB%A3%E5%AE%B6%E8%B3%83&amp;start_date=2025-06-01&amp;end_date=2025-06-30&amp;fiscal_year_id=9766670",1294763)</f>
        <v>1294763</v>
      </c>
      <c r="F24" s="30">
        <f>HYPERLINK("https://secure.freee.co.jp/reports/general_ledgers/show?name=%E5%9C%B0%E4%BB%A3%E5%AE%B6%E8%B3%83&amp;start_date=2025-07-01&amp;end_date=2025-07-31&amp;fiscal_year_id=9766670",1294763)</f>
        <v>1294763</v>
      </c>
      <c r="G24" s="30">
        <f>HYPERLINK("https://secure.freee.co.jp/reports/general_ledgers/show?name=%E5%9C%B0%E4%BB%A3%E5%AE%B6%E8%B3%83&amp;start_date=2025-08-01&amp;end_date=2025-08-31&amp;fiscal_year_id=9766670",1294763)</f>
        <v>1294763</v>
      </c>
      <c r="H24" s="30">
        <f>HYPERLINK("https://secure.freee.co.jp/reports/general_ledgers/show?name=%E5%9C%B0%E4%BB%A3%E5%AE%B6%E8%B3%83&amp;start_date=2025-09-01&amp;end_date=2025-09-30&amp;fiscal_year_id=9766670",1294763)</f>
        <v>1294763</v>
      </c>
      <c r="I24" s="30">
        <f>HYPERLINK("https://secure.freee.co.jp/reports/general_ledgers/show?name=%E5%9C%B0%E4%BB%A3%E5%AE%B6%E8%B3%83&amp;start_date=2025-10-01&amp;end_date=2025-10-31&amp;fiscal_year_id=9766670",1294763)</f>
        <v>1294763</v>
      </c>
      <c r="J24" s="30">
        <f>HYPERLINK("https://secure.freee.co.jp/reports/general_ledgers/show?name=%E5%9C%B0%E4%BB%A3%E5%AE%B6%E8%B3%83&amp;start_date=2025-11-01&amp;end_date=2025-11-30&amp;fiscal_year_id=9766670",1294763)</f>
        <v>1294763</v>
      </c>
      <c r="K24" s="30">
        <f>HYPERLINK("https://secure.freee.co.jp/reports/general_ledgers/show?name=%E5%9C%B0%E4%BB%A3%E5%AE%B6%E8%B3%83&amp;start_date=2025-12-01&amp;end_date=2025-12-31&amp;fiscal_year_id=9766670",1294763)</f>
        <v>1294763</v>
      </c>
      <c r="L24" s="30">
        <f>HYPERLINK("https://secure.freee.co.jp/reports/general_ledgers/show?name=%E5%9C%B0%E4%BB%A3%E5%AE%B6%E8%B3%83&amp;start_date=2026-01-01&amp;end_date=2026-01-31&amp;fiscal_year_id=9766670",1294763)</f>
        <v>1294763</v>
      </c>
      <c r="M24" s="37">
        <f>HYPERLINK("https://secure.freee.co.jp/reports/general_ledgers/show?name=%E5%9C%B0%E4%BB%A3%E5%AE%B6%E8%B3%83&amp;start_date=2026-02-01&amp;end_date=2026-02-28&amp;fiscal_year_id=9766670",1294763)</f>
        <v>1294763</v>
      </c>
      <c r="N24" s="38">
        <f>SUM(B24:M24)</f>
        <v>15537156</v>
      </c>
      <c r="O24" s="33" t="s">
        <v>347</v>
      </c>
    </row>
    <row r="25" spans="1:15" x14ac:dyDescent="0.25">
      <c r="A25" s="10" t="s">
        <v>444</v>
      </c>
      <c r="B25" s="30">
        <f>HYPERLINK("https://secure.freee.co.jp/reports/general_ledgers/show?name=%E4%BF%9D%E9%99%BA%E6%96%99&amp;start_date=2025-03-01&amp;end_date=2025-03-31&amp;fiscal_year_id=9766670",150717)</f>
        <v>150717</v>
      </c>
      <c r="C25" s="30">
        <f>HYPERLINK("https://secure.freee.co.jp/reports/general_ledgers/show?name=%E4%BF%9D%E9%99%BA%E6%96%99&amp;start_date=2025-04-01&amp;end_date=2025-04-30&amp;fiscal_year_id=9766670",150717)</f>
        <v>150717</v>
      </c>
      <c r="D25" s="31">
        <f>HYPERLINK("https://secure.freee.co.jp/reports/general_ledgers/show?name=%E4%BF%9D%E9%99%BA%E6%96%99&amp;start_date=2025-05-01&amp;end_date=2025-05-31&amp;fiscal_year_id=9766670",244337)</f>
        <v>244337</v>
      </c>
      <c r="E25" s="30">
        <f>HYPERLINK("https://secure.freee.co.jp/reports/general_ledgers/show?name=%E4%BF%9D%E9%99%BA%E6%96%99&amp;start_date=2025-06-01&amp;end_date=2025-06-30&amp;fiscal_year_id=9766670",150717)</f>
        <v>150717</v>
      </c>
      <c r="F25" s="30">
        <f>HYPERLINK("https://secure.freee.co.jp/reports/general_ledgers/show?name=%E4%BF%9D%E9%99%BA%E6%96%99&amp;start_date=2025-07-01&amp;end_date=2025-07-31&amp;fiscal_year_id=9766670",150717)</f>
        <v>150717</v>
      </c>
      <c r="G25" s="30">
        <f>HYPERLINK("https://secure.freee.co.jp/reports/general_ledgers/show?name=%E4%BF%9D%E9%99%BA%E6%96%99&amp;start_date=2025-08-01&amp;end_date=2025-08-31&amp;fiscal_year_id=9766670",175557)</f>
        <v>175557</v>
      </c>
      <c r="H25" s="30">
        <f>HYPERLINK("https://secure.freee.co.jp/reports/general_ledgers/show?name=%E4%BF%9D%E9%99%BA%E6%96%99&amp;start_date=2025-09-01&amp;end_date=2025-09-30&amp;fiscal_year_id=9766670",150717)</f>
        <v>150717</v>
      </c>
      <c r="I25" s="30">
        <f>HYPERLINK("https://secure.freee.co.jp/reports/general_ledgers/show?name=%E4%BF%9D%E9%99%BA%E6%96%99&amp;start_date=2025-10-01&amp;end_date=2025-10-31&amp;fiscal_year_id=9766670",150717)</f>
        <v>150717</v>
      </c>
      <c r="J25" s="30">
        <f>HYPERLINK("https://secure.freee.co.jp/reports/general_ledgers/show?name=%E4%BF%9D%E9%99%BA%E6%96%99&amp;start_date=2025-11-01&amp;end_date=2025-11-30&amp;fiscal_year_id=9766670",150717)</f>
        <v>150717</v>
      </c>
      <c r="K25" s="30">
        <f>HYPERLINK("https://secure.freee.co.jp/reports/general_ledgers/show?name=%E4%BF%9D%E9%99%BA%E6%96%99&amp;start_date=2025-12-01&amp;end_date=2025-12-31&amp;fiscal_year_id=9766670",150717)</f>
        <v>150717</v>
      </c>
      <c r="L25" s="30">
        <f>HYPERLINK("https://secure.freee.co.jp/reports/general_ledgers/show?name=%E4%BF%9D%E9%99%BA%E6%96%99&amp;start_date=2026-01-01&amp;end_date=2026-01-31&amp;fiscal_year_id=9766670",136287)</f>
        <v>136287</v>
      </c>
      <c r="M25" s="37">
        <f>HYPERLINK("https://secure.freee.co.jp/reports/general_ledgers/show?name=%E4%BF%9D%E9%99%BA%E6%96%99&amp;start_date=2026-02-01&amp;end_date=2026-02-28&amp;fiscal_year_id=9766670",121813)</f>
        <v>121813</v>
      </c>
      <c r="N25" s="38">
        <f>SUM(B25:M25)</f>
        <v>1883730</v>
      </c>
      <c r="O25" s="33" t="s">
        <v>347</v>
      </c>
    </row>
    <row r="26" spans="1:15" x14ac:dyDescent="0.25">
      <c r="A26" s="10" t="s">
        <v>445</v>
      </c>
      <c r="B26" s="30">
        <f>HYPERLINK("https://secure.freee.co.jp/reports/general_ledgers/show?name=%E7%A7%9F%E7%A8%8E%E5%85%AC%E8%AA%B2&amp;start_date=2025-03-01&amp;end_date=2025-03-31&amp;fiscal_year_id=9766670",1060000)</f>
        <v>1060000</v>
      </c>
      <c r="C26" s="30">
        <f>HYPERLINK("https://secure.freee.co.jp/reports/general_ledgers/show?name=%E7%A7%9F%E7%A8%8E%E5%85%AC%E8%AA%B2&amp;start_date=2025-04-01&amp;end_date=2025-04-30&amp;fiscal_year_id=9766670",970000)</f>
        <v>970000</v>
      </c>
      <c r="D26" s="30">
        <f>HYPERLINK("https://secure.freee.co.jp/reports/general_ledgers/show?name=%E7%A7%9F%E7%A8%8E%E5%85%AC%E8%AA%B2&amp;start_date=2025-05-01&amp;end_date=2025-05-31&amp;fiscal_year_id=9766670",947000)</f>
        <v>947000</v>
      </c>
      <c r="E26" s="30">
        <f>HYPERLINK("https://secure.freee.co.jp/reports/general_ledgers/show?name=%E7%A7%9F%E7%A8%8E%E5%85%AC%E8%AA%B2&amp;start_date=2025-06-01&amp;end_date=2025-06-30&amp;fiscal_year_id=9766670",885000)</f>
        <v>885000</v>
      </c>
      <c r="F26" s="30">
        <f>HYPERLINK("https://secure.freee.co.jp/reports/general_ledgers/show?name=%E7%A7%9F%E7%A8%8E%E5%85%AC%E8%AA%B2&amp;start_date=2025-07-01&amp;end_date=2025-07-31&amp;fiscal_year_id=9766670",840000)</f>
        <v>840000</v>
      </c>
      <c r="G26" s="30">
        <f>HYPERLINK("https://secure.freee.co.jp/reports/general_ledgers/show?name=%E7%A7%9F%E7%A8%8E%E5%85%AC%E8%AA%B2&amp;start_date=2025-08-01&amp;end_date=2025-08-31&amp;fiscal_year_id=9766670",715000)</f>
        <v>715000</v>
      </c>
      <c r="H26" s="30">
        <f>HYPERLINK("https://secure.freee.co.jp/reports/general_ledgers/show?name=%E7%A7%9F%E7%A8%8E%E5%85%AC%E8%AA%B2&amp;start_date=2025-09-01&amp;end_date=2025-09-30&amp;fiscal_year_id=9766670",925000)</f>
        <v>925000</v>
      </c>
      <c r="I26" s="30">
        <f>HYPERLINK("https://secure.freee.co.jp/reports/general_ledgers/show?name=%E7%A7%9F%E7%A8%8E%E5%85%AC%E8%AA%B2&amp;start_date=2025-10-01&amp;end_date=2025-10-31&amp;fiscal_year_id=9766670",850000)</f>
        <v>850000</v>
      </c>
      <c r="J26" s="30">
        <f>HYPERLINK("https://secure.freee.co.jp/reports/general_ledgers/show?name=%E7%A7%9F%E7%A8%8E%E5%85%AC%E8%AA%B2&amp;start_date=2025-11-01&amp;end_date=2025-11-30&amp;fiscal_year_id=9766670",730000)</f>
        <v>730000</v>
      </c>
      <c r="K26" s="30">
        <f>HYPERLINK("https://secure.freee.co.jp/reports/general_ledgers/show?name=%E7%A7%9F%E7%A8%8E%E5%85%AC%E8%AA%B2&amp;start_date=2025-12-01&amp;end_date=2025-12-31&amp;fiscal_year_id=9766670",760000)</f>
        <v>760000</v>
      </c>
      <c r="L26" s="30">
        <f>HYPERLINK("https://secure.freee.co.jp/reports/general_ledgers/show?name=%E7%A7%9F%E7%A8%8E%E5%85%AC%E8%AA%B2&amp;start_date=2026-01-01&amp;end_date=2026-01-31&amp;fiscal_year_id=9766670",750000)</f>
        <v>750000</v>
      </c>
      <c r="M26" s="37">
        <f>HYPERLINK("https://secure.freee.co.jp/reports/general_ledgers/show?name=%E7%A7%9F%E7%A8%8E%E5%85%AC%E8%AA%B2&amp;start_date=2026-02-01&amp;end_date=2026-02-28&amp;fiscal_year_id=9766670",733400)</f>
        <v>733400</v>
      </c>
      <c r="N26" s="38">
        <f>SUM(B26:M26)</f>
        <v>10165400</v>
      </c>
      <c r="O26" s="33" t="s">
        <v>347</v>
      </c>
    </row>
    <row r="27" spans="1:15" x14ac:dyDescent="0.25">
      <c r="A27" s="10" t="s">
        <v>446</v>
      </c>
      <c r="B27" s="30">
        <f>HYPERLINK("https://secure.freee.co.jp/reports/general_ledgers/show?name=%E6%B8%9B%E4%BE%A1%E5%84%9F%E5%8D%B4%E8%B2%BB&amp;start_date=2025-03-01&amp;end_date=2025-03-31&amp;fiscal_year_id=9766670",13578)</f>
        <v>13578</v>
      </c>
      <c r="C27" s="30">
        <f>HYPERLINK("https://secure.freee.co.jp/reports/general_ledgers/show?name=%E6%B8%9B%E4%BE%A1%E5%84%9F%E5%8D%B4%E8%B2%BB&amp;start_date=2025-04-01&amp;end_date=2025-04-30&amp;fiscal_year_id=9766670",13578)</f>
        <v>13578</v>
      </c>
      <c r="D27" s="30">
        <f>HYPERLINK("https://secure.freee.co.jp/reports/general_ledgers/show?name=%E6%B8%9B%E4%BE%A1%E5%84%9F%E5%8D%B4%E8%B2%BB&amp;start_date=2025-05-01&amp;end_date=2025-05-31&amp;fiscal_year_id=9766670",13578)</f>
        <v>13578</v>
      </c>
      <c r="E27" s="30">
        <f>HYPERLINK("https://secure.freee.co.jp/reports/general_ledgers/show?name=%E6%B8%9B%E4%BE%A1%E5%84%9F%E5%8D%B4%E8%B2%BB&amp;start_date=2025-06-01&amp;end_date=2025-06-30&amp;fiscal_year_id=9766670",13578)</f>
        <v>13578</v>
      </c>
      <c r="F27" s="30">
        <f>HYPERLINK("https://secure.freee.co.jp/reports/general_ledgers/show?name=%E6%B8%9B%E4%BE%A1%E5%84%9F%E5%8D%B4%E8%B2%BB&amp;start_date=2025-07-01&amp;end_date=2025-07-31&amp;fiscal_year_id=9766670",13578)</f>
        <v>13578</v>
      </c>
      <c r="G27" s="30">
        <f>HYPERLINK("https://secure.freee.co.jp/reports/general_ledgers/show?name=%E6%B8%9B%E4%BE%A1%E5%84%9F%E5%8D%B4%E8%B2%BB&amp;start_date=2025-08-01&amp;end_date=2025-08-31&amp;fiscal_year_id=9766670",13578)</f>
        <v>13578</v>
      </c>
      <c r="H27" s="30">
        <f>HYPERLINK("https://secure.freee.co.jp/reports/general_ledgers/show?name=%E6%B8%9B%E4%BE%A1%E5%84%9F%E5%8D%B4%E8%B2%BB&amp;start_date=2025-09-01&amp;end_date=2025-09-30&amp;fiscal_year_id=9766670",13578)</f>
        <v>13578</v>
      </c>
      <c r="I27" s="30">
        <f>HYPERLINK("https://secure.freee.co.jp/reports/general_ledgers/show?name=%E6%B8%9B%E4%BE%A1%E5%84%9F%E5%8D%B4%E8%B2%BB&amp;start_date=2025-10-01&amp;end_date=2025-10-31&amp;fiscal_year_id=9766670",13578)</f>
        <v>13578</v>
      </c>
      <c r="J27" s="30">
        <f>HYPERLINK("https://secure.freee.co.jp/reports/general_ledgers/show?name=%E6%B8%9B%E4%BE%A1%E5%84%9F%E5%8D%B4%E8%B2%BB&amp;start_date=2025-11-01&amp;end_date=2025-11-30&amp;fiscal_year_id=9766670",13578)</f>
        <v>13578</v>
      </c>
      <c r="K27" s="31">
        <f>HYPERLINK("https://secure.freee.co.jp/reports/general_ledgers/show?name=%E6%B8%9B%E4%BE%A1%E5%84%9F%E5%8D%B4%E8%B2%BB&amp;start_date=2025-12-01&amp;end_date=2025-12-31&amp;fiscal_year_id=9766670",82621)</f>
        <v>82621</v>
      </c>
      <c r="L27" s="30">
        <f>HYPERLINK("https://secure.freee.co.jp/reports/general_ledgers/show?name=%E6%B8%9B%E4%BE%A1%E5%84%9F%E5%8D%B4%E8%B2%BB&amp;start_date=2026-01-01&amp;end_date=2026-01-31&amp;fiscal_year_id=9766670",82621)</f>
        <v>82621</v>
      </c>
      <c r="M27" s="37">
        <f>HYPERLINK("https://secure.freee.co.jp/reports/general_ledgers/show?name=%E6%B8%9B%E4%BE%A1%E5%84%9F%E5%8D%B4%E8%B2%BB&amp;start_date=2026-02-01&amp;end_date=2026-02-28&amp;fiscal_year_id=9766670",82622)</f>
        <v>82622</v>
      </c>
      <c r="N27" s="38">
        <f>SUM(B27:M27)</f>
        <v>370066</v>
      </c>
      <c r="O27" s="33" t="s">
        <v>347</v>
      </c>
    </row>
    <row r="28" spans="1:15" x14ac:dyDescent="0.25">
      <c r="A28" s="10" t="s">
        <v>447</v>
      </c>
      <c r="B28" s="30">
        <f>HYPERLINK("https://secure.freee.co.jp/reports/general_ledgers/show?name=%E9%95%B7%E6%9C%9F%E5%89%8D%E6%89%95%E8%B2%BB%E7%94%A8%E5%84%9F%E5%8D%B4&amp;start_date=2025-03-01&amp;end_date=2025-03-31&amp;fiscal_year_id=9766670",10999)</f>
        <v>10999</v>
      </c>
      <c r="C28" s="30">
        <f>HYPERLINK("https://secure.freee.co.jp/reports/general_ledgers/show?name=%E9%95%B7%E6%9C%9F%E5%89%8D%E6%89%95%E8%B2%BB%E7%94%A8%E5%84%9F%E5%8D%B4&amp;start_date=2025-04-01&amp;end_date=2025-04-30&amp;fiscal_year_id=9766670",10999)</f>
        <v>10999</v>
      </c>
      <c r="D28" s="30">
        <f>HYPERLINK("https://secure.freee.co.jp/reports/general_ledgers/show?name=%E9%95%B7%E6%9C%9F%E5%89%8D%E6%89%95%E8%B2%BB%E7%94%A8%E5%84%9F%E5%8D%B4&amp;start_date=2025-05-01&amp;end_date=2025-05-31&amp;fiscal_year_id=9766670",10999)</f>
        <v>10999</v>
      </c>
      <c r="E28" s="30">
        <f>HYPERLINK("https://secure.freee.co.jp/reports/general_ledgers/show?name=%E9%95%B7%E6%9C%9F%E5%89%8D%E6%89%95%E8%B2%BB%E7%94%A8%E5%84%9F%E5%8D%B4&amp;start_date=2025-06-01&amp;end_date=2025-06-30&amp;fiscal_year_id=9766670",10999)</f>
        <v>10999</v>
      </c>
      <c r="F28" s="30">
        <f>HYPERLINK("https://secure.freee.co.jp/reports/general_ledgers/show?name=%E9%95%B7%E6%9C%9F%E5%89%8D%E6%89%95%E8%B2%BB%E7%94%A8%E5%84%9F%E5%8D%B4&amp;start_date=2025-07-01&amp;end_date=2025-07-31&amp;fiscal_year_id=9766670",10999)</f>
        <v>10999</v>
      </c>
      <c r="G28" s="30">
        <f>HYPERLINK("https://secure.freee.co.jp/reports/general_ledgers/show?name=%E9%95%B7%E6%9C%9F%E5%89%8D%E6%89%95%E8%B2%BB%E7%94%A8%E5%84%9F%E5%8D%B4&amp;start_date=2025-08-01&amp;end_date=2025-08-31&amp;fiscal_year_id=9766670",10999)</f>
        <v>10999</v>
      </c>
      <c r="H28" s="30">
        <f>HYPERLINK("https://secure.freee.co.jp/reports/general_ledgers/show?name=%E9%95%B7%E6%9C%9F%E5%89%8D%E6%89%95%E8%B2%BB%E7%94%A8%E5%84%9F%E5%8D%B4&amp;start_date=2025-09-01&amp;end_date=2025-09-30&amp;fiscal_year_id=9766670",10999)</f>
        <v>10999</v>
      </c>
      <c r="I28" s="30">
        <f>HYPERLINK("https://secure.freee.co.jp/reports/general_ledgers/show?name=%E9%95%B7%E6%9C%9F%E5%89%8D%E6%89%95%E8%B2%BB%E7%94%A8%E5%84%9F%E5%8D%B4&amp;start_date=2025-10-01&amp;end_date=2025-10-31&amp;fiscal_year_id=9766670",10999)</f>
        <v>10999</v>
      </c>
      <c r="J28" s="30">
        <f>HYPERLINK("https://secure.freee.co.jp/reports/general_ledgers/show?name=%E9%95%B7%E6%9C%9F%E5%89%8D%E6%89%95%E8%B2%BB%E7%94%A8%E5%84%9F%E5%8D%B4&amp;start_date=2025-11-01&amp;end_date=2025-11-30&amp;fiscal_year_id=9766670",10999)</f>
        <v>10999</v>
      </c>
      <c r="K28" s="30">
        <f>HYPERLINK("https://secure.freee.co.jp/reports/general_ledgers/show?name=%E9%95%B7%E6%9C%9F%E5%89%8D%E6%89%95%E8%B2%BB%E7%94%A8%E5%84%9F%E5%8D%B4&amp;start_date=2025-12-01&amp;end_date=2025-12-31&amp;fiscal_year_id=9766670",10999)</f>
        <v>10999</v>
      </c>
      <c r="L28" s="30">
        <f>HYPERLINK("https://secure.freee.co.jp/reports/general_ledgers/show?name=%E9%95%B7%E6%9C%9F%E5%89%8D%E6%89%95%E8%B2%BB%E7%94%A8%E5%84%9F%E5%8D%B4&amp;start_date=2026-01-01&amp;end_date=2026-01-31&amp;fiscal_year_id=9766670",10999)</f>
        <v>10999</v>
      </c>
      <c r="M28" s="37">
        <f>HYPERLINK("https://secure.freee.co.jp/reports/general_ledgers/show?name=%E9%95%B7%E6%9C%9F%E5%89%8D%E6%89%95%E8%B2%BB%E7%94%A8%E5%84%9F%E5%8D%B4&amp;start_date=2026-02-01&amp;end_date=2026-02-28&amp;fiscal_year_id=9766670",11011)</f>
        <v>11011</v>
      </c>
      <c r="N28" s="38">
        <f>SUM(B28:M28)</f>
        <v>132000</v>
      </c>
      <c r="O28" s="33" t="s">
        <v>347</v>
      </c>
    </row>
    <row r="29" spans="1:15" x14ac:dyDescent="0.25">
      <c r="A29" s="10" t="s">
        <v>448</v>
      </c>
      <c r="B29" s="30">
        <f>HYPERLINK("https://secure.freee.co.jp/reports/general_ledgers/show?name=%E9%9B%91%E8%B2%BB&amp;start_date=2025-03-01&amp;end_date=2025-03-31&amp;fiscal_year_id=9766670",16400)</f>
        <v>16400</v>
      </c>
      <c r="C29" s="30">
        <f>HYPERLINK("https://secure.freee.co.jp/reports/general_ledgers/show?name=%E9%9B%91%E8%B2%BB&amp;start_date=2025-04-01&amp;end_date=2025-04-30&amp;fiscal_year_id=9766670",18140)</f>
        <v>18140</v>
      </c>
      <c r="D29" s="30">
        <f>HYPERLINK("https://secure.freee.co.jp/reports/general_ledgers/show?name=%E9%9B%91%E8%B2%BB&amp;start_date=2025-05-01&amp;end_date=2025-05-31&amp;fiscal_year_id=9766670",18140)</f>
        <v>18140</v>
      </c>
      <c r="E29" s="31">
        <f>HYPERLINK("https://secure.freee.co.jp/reports/general_ledgers/show?name=%E9%9B%91%E8%B2%BB&amp;start_date=2025-06-01&amp;end_date=2025-06-30&amp;fiscal_year_id=9766670",27440)</f>
        <v>27440</v>
      </c>
      <c r="F29" s="31">
        <f>HYPERLINK("https://secure.freee.co.jp/reports/general_ledgers/show?name=%E9%9B%91%E8%B2%BB&amp;start_date=2025-07-01&amp;end_date=2025-07-31&amp;fiscal_year_id=9766670",7700)</f>
        <v>7700</v>
      </c>
      <c r="G29" s="31">
        <f>HYPERLINK("https://secure.freee.co.jp/reports/general_ledgers/show?name=%E9%9B%91%E8%B2%BB&amp;start_date=2025-08-01&amp;end_date=2025-08-31&amp;fiscal_year_id=9766670",18140)</f>
        <v>18140</v>
      </c>
      <c r="H29" s="30">
        <f>HYPERLINK("https://secure.freee.co.jp/reports/general_ledgers/show?name=%E9%9B%91%E8%B2%BB&amp;start_date=2025-09-01&amp;end_date=2025-09-30&amp;fiscal_year_id=9766670",18140)</f>
        <v>18140</v>
      </c>
      <c r="I29" s="30">
        <f>HYPERLINK("https://secure.freee.co.jp/reports/general_ledgers/show?name=%E9%9B%91%E8%B2%BB&amp;start_date=2025-10-01&amp;end_date=2025-10-31&amp;fiscal_year_id=9766670",11180)</f>
        <v>11180</v>
      </c>
      <c r="J29" s="31">
        <f>HYPERLINK("https://secure.freee.co.jp/reports/general_ledgers/show?name=%E9%9B%91%E8%B2%BB&amp;start_date=2025-11-01&amp;end_date=2025-11-30&amp;fiscal_year_id=9766670",18140)</f>
        <v>18140</v>
      </c>
      <c r="K29" s="31">
        <f>HYPERLINK("https://secure.freee.co.jp/reports/general_ledgers/show?name=%E9%9B%91%E8%B2%BB&amp;start_date=2025-12-01&amp;end_date=2025-12-31&amp;fiscal_year_id=9766670",7700)</f>
        <v>7700</v>
      </c>
      <c r="L29" s="31">
        <f>HYPERLINK("https://secure.freee.co.jp/reports/general_ledgers/show?name=%E9%9B%91%E8%B2%BB&amp;start_date=2026-01-01&amp;end_date=2026-01-31&amp;fiscal_year_id=9766670",25380)</f>
        <v>25380</v>
      </c>
      <c r="M29" s="37">
        <f>HYPERLINK("https://secure.freee.co.jp/reports/general_ledgers/show?name=%E9%9B%91%E8%B2%BB&amp;start_date=2026-02-01&amp;end_date=2026-02-28&amp;fiscal_year_id=9766670",18140)</f>
        <v>18140</v>
      </c>
      <c r="N29" s="38">
        <f>SUM(B29:M29)</f>
        <v>204640</v>
      </c>
      <c r="O29" s="33" t="s">
        <v>347</v>
      </c>
    </row>
    <row r="30" spans="1:15" x14ac:dyDescent="0.25">
      <c r="A30" s="40" t="s">
        <v>449</v>
      </c>
      <c r="B30" s="41">
        <v>13476395</v>
      </c>
      <c r="C30" s="41">
        <v>12897165</v>
      </c>
      <c r="D30" s="41">
        <v>13617612</v>
      </c>
      <c r="E30" s="41">
        <v>13728983</v>
      </c>
      <c r="F30" s="41">
        <v>16373141</v>
      </c>
      <c r="G30" s="41">
        <v>11250737</v>
      </c>
      <c r="H30" s="41">
        <v>13245728</v>
      </c>
      <c r="I30" s="41">
        <v>12190655</v>
      </c>
      <c r="J30" s="41">
        <v>11425052</v>
      </c>
      <c r="K30" s="41">
        <v>16570835</v>
      </c>
      <c r="L30" s="41">
        <v>12855613</v>
      </c>
      <c r="M30" s="41">
        <v>15241437</v>
      </c>
      <c r="N30" s="41">
        <f>SUM(B30:M30)</f>
        <v>162873353</v>
      </c>
      <c r="O30" s="42"/>
    </row>
    <row r="31" spans="1:15" x14ac:dyDescent="0.25">
      <c r="A31" s="40" t="s">
        <v>450</v>
      </c>
      <c r="B31" s="41">
        <v>9715671</v>
      </c>
      <c r="C31" s="41">
        <v>6485163</v>
      </c>
      <c r="D31" s="41">
        <v>789640</v>
      </c>
      <c r="E31" s="41">
        <v>1761169</v>
      </c>
      <c r="F31" s="41">
        <v>-2256020</v>
      </c>
      <c r="G31" s="41">
        <v>1443440</v>
      </c>
      <c r="H31" s="41">
        <v>1090260</v>
      </c>
      <c r="I31" s="41">
        <v>1433772</v>
      </c>
      <c r="J31" s="41">
        <v>2360123</v>
      </c>
      <c r="K31" s="41">
        <v>-7320868</v>
      </c>
      <c r="L31" s="41">
        <v>-359308</v>
      </c>
      <c r="M31" s="41">
        <v>-10052441</v>
      </c>
      <c r="N31" s="41">
        <f>SUM(B31:M31)</f>
        <v>5090601</v>
      </c>
      <c r="O31" s="42"/>
    </row>
    <row r="32" spans="1:15" x14ac:dyDescent="0.25">
      <c r="A32" s="10" t="s">
        <v>451</v>
      </c>
      <c r="B32" s="30">
        <f>HYPERLINK("https://secure.freee.co.jp/reports/general_ledgers/show?name=%E5%8F%97%E5%8F%96%E5%88%A9%E6%81%AF&amp;start_date=2025-03-01&amp;end_date=2025-03-31&amp;fiscal_year_id=9766670",1156)</f>
        <v>1156</v>
      </c>
      <c r="C32" s="44">
        <v>0</v>
      </c>
      <c r="D32" s="43">
        <v>0</v>
      </c>
      <c r="E32" s="43">
        <v>0</v>
      </c>
      <c r="F32" s="43">
        <v>0</v>
      </c>
      <c r="G32" s="30">
        <f>HYPERLINK("https://secure.freee.co.jp/reports/general_ledgers/show?name=%E5%8F%97%E5%8F%96%E5%88%A9%E6%81%AF&amp;start_date=2025-08-01&amp;end_date=2025-08-31&amp;fiscal_year_id=9766670",223)</f>
        <v>223</v>
      </c>
      <c r="H32" s="31">
        <f>HYPERLINK("https://secure.freee.co.jp/reports/general_ledgers/show?name=%E5%8F%97%E5%8F%96%E5%88%A9%E6%81%AF&amp;start_date=2025-09-01&amp;end_date=2025-09-30&amp;fiscal_year_id=9766670",1107)</f>
        <v>1107</v>
      </c>
      <c r="I32" s="44">
        <v>0</v>
      </c>
      <c r="J32" s="43">
        <v>0</v>
      </c>
      <c r="K32" s="43">
        <v>0</v>
      </c>
      <c r="L32" s="30">
        <f>HYPERLINK("https://secure.freee.co.jp/reports/general_ledgers/show?name=%E5%8F%97%E5%8F%96%E5%88%A9%E6%81%AF&amp;start_date=2026-01-01&amp;end_date=2026-01-31&amp;fiscal_year_id=9766670",1326)</f>
        <v>1326</v>
      </c>
      <c r="M32" s="37">
        <f>HYPERLINK("https://secure.freee.co.jp/reports/general_ledgers/show?name=%E5%8F%97%E5%8F%96%E5%88%A9%E6%81%AF&amp;start_date=2026-02-01&amp;end_date=2026-02-28&amp;fiscal_year_id=9766670",1726)</f>
        <v>1726</v>
      </c>
      <c r="N32" s="38">
        <f>SUM(B32:M32)</f>
        <v>5538</v>
      </c>
      <c r="O32" s="33" t="s">
        <v>347</v>
      </c>
    </row>
    <row r="33" spans="1:15" x14ac:dyDescent="0.25">
      <c r="A33" s="10" t="s">
        <v>452</v>
      </c>
      <c r="B33" s="43">
        <v>0</v>
      </c>
      <c r="C33" s="43">
        <v>0</v>
      </c>
      <c r="D33" s="43">
        <v>0</v>
      </c>
      <c r="E33" s="30">
        <f>HYPERLINK("https://secure.freee.co.jp/reports/general_ledgers/show?name=%E5%8F%97%E5%8F%96%E9%85%8D%E5%BD%93%E9%87%91&amp;start_date=2025-06-01&amp;end_date=2025-06-30&amp;fiscal_year_id=9766670",15500)</f>
        <v>15500</v>
      </c>
      <c r="F33" s="44">
        <v>0</v>
      </c>
      <c r="G33" s="43">
        <v>0</v>
      </c>
      <c r="H33" s="43">
        <v>0</v>
      </c>
      <c r="I33" s="43">
        <v>0</v>
      </c>
      <c r="J33" s="43">
        <v>0</v>
      </c>
      <c r="K33" s="30">
        <f>HYPERLINK("https://secure.freee.co.jp/reports/general_ledgers/show?name=%E5%8F%97%E5%8F%96%E9%85%8D%E5%BD%93%E9%87%91&amp;start_date=2025-12-01&amp;end_date=2025-12-31&amp;fiscal_year_id=9766670",19200)</f>
        <v>19200</v>
      </c>
      <c r="L33" s="44">
        <v>0</v>
      </c>
      <c r="M33" s="45">
        <v>0</v>
      </c>
      <c r="N33" s="38">
        <f>SUM(B33:M33)</f>
        <v>34700</v>
      </c>
      <c r="O33" s="33" t="s">
        <v>347</v>
      </c>
    </row>
    <row r="34" spans="1:15" x14ac:dyDescent="0.25">
      <c r="A34" s="10" t="s">
        <v>453</v>
      </c>
      <c r="B34" s="30">
        <f>HYPERLINK("https://secure.freee.co.jp/reports/general_ledgers/show?name=%E9%9B%91%E5%8F%8E%E5%85%A5&amp;start_date=2025-03-01&amp;end_date=2025-03-31&amp;fiscal_year_id=9766670",64124)</f>
        <v>64124</v>
      </c>
      <c r="C34" s="31">
        <f>HYPERLINK("https://secure.freee.co.jp/reports/general_ledgers/show?name=%E9%9B%91%E5%8F%8E%E5%85%A5&amp;start_date=2025-04-01&amp;end_date=2025-04-30&amp;fiscal_year_id=9766670",122400)</f>
        <v>122400</v>
      </c>
      <c r="D34" s="44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30">
        <f>HYPERLINK("https://secure.freee.co.jp/reports/general_ledgers/show?name=%E9%9B%91%E5%8F%8E%E5%85%A5&amp;start_date=2026-01-01&amp;end_date=2026-01-31&amp;fiscal_year_id=9766670",5295000)</f>
        <v>5295000</v>
      </c>
      <c r="M34" s="44">
        <v>0</v>
      </c>
      <c r="N34" s="38">
        <f>SUM(B34:M34)</f>
        <v>5481524</v>
      </c>
      <c r="O34" s="33" t="s">
        <v>347</v>
      </c>
    </row>
    <row r="35" spans="1:15" x14ac:dyDescent="0.25">
      <c r="A35" s="10" t="s">
        <v>454</v>
      </c>
      <c r="B35" s="30">
        <v>65280</v>
      </c>
      <c r="C35" s="30">
        <v>122400</v>
      </c>
      <c r="D35" s="43">
        <v>0</v>
      </c>
      <c r="E35" s="30">
        <v>15500</v>
      </c>
      <c r="F35" s="43">
        <v>0</v>
      </c>
      <c r="G35" s="30">
        <v>223</v>
      </c>
      <c r="H35" s="30">
        <v>1107</v>
      </c>
      <c r="I35" s="43">
        <v>0</v>
      </c>
      <c r="J35" s="43">
        <v>0</v>
      </c>
      <c r="K35" s="30">
        <v>19200</v>
      </c>
      <c r="L35" s="30">
        <v>5296326</v>
      </c>
      <c r="M35" s="37">
        <v>1726</v>
      </c>
      <c r="N35" s="38">
        <f>SUM(B35:M35)</f>
        <v>5521762</v>
      </c>
      <c r="O35" s="39"/>
    </row>
    <row r="36" spans="1:15" x14ac:dyDescent="0.25">
      <c r="A36" s="10" t="s">
        <v>455</v>
      </c>
      <c r="B36" s="30">
        <f>HYPERLINK("https://secure.freee.co.jp/reports/general_ledgers/show?name=%E6%94%AF%E6%89%95%E5%88%A9%E6%81%AF&amp;start_date=2025-03-01&amp;end_date=2025-03-31&amp;fiscal_year_id=9766670",29674)</f>
        <v>29674</v>
      </c>
      <c r="C36" s="30">
        <f>HYPERLINK("https://secure.freee.co.jp/reports/general_ledgers/show?name=%E6%94%AF%E6%89%95%E5%88%A9%E6%81%AF&amp;start_date=2025-04-01&amp;end_date=2025-04-30&amp;fiscal_year_id=9766670",30796)</f>
        <v>30796</v>
      </c>
      <c r="D36" s="30">
        <f>HYPERLINK("https://secure.freee.co.jp/reports/general_ledgers/show?name=%E6%94%AF%E6%89%95%E5%88%A9%E6%81%AF&amp;start_date=2025-05-01&amp;end_date=2025-05-31&amp;fiscal_year_id=9766670",25548)</f>
        <v>25548</v>
      </c>
      <c r="E36" s="30">
        <f>HYPERLINK("https://secure.freee.co.jp/reports/general_ledgers/show?name=%E6%94%AF%E6%89%95%E5%88%A9%E6%81%AF&amp;start_date=2025-06-01&amp;end_date=2025-06-30&amp;fiscal_year_id=9766670",26390)</f>
        <v>26390</v>
      </c>
      <c r="F36" s="30">
        <f>HYPERLINK("https://secure.freee.co.jp/reports/general_ledgers/show?name=%E6%94%AF%E6%89%95%E5%88%A9%E6%81%AF&amp;start_date=2025-07-01&amp;end_date=2025-07-31&amp;fiscal_year_id=9766670",27642)</f>
        <v>27642</v>
      </c>
      <c r="G36" s="30">
        <f>HYPERLINK("https://secure.freee.co.jp/reports/general_ledgers/show?name=%E6%94%AF%E6%89%95%E5%88%A9%E6%81%AF&amp;start_date=2025-08-01&amp;end_date=2025-08-31&amp;fiscal_year_id=9766670",23134)</f>
        <v>23134</v>
      </c>
      <c r="H36" s="30">
        <f>HYPERLINK("https://secure.freee.co.jp/reports/general_ledgers/show?name=%E6%94%AF%E6%89%95%E5%88%A9%E6%81%AF&amp;start_date=2025-09-01&amp;end_date=2025-09-30&amp;fiscal_year_id=9766670",23431)</f>
        <v>23431</v>
      </c>
      <c r="I36" s="30">
        <f>HYPERLINK("https://secure.freee.co.jp/reports/general_ledgers/show?name=%E6%94%AF%E6%89%95%E5%88%A9%E6%81%AF&amp;start_date=2025-10-01&amp;end_date=2025-10-31&amp;fiscal_year_id=9766670",23319)</f>
        <v>23319</v>
      </c>
      <c r="J36" s="30">
        <f>HYPERLINK("https://secure.freee.co.jp/reports/general_ledgers/show?name=%E6%94%AF%E6%89%95%E5%88%A9%E6%81%AF&amp;start_date=2025-11-01&amp;end_date=2025-11-30&amp;fiscal_year_id=9766670",22650)</f>
        <v>22650</v>
      </c>
      <c r="K36" s="30">
        <f>HYPERLINK("https://secure.freee.co.jp/reports/general_ledgers/show?name=%E6%94%AF%E6%89%95%E5%88%A9%E6%81%AF&amp;start_date=2025-12-01&amp;end_date=2025-12-31&amp;fiscal_year_id=9766670",22067)</f>
        <v>22067</v>
      </c>
      <c r="L36" s="30">
        <f>HYPERLINK("https://secure.freee.co.jp/reports/general_ledgers/show?name=%E6%94%AF%E6%89%95%E5%88%A9%E6%81%AF&amp;start_date=2026-01-01&amp;end_date=2026-01-31&amp;fiscal_year_id=9766670",18860)</f>
        <v>18860</v>
      </c>
      <c r="M36" s="37">
        <f>HYPERLINK("https://secure.freee.co.jp/reports/general_ledgers/show?name=%E6%94%AF%E6%89%95%E5%88%A9%E6%81%AF&amp;start_date=2026-02-01&amp;end_date=2026-02-28&amp;fiscal_year_id=9766670",18093)</f>
        <v>18093</v>
      </c>
      <c r="N36" s="38">
        <f>SUM(B36:M36)</f>
        <v>291604</v>
      </c>
      <c r="O36" s="33" t="s">
        <v>347</v>
      </c>
    </row>
    <row r="37" spans="1:15" x14ac:dyDescent="0.25">
      <c r="A37" s="10" t="s">
        <v>456</v>
      </c>
      <c r="B37" s="30">
        <v>29674</v>
      </c>
      <c r="C37" s="30">
        <v>30796</v>
      </c>
      <c r="D37" s="30">
        <v>25548</v>
      </c>
      <c r="E37" s="30">
        <v>26390</v>
      </c>
      <c r="F37" s="30">
        <v>27642</v>
      </c>
      <c r="G37" s="30">
        <v>23134</v>
      </c>
      <c r="H37" s="30">
        <v>23431</v>
      </c>
      <c r="I37" s="30">
        <v>23319</v>
      </c>
      <c r="J37" s="30">
        <v>22650</v>
      </c>
      <c r="K37" s="30">
        <v>22067</v>
      </c>
      <c r="L37" s="30">
        <v>18860</v>
      </c>
      <c r="M37" s="37">
        <v>18093</v>
      </c>
      <c r="N37" s="38">
        <f>SUM(B37:M37)</f>
        <v>291604</v>
      </c>
      <c r="O37" s="39"/>
    </row>
    <row r="38" spans="1:15" x14ac:dyDescent="0.25">
      <c r="A38" s="40" t="s">
        <v>457</v>
      </c>
      <c r="B38" s="41">
        <v>9751277</v>
      </c>
      <c r="C38" s="41">
        <v>6576767</v>
      </c>
      <c r="D38" s="41">
        <v>764092</v>
      </c>
      <c r="E38" s="41">
        <v>1750279</v>
      </c>
      <c r="F38" s="41">
        <v>-2283662</v>
      </c>
      <c r="G38" s="41">
        <v>1420529</v>
      </c>
      <c r="H38" s="41">
        <v>1067936</v>
      </c>
      <c r="I38" s="41">
        <v>1410453</v>
      </c>
      <c r="J38" s="41">
        <v>2337473</v>
      </c>
      <c r="K38" s="41">
        <v>-7323735</v>
      </c>
      <c r="L38" s="41">
        <v>4918158</v>
      </c>
      <c r="M38" s="41">
        <v>-10068808</v>
      </c>
      <c r="N38" s="41">
        <f>SUM(B38:M38)</f>
        <v>10320759</v>
      </c>
      <c r="O38" s="42"/>
    </row>
    <row r="39" spans="1:15" x14ac:dyDescent="0.25">
      <c r="A39" s="10" t="s">
        <v>458</v>
      </c>
      <c r="B39" s="43">
        <v>0</v>
      </c>
      <c r="C39" s="43">
        <v>0</v>
      </c>
      <c r="D39" s="43">
        <v>0</v>
      </c>
      <c r="E39" s="43">
        <v>0</v>
      </c>
      <c r="F39" s="43">
        <v>0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5">
        <v>0</v>
      </c>
      <c r="N39" s="38">
        <f>SUM(B39:M39)</f>
        <v>0</v>
      </c>
      <c r="O39" s="39"/>
    </row>
    <row r="40" spans="1:15" x14ac:dyDescent="0.25">
      <c r="A40" s="10" t="s">
        <v>459</v>
      </c>
      <c r="B40" s="43">
        <v>0</v>
      </c>
      <c r="C40" s="43">
        <v>0</v>
      </c>
      <c r="D40" s="43">
        <v>0</v>
      </c>
      <c r="E40" s="43">
        <v>0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5">
        <v>0</v>
      </c>
      <c r="N40" s="38">
        <f>SUM(B40:M40)</f>
        <v>0</v>
      </c>
      <c r="O40" s="39"/>
    </row>
    <row r="41" spans="1:15" x14ac:dyDescent="0.25">
      <c r="A41" s="40" t="s">
        <v>460</v>
      </c>
      <c r="B41" s="41">
        <v>9751277</v>
      </c>
      <c r="C41" s="41">
        <v>6576767</v>
      </c>
      <c r="D41" s="41">
        <v>764092</v>
      </c>
      <c r="E41" s="41">
        <v>1750279</v>
      </c>
      <c r="F41" s="41">
        <v>-2283662</v>
      </c>
      <c r="G41" s="41">
        <v>1420529</v>
      </c>
      <c r="H41" s="41">
        <v>1067936</v>
      </c>
      <c r="I41" s="41">
        <v>1410453</v>
      </c>
      <c r="J41" s="41">
        <v>2337473</v>
      </c>
      <c r="K41" s="41">
        <v>-7323735</v>
      </c>
      <c r="L41" s="41">
        <v>4918158</v>
      </c>
      <c r="M41" s="41">
        <v>-10068808</v>
      </c>
      <c r="N41" s="41">
        <f>SUM(B41:M41)</f>
        <v>10320759</v>
      </c>
      <c r="O41" s="42"/>
    </row>
    <row r="42" spans="1:15" x14ac:dyDescent="0.25">
      <c r="A42" s="10" t="s">
        <v>461</v>
      </c>
      <c r="B42" s="30">
        <f>HYPERLINK("https://secure.freee.co.jp/reports/general_ledgers/show?name=%E6%B3%95%E4%BA%BA%E7%A8%8E%E3%83%BB%E4%BD%8F%E6%B0%91%E7%A8%8E%E5%8F%8A%E3%81%B3%E4%BA%8B%E6%A5%AD%E7%A8%8E&amp;start_date=2025-03-01&amp;end_date=2025-03-31&amp;fiscal_year_id=9766670",177)</f>
        <v>177</v>
      </c>
      <c r="C42" s="44">
        <v>0</v>
      </c>
      <c r="D42" s="43">
        <v>0</v>
      </c>
      <c r="E42" s="30">
        <f>HYPERLINK("https://secure.freee.co.jp/reports/general_ledgers/show?name=%E6%B3%95%E4%BA%BA%E7%A8%8E%E3%83%BB%E4%BD%8F%E6%B0%91%E7%A8%8E%E5%8F%8A%E3%81%B3%E4%BA%8B%E6%A5%AD%E7%A8%8E&amp;start_date=2025-06-01&amp;end_date=2025-06-30&amp;fiscal_year_id=9766670",2388)</f>
        <v>2388</v>
      </c>
      <c r="F42" s="44">
        <v>0</v>
      </c>
      <c r="G42" s="30">
        <f>HYPERLINK("https://secure.freee.co.jp/reports/general_ledgers/show?name=%E6%B3%95%E4%BA%BA%E7%A8%8E%E3%83%BB%E4%BD%8F%E6%B0%91%E7%A8%8E%E5%8F%8A%E3%81%B3%E4%BA%8B%E6%A5%AD%E7%A8%8E&amp;start_date=2025-08-01&amp;end_date=2025-08-31&amp;fiscal_year_id=9766670",34)</f>
        <v>34</v>
      </c>
      <c r="H42" s="31">
        <f>HYPERLINK("https://secure.freee.co.jp/reports/general_ledgers/show?name=%E6%B3%95%E4%BA%BA%E7%A8%8E%E3%83%BB%E4%BD%8F%E6%B0%91%E7%A8%8E%E5%8F%8A%E3%81%B3%E4%BA%8B%E6%A5%AD%E7%A8%8E&amp;start_date=2025-09-01&amp;end_date=2025-09-30&amp;fiscal_year_id=9766670",169)</f>
        <v>169</v>
      </c>
      <c r="I42" s="31">
        <f>HYPERLINK("https://secure.freee.co.jp/reports/general_ledgers/show?name=%E6%B3%95%E4%BA%BA%E7%A8%8E%E3%83%BB%E4%BD%8F%E6%B0%91%E7%A8%8E%E5%8F%8A%E3%81%B3%E4%BA%8B%E6%A5%AD%E7%A8%8E&amp;start_date=2025-10-01&amp;end_date=2025-10-31&amp;fiscal_year_id=9766670",1100200)</f>
        <v>1100200</v>
      </c>
      <c r="J42" s="44">
        <v>0</v>
      </c>
      <c r="K42" s="30">
        <f>HYPERLINK("https://secure.freee.co.jp/reports/general_ledgers/show?name=%E6%B3%95%E4%BA%BA%E7%A8%8E%E3%83%BB%E4%BD%8F%E6%B0%91%E7%A8%8E%E5%8F%8A%E3%81%B3%E4%BA%8B%E6%A5%AD%E7%A8%8E&amp;start_date=2025-12-01&amp;end_date=2025-12-31&amp;fiscal_year_id=9766670",2940)</f>
        <v>2940</v>
      </c>
      <c r="L42" s="31">
        <f>HYPERLINK("https://secure.freee.co.jp/reports/general_ledgers/show?name=%E6%B3%95%E4%BA%BA%E7%A8%8E%E3%83%BB%E4%BD%8F%E6%B0%91%E7%A8%8E%E5%8F%8A%E3%81%B3%E4%BA%8B%E6%A5%AD%E7%A8%8E&amp;start_date=2026-01-01&amp;end_date=2026-01-31&amp;fiscal_year_id=9766670",202)</f>
        <v>202</v>
      </c>
      <c r="M42" s="37">
        <f>HYPERLINK("https://secure.freee.co.jp/reports/general_ledgers/show?name=%E6%B3%95%E4%BA%BA%E7%A8%8E%E3%83%BB%E4%BD%8F%E6%B0%91%E7%A8%8E%E5%8F%8A%E3%81%B3%E4%BA%8B%E6%A5%AD%E7%A8%8E&amp;start_date=2026-02-01&amp;end_date=2026-02-28&amp;fiscal_year_id=9766670",264)</f>
        <v>264</v>
      </c>
      <c r="N42" s="38">
        <f>SUM(B42:M42)</f>
        <v>1106374</v>
      </c>
      <c r="O42" s="33" t="s">
        <v>347</v>
      </c>
    </row>
    <row r="43" spans="1:15" x14ac:dyDescent="0.25">
      <c r="A43" s="10" t="s">
        <v>462</v>
      </c>
      <c r="B43" s="30">
        <v>177</v>
      </c>
      <c r="C43" s="43">
        <v>0</v>
      </c>
      <c r="D43" s="43">
        <v>0</v>
      </c>
      <c r="E43" s="30">
        <v>2388</v>
      </c>
      <c r="F43" s="43">
        <v>0</v>
      </c>
      <c r="G43" s="30">
        <v>34</v>
      </c>
      <c r="H43" s="30">
        <v>169</v>
      </c>
      <c r="I43" s="30">
        <v>1100200</v>
      </c>
      <c r="J43" s="43">
        <v>0</v>
      </c>
      <c r="K43" s="30">
        <v>2940</v>
      </c>
      <c r="L43" s="30">
        <v>202</v>
      </c>
      <c r="M43" s="37">
        <v>264</v>
      </c>
      <c r="N43" s="38">
        <f>SUM(B43:M43)</f>
        <v>1106374</v>
      </c>
      <c r="O43" s="39"/>
    </row>
    <row r="44" spans="1:15" x14ac:dyDescent="0.25">
      <c r="A44" s="40" t="s">
        <v>463</v>
      </c>
      <c r="B44" s="41">
        <v>9751100</v>
      </c>
      <c r="C44" s="41">
        <v>6576767</v>
      </c>
      <c r="D44" s="41">
        <v>764092</v>
      </c>
      <c r="E44" s="41">
        <v>1747891</v>
      </c>
      <c r="F44" s="41">
        <v>-2283662</v>
      </c>
      <c r="G44" s="41">
        <v>1420495</v>
      </c>
      <c r="H44" s="41">
        <v>1067767</v>
      </c>
      <c r="I44" s="41">
        <v>310253</v>
      </c>
      <c r="J44" s="41">
        <v>2337473</v>
      </c>
      <c r="K44" s="41">
        <v>-7326675</v>
      </c>
      <c r="L44" s="41">
        <v>4917956</v>
      </c>
      <c r="M44" s="41">
        <v>-10069072</v>
      </c>
      <c r="N44" s="41">
        <f>SUM(B44:M44)</f>
        <v>9214385</v>
      </c>
      <c r="O44" s="42"/>
    </row>
    <row r="45" spans="1:15" x14ac:dyDescent="0.25">
      <c r="A45" s="10" t="s">
        <v>464</v>
      </c>
      <c r="B45" s="30">
        <f>HYPERLINK("https://secure.freee.co.jp/reports/general_ledgers/show?name=%E5%AE%8C%E6%88%90%E8%BB%8A%E5%A3%B2%E4%B8%8A%E9%AB%98&amp;start_date=2025-03-01&amp;end_date=2025-03-31&amp;fiscal_year_id=9766670",53278988)</f>
        <v>53278988</v>
      </c>
      <c r="C45" s="30">
        <f>HYPERLINK("https://secure.freee.co.jp/reports/general_ledgers/show?name=%E5%AE%8C%E6%88%90%E8%BB%8A%E5%A3%B2%E4%B8%8A%E9%AB%98&amp;start_date=2025-04-01&amp;end_date=2025-04-30&amp;fiscal_year_id=9766670",48930471)</f>
        <v>48930471</v>
      </c>
      <c r="D45" s="30">
        <f>HYPERLINK("https://secure.freee.co.jp/reports/general_ledgers/show?name=%E5%AE%8C%E6%88%90%E8%BB%8A%E5%A3%B2%E4%B8%8A%E9%AB%98&amp;start_date=2025-05-01&amp;end_date=2025-05-31&amp;fiscal_year_id=9766670",47781654)</f>
        <v>47781654</v>
      </c>
      <c r="E45" s="30">
        <f>HYPERLINK("https://secure.freee.co.jp/reports/general_ledgers/show?name=%E5%AE%8C%E6%88%90%E8%BB%8A%E5%A3%B2%E4%B8%8A%E9%AB%98&amp;start_date=2025-06-01&amp;end_date=2025-06-30&amp;fiscal_year_id=9766670",45227896)</f>
        <v>45227896</v>
      </c>
      <c r="F45" s="30">
        <f>HYPERLINK("https://secure.freee.co.jp/reports/general_ledgers/show?name=%E5%AE%8C%E6%88%90%E8%BB%8A%E5%A3%B2%E4%B8%8A%E9%AB%98&amp;start_date=2025-07-01&amp;end_date=2025-07-31&amp;fiscal_year_id=9766670",42325817)</f>
        <v>42325817</v>
      </c>
      <c r="G45" s="30">
        <f>HYPERLINK("https://secure.freee.co.jp/reports/general_ledgers/show?name=%E5%AE%8C%E6%88%90%E8%BB%8A%E5%A3%B2%E4%B8%8A%E9%AB%98&amp;start_date=2025-08-01&amp;end_date=2025-08-31&amp;fiscal_year_id=9766670",35455279)</f>
        <v>35455279</v>
      </c>
      <c r="H45" s="30">
        <f>HYPERLINK("https://secure.freee.co.jp/reports/general_ledgers/show?name=%E5%AE%8C%E6%88%90%E8%BB%8A%E5%A3%B2%E4%B8%8A%E9%AB%98&amp;start_date=2025-09-01&amp;end_date=2025-09-30&amp;fiscal_year_id=9766670",45987635)</f>
        <v>45987635</v>
      </c>
      <c r="I45" s="30">
        <f>HYPERLINK("https://secure.freee.co.jp/reports/general_ledgers/show?name=%E5%AE%8C%E6%88%90%E8%BB%8A%E5%A3%B2%E4%B8%8A%E9%AB%98&amp;start_date=2025-10-01&amp;end_date=2025-10-31&amp;fiscal_year_id=9766670",42939576)</f>
        <v>42939576</v>
      </c>
      <c r="J45" s="30">
        <f>HYPERLINK("https://secure.freee.co.jp/reports/general_ledgers/show?name=%E5%AE%8C%E6%88%90%E8%BB%8A%E5%A3%B2%E4%B8%8A%E9%AB%98&amp;start_date=2025-11-01&amp;end_date=2025-11-30&amp;fiscal_year_id=9766670",36381748)</f>
        <v>36381748</v>
      </c>
      <c r="K45" s="30">
        <f>HYPERLINK("https://secure.freee.co.jp/reports/general_ledgers/show?name=%E5%AE%8C%E6%88%90%E8%BB%8A%E5%A3%B2%E4%B8%8A%E9%AB%98&amp;start_date=2025-12-01&amp;end_date=2025-12-31&amp;fiscal_year_id=9766670",38844755)</f>
        <v>38844755</v>
      </c>
      <c r="L45" s="30">
        <f>HYPERLINK("https://secure.freee.co.jp/reports/general_ledgers/show?name=%E5%AE%8C%E6%88%90%E8%BB%8A%E5%A3%B2%E4%B8%8A%E9%AB%98&amp;start_date=2026-01-01&amp;end_date=2026-01-31&amp;fiscal_year_id=9766670",37465694)</f>
        <v>37465694</v>
      </c>
      <c r="M45" s="37">
        <f>HYPERLINK("https://secure.freee.co.jp/reports/general_ledgers/show?name=%E5%AE%8C%E6%88%90%E8%BB%8A%E5%A3%B2%E4%B8%8A%E9%AB%98&amp;start_date=2026-02-01&amp;end_date=2026-02-28&amp;fiscal_year_id=9766670",34630101)</f>
        <v>34630101</v>
      </c>
      <c r="N45" s="38">
        <f>SUM(B45:M45)</f>
        <v>509249614</v>
      </c>
      <c r="O45" s="33" t="s">
        <v>347</v>
      </c>
    </row>
    <row r="46" spans="1:15" x14ac:dyDescent="0.25">
      <c r="A46" s="10" t="s">
        <v>465</v>
      </c>
      <c r="B46" s="30">
        <f>HYPERLINK("https://secure.freee.co.jp/reports/general_ledgers/show?name=%E3%83%91%E3%83%BC%E3%83%84%E5%A3%B2%E4%B8%8A%E9%AB%98&amp;start_date=2025-03-01&amp;end_date=2025-03-31&amp;fiscal_year_id=9766670",5586105)</f>
        <v>5586105</v>
      </c>
      <c r="C46" s="30">
        <f>HYPERLINK("https://secure.freee.co.jp/reports/general_ledgers/show?name=%E3%83%91%E3%83%BC%E3%83%84%E5%A3%B2%E4%B8%8A%E9%AB%98&amp;start_date=2025-04-01&amp;end_date=2025-04-30&amp;fiscal_year_id=9766670",4920688)</f>
        <v>4920688</v>
      </c>
      <c r="D46" s="30">
        <f>HYPERLINK("https://secure.freee.co.jp/reports/general_ledgers/show?name=%E3%83%91%E3%83%BC%E3%83%84%E5%A3%B2%E4%B8%8A%E9%AB%98&amp;start_date=2025-05-01&amp;end_date=2025-05-31&amp;fiscal_year_id=9766670",4701870)</f>
        <v>4701870</v>
      </c>
      <c r="E46" s="30">
        <f>HYPERLINK("https://secure.freee.co.jp/reports/general_ledgers/show?name=%E3%83%91%E3%83%BC%E3%83%84%E5%A3%B2%E4%B8%8A%E9%AB%98&amp;start_date=2025-06-01&amp;end_date=2025-06-30&amp;fiscal_year_id=9766670",4038923)</f>
        <v>4038923</v>
      </c>
      <c r="F46" s="30">
        <f>HYPERLINK("https://secure.freee.co.jp/reports/general_ledgers/show?name=%E3%83%91%E3%83%BC%E3%83%84%E5%A3%B2%E4%B8%8A%E9%AB%98&amp;start_date=2025-07-01&amp;end_date=2025-07-31&amp;fiscal_year_id=9766670",4387053)</f>
        <v>4387053</v>
      </c>
      <c r="G46" s="30">
        <f>HYPERLINK("https://secure.freee.co.jp/reports/general_ledgers/show?name=%E3%83%91%E3%83%BC%E3%83%84%E5%A3%B2%E4%B8%8A%E9%AB%98&amp;start_date=2025-08-01&amp;end_date=2025-08-31&amp;fiscal_year_id=9766670",4213413)</f>
        <v>4213413</v>
      </c>
      <c r="H46" s="30">
        <f>HYPERLINK("https://secure.freee.co.jp/reports/general_ledgers/show?name=%E3%83%91%E3%83%BC%E3%83%84%E5%A3%B2%E4%B8%8A%E9%AB%98&amp;start_date=2025-09-01&amp;end_date=2025-09-30&amp;fiscal_year_id=9766670",5272806)</f>
        <v>5272806</v>
      </c>
      <c r="I46" s="30">
        <f>HYPERLINK("https://secure.freee.co.jp/reports/general_ledgers/show?name=%E3%83%91%E3%83%BC%E3%83%84%E5%A3%B2%E4%B8%8A%E9%AB%98&amp;start_date=2025-10-01&amp;end_date=2025-10-31&amp;fiscal_year_id=9766670",4404414)</f>
        <v>4404414</v>
      </c>
      <c r="J46" s="30">
        <f>HYPERLINK("https://secure.freee.co.jp/reports/general_ledgers/show?name=%E3%83%91%E3%83%BC%E3%83%84%E5%A3%B2%E4%B8%8A%E9%AB%98&amp;start_date=2025-11-01&amp;end_date=2025-11-30&amp;fiscal_year_id=9766670",4199431)</f>
        <v>4199431</v>
      </c>
      <c r="K46" s="30">
        <f>HYPERLINK("https://secure.freee.co.jp/reports/general_ledgers/show?name=%E3%83%91%E3%83%BC%E3%83%84%E5%A3%B2%E4%B8%8A%E9%AB%98&amp;start_date=2025-12-01&amp;end_date=2025-12-31&amp;fiscal_year_id=9766670",3332907)</f>
        <v>3332907</v>
      </c>
      <c r="L46" s="30">
        <f>HYPERLINK("https://secure.freee.co.jp/reports/general_ledgers/show?name=%E3%83%91%E3%83%BC%E3%83%84%E5%A3%B2%E4%B8%8A%E9%AB%98&amp;start_date=2026-01-01&amp;end_date=2026-01-31&amp;fiscal_year_id=9766670",4205347)</f>
        <v>4205347</v>
      </c>
      <c r="M46" s="37">
        <f>HYPERLINK("https://secure.freee.co.jp/reports/general_ledgers/show?name=%E3%83%91%E3%83%BC%E3%83%84%E5%A3%B2%E4%B8%8A%E9%AB%98&amp;start_date=2026-02-01&amp;end_date=2026-02-28&amp;fiscal_year_id=9766670",4603967)</f>
        <v>4603967</v>
      </c>
      <c r="N46" s="38">
        <f>SUM(B46:M46)</f>
        <v>53866924</v>
      </c>
      <c r="O46" s="33" t="s">
        <v>347</v>
      </c>
    </row>
    <row r="47" spans="1:15" x14ac:dyDescent="0.25">
      <c r="A47" s="10" t="s">
        <v>466</v>
      </c>
      <c r="B47" s="30">
        <f>HYPERLINK("https://secure.freee.co.jp/reports/general_ledgers/show?name=%E6%9C%9F%E9%A6%96%E5%95%86%E5%93%81%E6%A3%9A%E5%8D%B8%E9%AB%98&amp;start_date=2025-03-01&amp;end_date=2025-03-31&amp;fiscal_year_id=9766670",31078884)</f>
        <v>31078884</v>
      </c>
      <c r="C47" s="44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5">
        <v>0</v>
      </c>
      <c r="N47" s="38">
        <f>SUM(B47:M47)</f>
        <v>31078884</v>
      </c>
      <c r="O47" s="33" t="s">
        <v>347</v>
      </c>
    </row>
    <row r="48" spans="1:15" x14ac:dyDescent="0.25">
      <c r="A48" s="10" t="s">
        <v>467</v>
      </c>
      <c r="B48" s="30">
        <f>HYPERLINK("https://secure.freee.co.jp/reports/general_ledgers/show?name=%E4%BB%95%E5%85%A5%E9%AB%98&amp;start_date=2025-03-01&amp;end_date=2025-03-31&amp;fiscal_year_id=9766670",41394796)</f>
        <v>41394796</v>
      </c>
      <c r="C48" s="30">
        <f>HYPERLINK("https://secure.freee.co.jp/reports/general_ledgers/show?name=%E4%BB%95%E5%85%A5%E9%AB%98&amp;start_date=2025-04-01&amp;end_date=2025-04-30&amp;fiscal_year_id=9766670",33447450)</f>
        <v>33447450</v>
      </c>
      <c r="D48" s="30">
        <f>HYPERLINK("https://secure.freee.co.jp/reports/general_ledgers/show?name=%E4%BB%95%E5%85%A5%E9%AB%98&amp;start_date=2025-05-01&amp;end_date=2025-05-31&amp;fiscal_year_id=9766670",36544411)</f>
        <v>36544411</v>
      </c>
      <c r="E48" s="30">
        <f>HYPERLINK("https://secure.freee.co.jp/reports/general_ledgers/show?name=%E4%BB%95%E5%85%A5%E9%AB%98&amp;start_date=2025-06-01&amp;end_date=2025-06-30&amp;fiscal_year_id=9766670",31526155)</f>
        <v>31526155</v>
      </c>
      <c r="F48" s="30">
        <f>HYPERLINK("https://secure.freee.co.jp/reports/general_ledgers/show?name=%E4%BB%95%E5%85%A5%E9%AB%98&amp;start_date=2025-07-01&amp;end_date=2025-07-31&amp;fiscal_year_id=9766670",32440687)</f>
        <v>32440687</v>
      </c>
      <c r="G48" s="30">
        <f>HYPERLINK("https://secure.freee.co.jp/reports/general_ledgers/show?name=%E4%BB%95%E5%85%A5%E9%AB%98&amp;start_date=2025-08-01&amp;end_date=2025-08-31&amp;fiscal_year_id=9766670",27216181)</f>
        <v>27216181</v>
      </c>
      <c r="H48" s="30">
        <f>HYPERLINK("https://secure.freee.co.jp/reports/general_ledgers/show?name=%E4%BB%95%E5%85%A5%E9%AB%98&amp;start_date=2025-09-01&amp;end_date=2025-09-30&amp;fiscal_year_id=9766670",37575899)</f>
        <v>37575899</v>
      </c>
      <c r="I48" s="30">
        <f>HYPERLINK("https://secure.freee.co.jp/reports/general_ledgers/show?name=%E4%BB%95%E5%85%A5%E9%AB%98&amp;start_date=2025-10-01&amp;end_date=2025-10-31&amp;fiscal_year_id=9766670",36257952)</f>
        <v>36257952</v>
      </c>
      <c r="J48" s="30">
        <f>HYPERLINK("https://secure.freee.co.jp/reports/general_ledgers/show?name=%E4%BB%95%E5%85%A5%E9%AB%98&amp;start_date=2025-11-01&amp;end_date=2025-11-30&amp;fiscal_year_id=9766670",31741608)</f>
        <v>31741608</v>
      </c>
      <c r="K48" s="30">
        <f>HYPERLINK("https://secure.freee.co.jp/reports/general_ledgers/show?name=%E4%BB%95%E5%85%A5%E9%AB%98&amp;start_date=2025-12-01&amp;end_date=2025-12-31&amp;fiscal_year_id=9766670",29190919)</f>
        <v>29190919</v>
      </c>
      <c r="L48" s="30">
        <f>HYPERLINK("https://secure.freee.co.jp/reports/general_ledgers/show?name=%E4%BB%95%E5%85%A5%E9%AB%98&amp;start_date=2026-01-01&amp;end_date=2026-01-31&amp;fiscal_year_id=9766670",24075355)</f>
        <v>24075355</v>
      </c>
      <c r="M48" s="37">
        <f>HYPERLINK("https://secure.freee.co.jp/reports/general_ledgers/show?name=%E4%BB%95%E5%85%A5%E9%AB%98&amp;start_date=2026-02-01&amp;end_date=2026-02-28&amp;fiscal_year_id=9766670",30367082)</f>
        <v>30367082</v>
      </c>
      <c r="N48" s="38">
        <f>SUM(B48:M48)</f>
        <v>391778495</v>
      </c>
      <c r="O48" s="33" t="s">
        <v>347</v>
      </c>
    </row>
    <row r="49" spans="1:15" x14ac:dyDescent="0.25">
      <c r="A49" s="10" t="s">
        <v>468</v>
      </c>
      <c r="B49" s="30">
        <f>HYPERLINK("https://secure.freee.co.jp/reports/general_ledgers/show?name=%E6%9C%9F%E6%9C%AB%E5%95%86%E5%93%81%E6%A3%9A%E5%8D%B8%E9%AB%98&amp;start_date=2025-03-01&amp;end_date=2025-03-31&amp;fiscal_year_id=9766670",36800653)</f>
        <v>36800653</v>
      </c>
      <c r="C49" s="31">
        <f>HYPERLINK("https://secure.freee.co.jp/reports/general_ledgers/show?name=%E6%9C%9F%E6%9C%AB%E5%95%86%E5%93%81%E6%A3%9A%E5%8D%B8%E9%AB%98&amp;start_date=2025-04-01&amp;end_date=2025-04-30&amp;fiscal_year_id=9766670",-1021381)</f>
        <v>-1021381</v>
      </c>
      <c r="D49" s="30">
        <f>HYPERLINK("https://secure.freee.co.jp/reports/general_ledgers/show?name=%E6%9C%9F%E6%9C%AB%E5%95%86%E5%93%81%E6%A3%9A%E5%8D%B8%E9%AB%98&amp;start_date=2025-05-01&amp;end_date=2025-05-31&amp;fiscal_year_id=9766670",-1531861)</f>
        <v>-1531861</v>
      </c>
      <c r="E49" s="30">
        <f>HYPERLINK("https://secure.freee.co.jp/reports/general_ledgers/show?name=%E6%9C%9F%E6%9C%AB%E5%95%86%E5%93%81%E6%A3%9A%E5%8D%B8%E9%AB%98&amp;start_date=2025-06-01&amp;end_date=2025-06-30&amp;fiscal_year_id=9766670",-2250512)</f>
        <v>-2250512</v>
      </c>
      <c r="F49" s="31">
        <f>HYPERLINK("https://secure.freee.co.jp/reports/general_ledgers/show?name=%E6%9C%9F%E6%9C%AB%E5%95%86%E5%93%81%E6%A3%9A%E5%8D%B8%E9%AB%98&amp;start_date=2025-07-01&amp;end_date=2025-07-31&amp;fiscal_year_id=9766670",-155062)</f>
        <v>-155062</v>
      </c>
      <c r="G49" s="31">
        <f>HYPERLINK("https://secure.freee.co.jp/reports/general_ledgers/show?name=%E6%9C%9F%E6%9C%AB%E5%95%86%E5%93%81%E6%A3%9A%E5%8D%B8%E9%AB%98&amp;start_date=2025-08-01&amp;end_date=2025-08-31&amp;fiscal_year_id=9766670",241666)</f>
        <v>241666</v>
      </c>
      <c r="H49" s="31">
        <f>HYPERLINK("https://secure.freee.co.jp/reports/general_ledgers/show?name=%E6%9C%9F%E6%9C%AB%E5%95%86%E5%93%81%E6%A3%9A%E5%8D%B8%E9%AB%98&amp;start_date=2025-09-01&amp;end_date=2025-09-30&amp;fiscal_year_id=9766670",651446)</f>
        <v>651446</v>
      </c>
      <c r="I49" s="31">
        <f>HYPERLINK("https://secure.freee.co.jp/reports/general_ledgers/show?name=%E6%9C%9F%E6%9C%AB%E5%95%86%E5%93%81%E6%A3%9A%E5%8D%B8%E9%AB%98&amp;start_date=2025-10-01&amp;end_date=2025-10-31&amp;fiscal_year_id=9766670",2538389)</f>
        <v>2538389</v>
      </c>
      <c r="J49" s="31">
        <f>HYPERLINK("https://secure.freee.co.jp/reports/general_ledgers/show?name=%E6%9C%9F%E6%9C%AB%E5%95%86%E5%93%81%E6%A3%9A%E5%8D%B8%E9%AB%98&amp;start_date=2025-11-01&amp;end_date=2025-11-30&amp;fiscal_year_id=9766670",4945604)</f>
        <v>4945604</v>
      </c>
      <c r="K49" s="31">
        <f>HYPERLINK("https://secure.freee.co.jp/reports/general_ledgers/show?name=%E6%9C%9F%E6%9C%AB%E5%95%86%E5%93%81%E6%A3%9A%E5%8D%B8%E9%AB%98&amp;start_date=2025-12-01&amp;end_date=2025-12-31&amp;fiscal_year_id=9766670",-3736776)</f>
        <v>-3736776</v>
      </c>
      <c r="L49" s="30">
        <f>HYPERLINK("https://secure.freee.co.jp/reports/general_ledgers/show?name=%E6%9C%9F%E6%9C%AB%E5%95%86%E5%93%81%E6%A3%9A%E5%8D%B8%E9%AB%98&amp;start_date=2026-01-01&amp;end_date=2026-01-31&amp;fiscal_year_id=9766670",-5099381)</f>
        <v>-5099381</v>
      </c>
      <c r="M49" s="37">
        <f>HYPERLINK("https://secure.freee.co.jp/reports/general_ledgers/show?name=%E6%9C%9F%E6%9C%AB%E5%95%86%E5%93%81%E6%A3%9A%E5%8D%B8%E9%AB%98&amp;start_date=2026-02-01&amp;end_date=2026-02-28&amp;fiscal_year_id=9766670",-3677990)</f>
        <v>-3677990</v>
      </c>
      <c r="N49" s="38">
        <f>SUM(B49:M49)</f>
        <v>27704795</v>
      </c>
      <c r="O49" s="33" t="s">
        <v>347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2" r:id="rId24"/>
    <hyperlink ref="O33" r:id="rId25"/>
    <hyperlink ref="O34" r:id="rId26"/>
    <hyperlink ref="O36" r:id="rId27"/>
    <hyperlink ref="O42" r:id="rId28"/>
    <hyperlink ref="O45" r:id="rId29"/>
    <hyperlink ref="O46" r:id="rId30"/>
    <hyperlink ref="O47" r:id="rId31"/>
    <hyperlink ref="O48" r:id="rId32"/>
    <hyperlink ref="O49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341</v>
      </c>
      <c r="B1" s="5" t="s">
        <v>469</v>
      </c>
      <c r="C1" s="5" t="s">
        <v>470</v>
      </c>
      <c r="D1" s="5" t="s">
        <v>471</v>
      </c>
    </row>
    <row r="2" spans="1:4" x14ac:dyDescent="0.25">
      <c r="A2" s="10" t="s">
        <v>390</v>
      </c>
      <c r="B2" s="10" t="s">
        <v>472</v>
      </c>
      <c r="C2" s="30">
        <v>33997645</v>
      </c>
      <c r="D2" s="10" t="s">
        <v>6</v>
      </c>
    </row>
    <row r="3" spans="1:4" x14ac:dyDescent="0.25">
      <c r="A3" s="10" t="s">
        <v>367</v>
      </c>
      <c r="B3" s="10" t="s">
        <v>473</v>
      </c>
      <c r="C3" s="30">
        <v>12026921</v>
      </c>
      <c r="D3" s="10" t="s">
        <v>6</v>
      </c>
    </row>
    <row r="4" spans="1:4" x14ac:dyDescent="0.25">
      <c r="A4" s="10" t="s">
        <v>367</v>
      </c>
      <c r="B4" s="10" t="s">
        <v>474</v>
      </c>
      <c r="C4" s="30">
        <v>6446390</v>
      </c>
      <c r="D4" s="10" t="s">
        <v>6</v>
      </c>
    </row>
    <row r="5" spans="1:4" x14ac:dyDescent="0.25">
      <c r="A5" s="10" t="s">
        <v>395</v>
      </c>
      <c r="B5" s="10" t="s">
        <v>475</v>
      </c>
      <c r="C5" s="30">
        <v>4008733</v>
      </c>
      <c r="D5" s="10" t="s">
        <v>6</v>
      </c>
    </row>
    <row r="6" spans="1:4" x14ac:dyDescent="0.25">
      <c r="A6" s="10" t="s">
        <v>367</v>
      </c>
      <c r="B6" s="10" t="s">
        <v>476</v>
      </c>
      <c r="C6" s="30">
        <v>2521723</v>
      </c>
      <c r="D6" s="10" t="s">
        <v>6</v>
      </c>
    </row>
    <row r="7" spans="1:4" x14ac:dyDescent="0.25">
      <c r="A7" s="10" t="s">
        <v>395</v>
      </c>
      <c r="B7" s="10" t="s">
        <v>477</v>
      </c>
      <c r="C7" s="30">
        <v>1730000</v>
      </c>
      <c r="D7" s="10" t="s">
        <v>6</v>
      </c>
    </row>
    <row r="8" spans="1:4" x14ac:dyDescent="0.25">
      <c r="A8" s="10" t="s">
        <v>395</v>
      </c>
      <c r="B8" s="10" t="s">
        <v>478</v>
      </c>
      <c r="C8" s="30">
        <v>1400000</v>
      </c>
      <c r="D8" s="10" t="s">
        <v>6</v>
      </c>
    </row>
    <row r="9" spans="1:4" x14ac:dyDescent="0.25">
      <c r="A9" s="10" t="s">
        <v>395</v>
      </c>
      <c r="B9" s="10" t="s">
        <v>479</v>
      </c>
      <c r="C9" s="30">
        <v>1083213</v>
      </c>
      <c r="D9" s="10" t="s">
        <v>6</v>
      </c>
    </row>
    <row r="10" spans="1:4" x14ac:dyDescent="0.25">
      <c r="A10" s="10" t="s">
        <v>395</v>
      </c>
      <c r="B10" s="10" t="s">
        <v>480</v>
      </c>
      <c r="C10" s="30">
        <v>532060</v>
      </c>
      <c r="D10" s="10" t="s">
        <v>6</v>
      </c>
    </row>
    <row r="11" spans="1:4" x14ac:dyDescent="0.25">
      <c r="A11" s="10" t="s">
        <v>395</v>
      </c>
      <c r="B11" s="10" t="s">
        <v>481</v>
      </c>
      <c r="C11" s="30">
        <v>30844</v>
      </c>
      <c r="D11" s="10" t="s">
        <v>6</v>
      </c>
    </row>
    <row r="12" spans="1:4" x14ac:dyDescent="0.25">
      <c r="A12" s="10" t="s">
        <v>395</v>
      </c>
      <c r="B12" s="10" t="s">
        <v>472</v>
      </c>
      <c r="C12" s="30">
        <v>28273</v>
      </c>
      <c r="D12" s="10" t="s">
        <v>6</v>
      </c>
    </row>
    <row r="13" spans="1:4" x14ac:dyDescent="0.25">
      <c r="A13" s="10" t="s">
        <v>395</v>
      </c>
      <c r="B13" s="10" t="s">
        <v>482</v>
      </c>
      <c r="C13" s="30">
        <v>5845</v>
      </c>
      <c r="D13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2026-04-11T04:09:02Z</dcterms:created>
  <dcterms:modified xsi:type="dcterms:W3CDTF">2026-04-11T04:09:02Z</dcterms:modified>
</cp:coreProperties>
</file>