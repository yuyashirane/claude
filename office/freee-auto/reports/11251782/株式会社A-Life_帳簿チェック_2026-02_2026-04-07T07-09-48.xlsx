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<sst xmlns="http://schemas.openxmlformats.org/spreadsheetml/2006/main" count="859" uniqueCount="366">
  <si>
    <t>株式会社A-Life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</si>
  <si>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</si>
  <si>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</si>
  <si>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</si>
  <si>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</si>
  <si>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</si>
  <si>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</si>
  <si>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</si>
  <si>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</si>
  <si>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</si>
  <si>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</si>
  <si>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</si>
  <si>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</si>
  <si>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</si>
  <si>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</si>
  <si>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</si>
  <si>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</si>
  <si>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</si>
  <si>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</si>
  <si>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</si>
  <si>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</si>
  <si>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</si>
  <si>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</si>
  <si>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</si>
  <si>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</si>
  <si>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</si>
  <si>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</si>
  <si>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</si>
  <si>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</si>
  <si>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</si>
  <si>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</si>
  <si>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</si>
  <si>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</si>
  <si>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</si>
  <si>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</si>
  <si>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</si>
  <si>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</si>
  <si>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</si>
  <si>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</si>
  <si>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</si>
  <si>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</si>
  <si>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</si>
  <si>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</si>
  <si>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</si>
  <si>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</si>
  <si>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</si>
  <si>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</si>
  <si>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</si>
  <si>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</si>
  <si>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</si>
  <si>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</si>
  <si>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</si>
  <si>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</si>
  <si>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</si>
  <si>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</si>
  <si>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</si>
  <si>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</si>
  <si>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</si>
  <si>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</si>
  <si>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</si>
  <si>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</si>
  <si>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</si>
  <si>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</si>
  <si>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</si>
  <si>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</si>
  <si>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</si>
  <si>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</si>
  <si>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</si>
  <si>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</si>
  <si>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</si>
  <si>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</si>
  <si>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</si>
  <si>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</si>
  <si>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</si>
  <si>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</si>
  <si>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</si>
  <si>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</si>
  <si>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</si>
  <si>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</si>
  <si>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</si>
  <si>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</si>
  <si>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</si>
  <si>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</si>
  <si>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</si>
  <si>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</si>
  <si>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</si>
  <si>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</si>
  <si>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</si>
  <si>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</si>
  <si>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</si>
  <si>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</si>
  <si>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</si>
  <si>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</si>
  <si>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</si>
  <si>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</si>
  <si>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</si>
  <si>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</si>
  <si>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</si>
  <si>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</si>
  <si>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</si>
  <si>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</si>
  <si>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</si>
  <si>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</si>
  <si>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</si>
  <si>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</si>
  <si>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</si>
  <si>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</si>
  <si>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</si>
  <si>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</si>
  <si>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</si>
  <si>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</si>
  <si>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</si>
  <si>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</si>
  <si>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</si>
  <si>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</si>
  <si>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</si>
  <si>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</si>
  <si>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</si>
  <si>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</si>
  <si>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</si>
  <si>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</si>
  <si>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</si>
  <si>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</si>
  <si>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</si>
  <si>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</si>
  <si>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</si>
  <si>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</si>
  <si>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</si>
  <si>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</si>
  <si>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</si>
  <si>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</si>
  <si>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</si>
  <si>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</si>
  <si>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</si>
  <si>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</si>
  <si>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</si>
  <si>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</si>
  <si>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</si>
  <si>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</si>
  <si>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</si>
  <si>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</si>
  <si>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</si>
  <si>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</si>
  <si>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</si>
  <si>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</si>
  <si>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</si>
  <si>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</si>
  <si>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</si>
  <si>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</si>
  <si>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</si>
  <si>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</si>
  <si>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</si>
  <si>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</si>
  <si>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</si>
  <si>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</si>
  <si>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</si>
  <si>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</si>
  <si>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</si>
  <si>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</si>
  <si>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</si>
  <si>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</si>
  <si>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</si>
  <si>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</si>
  <si>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</si>
  <si>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</si>
  <si>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</si>
  <si>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</si>
  <si>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</si>
  <si>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</si>
  <si>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</si>
  <si>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</si>
  <si>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</si>
  <si>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</si>
  <si>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</si>
  <si>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</si>
  <si>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</si>
  <si>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</si>
  <si>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</si>
  <si>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</si>
  <si>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</si>
  <si>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</si>
  <si>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借入金・リース</t>
  </si>
  <si>
    <t>「短期借入金」の残高がマイナス（-20,000円）です。借方・貸方が逆転しています。返済仕訳の方向を確認してください。</t>
  </si>
  <si>
    <t>-20,000円</t>
  </si>
  <si>
    <t>返済仕訳を確認し、借入金の相手勘定が正しいか確認してください</t>
  </si>
  <si>
    <t>残高異常</t>
  </si>
  <si>
    <t>「短期借入金」にマイナス残高 -20,000円があります。 取引先「未選択」: -20,000円 ※当月取引からは原因を特定できません。期首からの累積の可能性があります。</t>
  </si>
  <si>
    <t>記帳漏れまたは過大計上を確認してください</t>
  </si>
  <si>
    <t>「繰越利益剰余金」にマイナス残高 -410,784円があります。 取引先「未選択」: -410,784円 ※当月取引からは原因を特定できません。期首からの累積の可能性があります。</t>
  </si>
  <si>
    <t>-410,784円</t>
  </si>
  <si>
    <t>現金・預金</t>
  </si>
  <si>
    <t>「GMOあおぞらネット（法人）（API） 102 法人第二営業部 普通預金（有利息） ***1814」の残高が前月比656%増加しています（前月: 246,210円 → 当月: 1,861,515円）。</t>
  </si>
  <si>
    <t>1,861,515円</t>
  </si>
  <si>
    <t>大型入出金の内容を確認してください</t>
  </si>
  <si>
    <t>「みずほ（法人）（API） 五反田支店 普通 ***3287」の残高が前月比150%増加しています（前月: 74,561円 → 当月: 186,055円）。</t>
  </si>
  <si>
    <t>186,055円</t>
  </si>
  <si>
    <t>「短期借入金」に品目タグなしの残高（-20,000円）があります。どの借入先・リース契約に属するか不明です。</t>
  </si>
  <si>
    <t>未選択: -20,000円</t>
  </si>
  <si>
    <t>各借入先・リース契約ごとに品目タグを設定し、内訳を明確にしてください</t>
  </si>
  <si>
    <t>売上・売掛金</t>
  </si>
  <si>
    <t>売上高が前年同月比 58%増加しています（当月: 1,533,401円、前年同月推定: 973,587円）。</t>
  </si>
  <si>
    <t>当月: 1,533,401円</t>
  </si>
  <si>
    <t>顧客増減・単価変更・業務構成の変化等の背景を確認してください</t>
  </si>
  <si>
    <t>仕入・買掛金</t>
  </si>
  <si>
    <t>「外注費」が前月平均比 89%増加しています（当月: 195,780円、前月平均: 103,784円）。</t>
  </si>
  <si>
    <t>当月: 195,780円</t>
  </si>
  <si>
    <t>季節変動・大口発注以外の原因がなければ、計上漏れや二重計上を確認してください</t>
  </si>
  <si>
    <t>「未払金」の「ジェイリース㈱」残高が2ヶ月連続で同額（218,470円）です。支払が滞留している可能性があります。</t>
  </si>
  <si>
    <t>218,470円（前月比変動なし）</t>
  </si>
  <si>
    <t>支払期日を確認し、消込処理または支払を実施してください</t>
  </si>
  <si>
    <t>「未払金」の「伊藤流惟」残高が2ヶ月連続で同額（339,580円）です。支払が滞留している可能性があります。</t>
  </si>
  <si>
    <t>339,580円（前月比変動なし）</t>
  </si>
  <si>
    <t>「前払費用」の残高 152,600円が前月から変動ありません（滞留の可能性）。</t>
  </si>
  <si>
    <t>152,600円（前月同額）</t>
  </si>
  <si>
    <t>回収・支払状況を確認し、必要に応じて貸倒処理や振替を検討してください</t>
  </si>
  <si>
    <t>「創立費」の残高 200,000円が前月から変動ありません（滞留の可能性）。</t>
  </si>
  <si>
    <t>200,000円（前月同額）</t>
  </si>
  <si>
    <t xml:space="preserve">　　取引先「未選択」で滞留</t>
  </si>
  <si>
    <t>200,000円</t>
  </si>
  <si>
    <t>明細を開く</t>
  </si>
  <si>
    <t>「開業費」の残高 14,050円が前月から変動ありません（滞留の可能性）。</t>
  </si>
  <si>
    <t>14,050円（前月同額）</t>
  </si>
  <si>
    <t>14,050円</t>
  </si>
  <si>
    <t>期間配分</t>
  </si>
  <si>
    <t>「前払費用」の残高 152,600円が前月から変動していません。月割償却が行われていない可能性があります。</t>
  </si>
  <si>
    <t>月割で前払費用を取り崩す仕訳を確認してください</t>
  </si>
  <si>
    <t xml:space="preserve">　　[品目] 未選択</t>
  </si>
  <si>
    <t>152,600円</t>
  </si>
  <si>
    <t>「支払手数料」で以下の取引先への計上が当月ありません。計上漏れの可能性があります: 「あしたの会計事務所」（前月平均: 25,000円/月）</t>
  </si>
  <si>
    <t>当月 計上なし</t>
  </si>
  <si>
    <t>あしたの会計事務所: 約25,000円</t>
  </si>
  <si>
    <t>営業外・税金</t>
  </si>
  <si>
    <t>「雑収入」に29,129円が計上されています。内容を確認し、適切な科目で記録されているか確認してください。</t>
  </si>
  <si>
    <t>29,129円</t>
  </si>
  <si>
    <t>受取手数料・受取保険金等、適切な科目への振替を検討してください</t>
  </si>
  <si>
    <t>受取利息461円に対する源泉所得税（15.315%）の計上を確認してください。</t>
  </si>
  <si>
    <t>受取利息: 461円</t>
  </si>
  <si>
    <t>源泉税 約70円を「法人税・住民税及び事業税」または「仮払法人税等」で処理してください</t>
  </si>
  <si>
    <t>地代家賃</t>
  </si>
  <si>
    <t>地代家賃に取引先タグなしの計上（21,340円）があります。どの物件・契約先の家賃か不明です。</t>
  </si>
  <si>
    <t>未選択: 21,340円</t>
  </si>
  <si>
    <t>各家賃支払に取引先タグ（家主・管理会社）を設定し、物件別に管理してください</t>
  </si>
  <si>
    <t>売上高に取引先タグなしの計上（819,000円）があります。どの顧客からの売上か不明です。</t>
  </si>
  <si>
    <t>未選択: 819,000円</t>
  </si>
  <si>
    <t>全ての売上取引に取引先タグを設定し、顧客別売上管理ができるようにしてください</t>
  </si>
  <si>
    <t>「会議費」が前月平均比 203%変動しています（当月: 75,089円、前月平均: 24,811円）。</t>
  </si>
  <si>
    <t>当月: 75,089円</t>
  </si>
  <si>
    <t>計上内容と金額の妥当性を確認してください</t>
  </si>
  <si>
    <t>「水道光熱費」が前月平均比 186%変動しています（当月: 34,285円、前月平均: 11,989円）。</t>
  </si>
  <si>
    <t>当月: 34,285円</t>
  </si>
  <si>
    <t>「広告宣伝費」が前月平均比 102%変動しています（当月: 233,971円、前月平均: 115,758円）。</t>
  </si>
  <si>
    <t>当月: 233,971円</t>
  </si>
  <si>
    <t>「交際費」が前月平均比 70%変動しています（当月: 11,320円、前月平均: 38,113円）。</t>
  </si>
  <si>
    <t>当月: 11,320円</t>
  </si>
  <si>
    <t>「支払手数料」が前月平均比 55%変動しています（当月: 22,906円、前月平均: 51,177円）。</t>
  </si>
  <si>
    <t>当月: 22,906円</t>
  </si>
  <si>
    <t>「地代家賃」の取引先「ジェイリース㈱」が前月平均比 100% 変動しています（前月平均: 152,929円 → 当月: 329円）。期間配分の観点から確認を推奨します。</t>
  </si>
  <si>
    <t>当月: 329円（前月平均: 152,929円）</t>
  </si>
  <si>
    <t>一時的な金額増減か、契約変更等によるものか確認してください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</si>
  <si>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</si>
  <si>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</si>
  <si>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</si>
  <si>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</si>
  <si>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</si>
  <si>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</si>
  <si>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</si>
  <si>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</si>
  <si>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</si>
  <si>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</si>
  <si>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</si>
  <si>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</si>
  <si>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</si>
  <si>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</si>
  <si>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GMOあおぞらネット（法人）（API） 102 法人第二営業部 普通預金（有利息） ***1814</t>
  </si>
  <si>
    <t>656.1%</t>
  </si>
  <si>
    <t>△</t>
  </si>
  <si>
    <t>元帳を開く</t>
  </si>
  <si>
    <t>みずほ（法人）（API） 五反田支店 普通 ***3287</t>
  </si>
  <si>
    <t>149.5%</t>
  </si>
  <si>
    <t>売掛金</t>
  </si>
  <si>
    <t>前払費用</t>
  </si>
  <si>
    <t>0.0%</t>
  </si>
  <si>
    <t>工具器具備品</t>
  </si>
  <si>
    <t>-14.3%</t>
  </si>
  <si>
    <t>敷金</t>
  </si>
  <si>
    <t>長期前払費用</t>
  </si>
  <si>
    <t>-25.0%</t>
  </si>
  <si>
    <t>預託金</t>
  </si>
  <si>
    <t>創立費</t>
  </si>
  <si>
    <t>開業費</t>
  </si>
  <si>
    <t>短期借入金</t>
  </si>
  <si>
    <t>-100.0%</t>
  </si>
  <si>
    <t>立替経費（伊藤）</t>
  </si>
  <si>
    <t>-38.9%</t>
  </si>
  <si>
    <t>未払金</t>
  </si>
  <si>
    <t>-14.8%</t>
  </si>
  <si>
    <t>freeeカード Unlimited</t>
  </si>
  <si>
    <t>5.7%</t>
  </si>
  <si>
    <t>未払法人税等</t>
  </si>
  <si>
    <t>未払消費税等</t>
  </si>
  <si>
    <t>預り金</t>
  </si>
  <si>
    <t>50.0%</t>
  </si>
  <si>
    <t>長期借入金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</si>
  <si>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</si>
  <si>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</si>
  <si>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</si>
  <si>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</si>
  <si>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</si>
  <si>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</si>
  <si>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</si>
  <si>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</si>
  <si>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</si>
  <si>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</si>
  <si>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</si>
  <si>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</si>
  <si>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</si>
  <si>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</si>
  <si>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</si>
  <si>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</si>
  <si>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</si>
  <si>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</si>
  <si>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</si>
  <si>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</si>
  <si>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法定福利費</t>
  </si>
  <si>
    <t xml:space="preserve">  研修費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</si>
  <si>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</si>
  <si>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</si>
  <si>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</si>
  <si>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</si>
  <si>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</si>
  <si>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</si>
  <si>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</si>
  <si>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</si>
  <si>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水道光熱費</t>
  </si>
  <si>
    <t xml:space="preserve">  新聞図書費</t>
  </si>
  <si>
    <t xml:space="preserve">  支払手数料</t>
  </si>
  <si>
    <t xml:space="preserve">  施設利用料</t>
  </si>
  <si>
    <t xml:space="preserve">  地代家賃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</si>
  <si>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</si>
  <si>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</si>
  <si>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</si>
  <si>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</si>
  <si>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</si>
  <si>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</si>
  <si>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 xml:space="preserve">  為替差益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</si>
  <si>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</si>
  <si>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</si>
  <si>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</si>
  <si>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</si>
  <si>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</si>
  <si>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</si>
  <si>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</si>
  <si>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</si>
  <si>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</si>
  <si>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</si>
  <si>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</si>
  <si>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</si>
  <si>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伊藤流惟</t>
  </si>
  <si>
    <t>滞留</t>
  </si>
  <si>
    <t>シノノメ株式会社</t>
  </si>
  <si>
    <t>ジェイリース㈱</t>
  </si>
  <si>
    <t>株式会社Dowell</t>
  </si>
  <si>
    <t>渋谷年金事務所</t>
  </si>
  <si>
    <t>BodyStyleWorks</t>
  </si>
  <si>
    <t>株式会社イズモ企画</t>
  </si>
  <si>
    <t>株式会社NSP-Tech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</si>
</sst>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3" Type="http://schemas.openxmlformats.org/officeDocument/2006/relationships/hyperlink" Target="https://secure.freee.co.jp/reports/general_ledgers/show?name=%E7%9F%AD%E6%9C%9F%E5%80%9F%E5%85%A5%E9%87%91&amp;start_date=2025-03-01&amp;end_date=2026-02-28&amp;fiscal_year_id=9199054" TargetMode="External"/><Relationship Id="rId4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5" Type="http://schemas.openxmlformats.org/officeDocument/2006/relationships/hyperlink" Target="https://secure.freee.co.jp/reports/general_ledgers/show?name=GMO%E3%81%82%E3%81%8A%E3%81%9E%E3%82%89%E3%83%8D%E3%83%83%E3%83%88%EF%BC%88%E6%B3%95%E4%BA%BA%EF%BC%89%EF%BC%88API%EF%BC%89+102+%E6%B3%95%E4%BA%BA%E7%AC%AC%E4%BA%8C%E5%96%B6%E6%A5%AD%E9%83%A8+%E6%99%AE%E9%80%9A%E9%A0%90%E9%87%91%EF%BC%88%E6%9C%89%E5%88%A9%E6%81%AF%EF%BC%89+***1814&amp;start_date=2026-02-01&amp;end_date=2026-02-28" TargetMode="External"/><Relationship Id="rId6" Type="http://schemas.openxmlformats.org/officeDocument/2006/relationships/hyperlink" Target="https://secure.freee.co.jp/reports/general_ledgers/show?name=%E3%81%BF%E3%81%9A%E3%81%BB%EF%BC%88%E6%B3%95%E4%BA%BA%EF%BC%89%EF%BC%88API%EF%BC%89+%E4%BA%94%E5%8F%8D%E7%94%B0%E6%94%AF%E5%BA%97+%E6%99%AE%E9%80%9A+***3287&amp;start_date=2026-02-01&amp;end_date=2026-02-28" TargetMode="External"/><Relationship Id="rId7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1" Type="http://schemas.openxmlformats.org/officeDocument/2006/relationships/hyperlink" Target="https://secure.freee.co.jp/reports/journals?start_date=2024-03-01&amp;end_date=2026-02-28&amp;name=%E5%89%8D%E6%89%95%E8%B2%BB%E7%94%A8" TargetMode="External"/><Relationship Id="rId12" Type="http://schemas.openxmlformats.org/officeDocument/2006/relationships/hyperlink" Target="https://secure.freee.co.jp/reports/journals?start_date=2023-03-01&amp;end_date=2026-02-28&amp;name=%E5%89%B5%E7%AB%8B%E8%B2%BB" TargetMode="External"/><Relationship Id="rId13" Type="http://schemas.openxmlformats.org/officeDocument/2006/relationships/hyperlink" Target="https://secure.freee.co.jp/reports/journals?start_date=2023-03-01&amp;end_date=2026-02-28&amp;name=%E5%89%B5%E7%AB%8B%E8%B2%BB" TargetMode="External"/><Relationship Id="rId14" Type="http://schemas.openxmlformats.org/officeDocument/2006/relationships/hyperlink" Target="https://secure.freee.co.jp/reports/journals?start_date=2023-03-01&amp;end_date=2026-02-28&amp;name=%E9%96%8B%E6%A5%AD%E8%B2%BB" TargetMode="External"/><Relationship Id="rId15" Type="http://schemas.openxmlformats.org/officeDocument/2006/relationships/hyperlink" Target="https://secure.freee.co.jp/reports/journals?start_date=2023-03-01&amp;end_date=2026-02-28&amp;name=%E9%96%8B%E6%A5%AD%E8%B2%BB" TargetMode="External"/><Relationship Id="rId16" Type="http://schemas.openxmlformats.org/officeDocument/2006/relationships/hyperlink" Target="https://secure.freee.co.jp/reports/journals?start_date=2024-03-01&amp;end_date=2026-02-28&amp;name=%E5%89%8D%E6%89%95%E8%B2%BB%E7%94%A8" TargetMode="External"/><Relationship Id="rId17" Type="http://schemas.openxmlformats.org/officeDocument/2006/relationships/hyperlink" Target="https://secure.freee.co.jp/reports/journals?start_date=2024-03-01&amp;end_date=2026-02-28&amp;name=%E5%89%8D%E6%89%95%E8%B2%BB%E7%94%A8" TargetMode="External"/><Relationship Id="rId18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9" Type="http://schemas.openxmlformats.org/officeDocument/2006/relationships/hyperlink" Target="https://secure.freee.co.jp/reports/general_ledgers/show?name=%E9%9B%91%E5%8F%8E%E5%85%A5&amp;start_date=2026-02-01&amp;end_date=2026-02-28" TargetMode="External"/><Relationship Id="rId20" Type="http://schemas.openxmlformats.org/officeDocument/2006/relationships/hyperlink" Target="https://secure.freee.co.jp/reports/general_ledgers/show?name=%E4%BC%9A%E8%AD%B0%E8%B2%BB&amp;start_date=2026-02-01&amp;end_date=2026-02-28" TargetMode="External"/><Relationship Id="rId21" Type="http://schemas.openxmlformats.org/officeDocument/2006/relationships/hyperlink" Target="https://secure.freee.co.jp/reports/general_ledgers/show?name=%E6%B0%B4%E9%81%93%E5%85%89%E7%86%B1%E8%B2%BB&amp;start_date=2026-02-01&amp;end_date=2026-02-28" TargetMode="External"/><Relationship Id="rId22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23" Type="http://schemas.openxmlformats.org/officeDocument/2006/relationships/hyperlink" Target="https://secure.freee.co.jp/reports/general_ledgers/show?name=%E4%BA%A4%E9%9A%9B%E8%B2%BB&amp;start_date=2026-02-01&amp;end_date=2026-02-28" TargetMode="External"/><Relationship Id="rId2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25" Type="http://schemas.openxmlformats.org/officeDocument/2006/relationships/hyperlink" Target="https://secure.freee.co.jp/reports/journals?start_date=2025-03-01&amp;end_date=2026-02-28&amp;name=%E5%9C%B0%E4%BB%A3%E5%AE%B6%E8%B3%8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7%9F%AD%E6%9C%9F%E5%80%9F%E5%85%A5%E9%87%91&amp;start_date=2025-03-01&amp;end_date=2026-02-28&amp;fiscal_year_id=9199054" TargetMode="External"/><Relationship Id="rId3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4" Type="http://schemas.openxmlformats.org/officeDocument/2006/relationships/hyperlink" Target="https://secure.freee.co.jp/reports/general_ledgers/show?name=GMO%E3%81%82%E3%81%8A%E3%81%9E%E3%82%89%E3%83%8D%E3%83%83%E3%83%88%EF%BC%88%E6%B3%95%E4%BA%BA%EF%BC%89%EF%BC%88API%EF%BC%89+102+%E6%B3%95%E4%BA%BA%E7%AC%AC%E4%BA%8C%E5%96%B6%E6%A5%AD%E9%83%A8+%E6%99%AE%E9%80%9A%E9%A0%90%E9%87%91%EF%BC%88%E6%9C%89%E5%88%A9%E6%81%AF%EF%BC%89+***1814&amp;start_date=2026-02-01&amp;end_date=2026-02-28" TargetMode="External"/><Relationship Id="rId5" Type="http://schemas.openxmlformats.org/officeDocument/2006/relationships/hyperlink" Target="https://secure.freee.co.jp/reports/general_ledgers/show?name=%E3%81%BF%E3%81%9A%E3%81%BB%EF%BC%88%E6%B3%95%E4%BA%BA%EF%BC%89%EF%BC%88API%EF%BC%89+%E4%BA%94%E5%8F%8D%E7%94%B0%E6%94%AF%E5%BA%97+%E6%99%AE%E9%80%9A+***3287&amp;start_date=2026-02-01&amp;end_date=2026-02-28" TargetMode="External"/><Relationship Id="rId6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7" Type="http://schemas.openxmlformats.org/officeDocument/2006/relationships/hyperlink" Target="https://secure.freee.co.jp/reports/journals?start_date=2024-03-01&amp;end_date=2026-02-28&amp;name=%E5%89%8D%E6%89%95%E8%B2%BB%E7%94%A8" TargetMode="External"/><Relationship Id="rId8" Type="http://schemas.openxmlformats.org/officeDocument/2006/relationships/hyperlink" Target="https://secure.freee.co.jp/reports/journals?start_date=2023-03-01&amp;end_date=2026-02-28&amp;name=%E5%89%B5%E7%AB%8B%E8%B2%BB" TargetMode="External"/><Relationship Id="rId9" Type="http://schemas.openxmlformats.org/officeDocument/2006/relationships/hyperlink" Target="https://secure.freee.co.jp/reports/journals?start_date=2023-03-01&amp;end_date=2026-02-28&amp;name=%E5%89%B5%E7%AB%8B%E8%B2%BB" TargetMode="External"/><Relationship Id="rId10" Type="http://schemas.openxmlformats.org/officeDocument/2006/relationships/hyperlink" Target="https://secure.freee.co.jp/reports/journals?start_date=2023-03-01&amp;end_date=2026-02-28&amp;name=%E9%96%8B%E6%A5%AD%E8%B2%BB" TargetMode="External"/><Relationship Id="rId11" Type="http://schemas.openxmlformats.org/officeDocument/2006/relationships/hyperlink" Target="https://secure.freee.co.jp/reports/journals?start_date=2023-03-01&amp;end_date=2026-02-28&amp;name=%E9%96%8B%E6%A5%AD%E8%B2%BB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" Type="http://schemas.openxmlformats.org/officeDocument/2006/relationships/hyperlink" Target="https://secure.freee.co.jp/reports/general_ledgers/show?name=%E6%9C%AA%E6%89%95%E9%87%91&amp;start_date=2026-02-01&amp;end_date=2026-02-28" TargetMode="External"/><Relationship Id="rId4" Type="http://schemas.openxmlformats.org/officeDocument/2006/relationships/hyperlink" Target="https://secure.freee.co.jp/reports/journals?start_date=2024-03-01&amp;end_date=2026-02-28&amp;name=%E5%89%8D%E6%89%95%E8%B2%BB%E7%94%A8" TargetMode="External"/><Relationship Id="rId5" Type="http://schemas.openxmlformats.org/officeDocument/2006/relationships/hyperlink" Target="https://secure.freee.co.jp/reports/journals?start_date=2024-03-01&amp;end_date=2026-02-28&amp;name=%E5%89%8D%E6%89%95%E8%B2%BB%E7%94%A8" TargetMode="External"/><Relationship Id="rId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" Type="http://schemas.openxmlformats.org/officeDocument/2006/relationships/hyperlink" Target="https://secure.freee.co.jp/reports/general_ledgers/show?name=%E4%BC%9A%E8%AD%B0%E8%B2%BB&amp;start_date=2026-02-01&amp;end_date=2026-02-28" TargetMode="External"/><Relationship Id="rId8" Type="http://schemas.openxmlformats.org/officeDocument/2006/relationships/hyperlink" Target="https://secure.freee.co.jp/reports/general_ledgers/show?name=%E6%B0%B4%E9%81%93%E5%85%89%E7%86%B1%E8%B2%BB&amp;start_date=2026-02-01&amp;end_date=2026-02-28" TargetMode="External"/><Relationship Id="rId9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10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2" Type="http://schemas.openxmlformats.org/officeDocument/2006/relationships/hyperlink" Target="https://secure.freee.co.jp/reports/journals?start_date=2025-03-01&amp;end_date=2026-02-28&amp;name=%E5%9C%B0%E4%BB%A3%E5%AE%B6%E8%B3%83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GMO%E3%81%82%E3%81%8A%E3%81%9E%E3%82%89%E3%83%8D%E3%83%83%E3%83%88%EF%BC%88%E6%B3%95%E4%BA%BA%EF%BC%89%EF%BC%88API%EF%BC%89+102+%E6%B3%95%E4%BA%BA%E7%AC%AC%E4%BA%8C%E5%96%B6%E6%A5%AD%E9%83%A8+%E6%99%AE%E9%80%9A%E9%A0%90%E9%87%91%EF%BC%88%E6%9C%89%E5%88%A9%E6%81%AF%EF%BC%89+***1814&amp;start_date=2025-03-01&amp;end_date=2026-02-28&amp;fiscal_year_id=9199054" TargetMode="External"/><Relationship Id="rId2" Type="http://schemas.openxmlformats.org/officeDocument/2006/relationships/hyperlink" Target="https://secure.freee.co.jp/reports/general_ledgers/show?name=%E3%81%BF%E3%81%9A%E3%81%BB%EF%BC%88%E6%B3%95%E4%BA%BA%EF%BC%89%EF%BC%88API%EF%BC%89+%E4%BA%94%E5%8F%8D%E7%94%B0%E6%94%AF%E5%BA%97+%E6%99%AE%E9%80%9A+***3287&amp;start_date=2025-03-01&amp;end_date=2026-02-28&amp;fiscal_year_id=9199054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199054" TargetMode="External"/><Relationship Id="rId4" Type="http://schemas.openxmlformats.org/officeDocument/2006/relationships/hyperlink" Target="https://secure.freee.co.jp/reports/journals?start_date=2024-03-01&amp;end_date=2026-02-28&amp;name=%E5%89%8D%E6%89%95%E8%B2%BB%E7%94%A8" TargetMode="External"/><Relationship Id="rId5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199054" TargetMode="External"/><Relationship Id="rId6" Type="http://schemas.openxmlformats.org/officeDocument/2006/relationships/hyperlink" Target="https://secure.freee.co.jp/reports/journals?start_date=2023-03-01&amp;end_date=2026-02-28&amp;name=%E6%95%B7%E9%87%91" TargetMode="External"/><Relationship Id="rId7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199054" TargetMode="External"/><Relationship Id="rId8" Type="http://schemas.openxmlformats.org/officeDocument/2006/relationships/hyperlink" Target="https://secure.freee.co.jp/reports/journals?start_date=2023-03-01&amp;end_date=2026-02-28&amp;name=%E9%A0%90%E8%A8%97%E9%87%91" TargetMode="External"/><Relationship Id="rId9" Type="http://schemas.openxmlformats.org/officeDocument/2006/relationships/hyperlink" Target="https://secure.freee.co.jp/reports/journals?start_date=2023-03-01&amp;end_date=2026-02-28&amp;name=%E5%89%B5%E7%AB%8B%E8%B2%BB" TargetMode="External"/><Relationship Id="rId10" Type="http://schemas.openxmlformats.org/officeDocument/2006/relationships/hyperlink" Target="https://secure.freee.co.jp/reports/journals?start_date=2023-03-01&amp;end_date=2026-02-28&amp;name=%E9%96%8B%E6%A5%AD%E8%B2%BB" TargetMode="External"/><Relationship Id="rId11" Type="http://schemas.openxmlformats.org/officeDocument/2006/relationships/hyperlink" Target="https://secure.freee.co.jp/reports/general_ledgers/show?name=%E7%9F%AD%E6%9C%9F%E5%80%9F%E5%85%A5%E9%87%91&amp;start_date=2025-03-01&amp;end_date=2026-02-28&amp;fiscal_year_id=9199054" TargetMode="External"/><Relationship Id="rId12" Type="http://schemas.openxmlformats.org/officeDocument/2006/relationships/hyperlink" Target="https://secure.freee.co.jp/reports/general_ledgers/show?name=%E7%AB%8B%E6%9B%BF%E7%B5%8C%E8%B2%BB%EF%BC%88%E4%BC%8A%E8%97%A4%EF%BC%89&amp;start_date=2025-03-01&amp;end_date=2026-02-28&amp;fiscal_year_id=9199054" TargetMode="External"/><Relationship Id="rId13" Type="http://schemas.openxmlformats.org/officeDocument/2006/relationships/hyperlink" Target="https://secure.freee.co.jp/reports/general_ledgers/show?name=%E6%9C%AA%E6%89%95%E9%87%91&amp;start_date=2025-03-01&amp;end_date=2026-02-28&amp;fiscal_year_id=9199054" TargetMode="External"/><Relationship Id="rId14" Type="http://schemas.openxmlformats.org/officeDocument/2006/relationships/hyperlink" Target="https://secure.freee.co.jp/reports/general_ledgers/show?name=freee%E3%82%AB%E3%83%BC%E3%83%89+Unlimited&amp;start_date=2025-03-01&amp;end_date=2026-02-28&amp;fiscal_year_id=9199054" TargetMode="External"/><Relationship Id="rId15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6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17" Type="http://schemas.openxmlformats.org/officeDocument/2006/relationships/hyperlink" Target="https://secure.freee.co.jp/reports/general_ledgers/show?name=%E9%A0%90%E3%82%8A%E9%87%91&amp;start_date=2025-03-01&amp;end_date=2026-02-28&amp;fiscal_year_id=9199054" TargetMode="External"/><Relationship Id="rId18" Type="http://schemas.openxmlformats.org/officeDocument/2006/relationships/hyperlink" Target="https://secure.freee.co.jp/reports/general_ledgers/show?name=%E9%95%B7%E6%9C%9F%E5%80%9F%E5%85%A5%E9%87%91&amp;start_date=2025-03-01&amp;end_date=2026-02-28&amp;fiscal_year_id=9199054" TargetMode="External"/><Relationship Id="rId19" Type="http://schemas.openxmlformats.org/officeDocument/2006/relationships/hyperlink" Target="https://secure.freee.co.jp/reports/journals?start_date=2023-03-01&amp;end_date=2026-02-28&amp;name=%E8%B3%87%E6%9C%AC%E9%87%91" TargetMode="External"/><Relationship Id="rId20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199054" TargetMode="External"/><Relationship Id="rId2" Type="http://schemas.openxmlformats.org/officeDocument/2006/relationships/hyperlink" Target="https://secure.freee.co.jp/reports/general_ledgers/show?name=%E6%B3%95%E5%AE%9A%E7%A6%8F%E5%88%A9%E8%B2%BB&amp;start_date=2025-03-01&amp;end_date=2026-02-28&amp;fiscal_year_id=9199054" TargetMode="External"/><Relationship Id="rId3" Type="http://schemas.openxmlformats.org/officeDocument/2006/relationships/hyperlink" Target="https://secure.freee.co.jp/reports/general_ledgers/show?name=%E7%A0%94%E4%BF%AE%E8%B2%BB&amp;start_date=2025-03-01&amp;end_date=2026-02-28&amp;fiscal_year_id=9199054" TargetMode="External"/><Relationship Id="rId4" Type="http://schemas.openxmlformats.org/officeDocument/2006/relationships/hyperlink" Target="https://secure.freee.co.jp/reports/general_ledgers/show?name=%E5%A4%96%E6%B3%A8%E8%B2%BB&amp;start_date=2025-03-01&amp;end_date=2026-02-28&amp;fiscal_year_id=9199054" TargetMode="External"/><Relationship Id="rId5" Type="http://schemas.openxmlformats.org/officeDocument/2006/relationships/hyperlink" Target="https://secure.freee.co.jp/reports/general_ledgers/show?name=%E5%BA%83%E5%91%8A%E5%AE%A3%E4%BC%9D%E8%B2%BB&amp;start_date=2025-03-01&amp;end_date=2026-02-28&amp;fiscal_year_id=9199054" TargetMode="External"/><Relationship Id="rId6" Type="http://schemas.openxmlformats.org/officeDocument/2006/relationships/hyperlink" Target="https://secure.freee.co.jp/reports/general_ledgers/show?name=%E4%BA%A4%E9%9A%9B%E8%B2%BB&amp;start_date=2025-03-01&amp;end_date=2026-02-28&amp;fiscal_year_id=9199054" TargetMode="External"/><Relationship Id="rId7" Type="http://schemas.openxmlformats.org/officeDocument/2006/relationships/hyperlink" Target="https://secure.freee.co.jp/reports/general_ledgers/show?name=%E4%BC%9A%E8%AD%B0%E8%B2%BB&amp;start_date=2025-03-01&amp;end_date=2026-02-28&amp;fiscal_year_id=9199054" TargetMode="External"/><Relationship Id="rId8" Type="http://schemas.openxmlformats.org/officeDocument/2006/relationships/hyperlink" Target="https://secure.freee.co.jp/reports/general_ledgers/show?name=%E6%97%85%E8%B2%BB%E4%BA%A4%E9%80%9A%E8%B2%BB&amp;start_date=2025-03-01&amp;end_date=2026-02-28&amp;fiscal_year_id=9199054" TargetMode="External"/><Relationship Id="rId9" Type="http://schemas.openxmlformats.org/officeDocument/2006/relationships/hyperlink" Target="https://secure.freee.co.jp/reports/general_ledgers/show?name=%E9%80%9A%E4%BF%A1%E8%B2%BB&amp;start_date=2025-03-01&amp;end_date=2026-02-28&amp;fiscal_year_id=9199054" TargetMode="External"/><Relationship Id="rId10" Type="http://schemas.openxmlformats.org/officeDocument/2006/relationships/hyperlink" Target="https://secure.freee.co.jp/reports/general_ledgers/show?name=%E6%B6%88%E8%80%97%E5%93%81%E8%B2%BB&amp;start_date=2025-03-01&amp;end_date=2026-02-28&amp;fiscal_year_id=9199054" TargetMode="External"/><Relationship Id="rId11" Type="http://schemas.openxmlformats.org/officeDocument/2006/relationships/hyperlink" Target="https://secure.freee.co.jp/reports/general_ledgers/show?name=%E4%BF%AE%E7%B9%95%E8%B2%BB&amp;start_date=2025-03-01&amp;end_date=2026-02-28&amp;fiscal_year_id=9199054" TargetMode="External"/><Relationship Id="rId12" Type="http://schemas.openxmlformats.org/officeDocument/2006/relationships/hyperlink" Target="https://secure.freee.co.jp/reports/general_ledgers/show?name=%E6%B0%B4%E9%81%93%E5%85%89%E7%86%B1%E8%B2%BB&amp;start_date=2025-03-01&amp;end_date=2026-02-28&amp;fiscal_year_id=9199054" TargetMode="External"/><Relationship Id="rId13" Type="http://schemas.openxmlformats.org/officeDocument/2006/relationships/hyperlink" Target="https://secure.freee.co.jp/reports/general_ledgers/show?name=%E6%96%B0%E8%81%9E%E5%9B%B3%E6%9B%B8%E8%B2%BB&amp;start_date=2025-03-01&amp;end_date=2026-02-28&amp;fiscal_year_id=9199054" TargetMode="External"/><Relationship Id="rId14" Type="http://schemas.openxmlformats.org/officeDocument/2006/relationships/hyperlink" Target="https://secure.freee.co.jp/reports/general_ledgers/show?name=%E6%94%AF%E6%89%95%E6%89%8B%E6%95%B0%E6%96%99&amp;start_date=2025-03-01&amp;end_date=2026-02-28&amp;fiscal_year_id=9199054" TargetMode="External"/><Relationship Id="rId15" Type="http://schemas.openxmlformats.org/officeDocument/2006/relationships/hyperlink" Target="https://secure.freee.co.jp/reports/general_ledgers/show?name=%E6%96%BD%E8%A8%AD%E5%88%A9%E7%94%A8%E6%96%99&amp;start_date=2025-03-01&amp;end_date=2026-02-28&amp;fiscal_year_id=9199054" TargetMode="External"/><Relationship Id="rId16" Type="http://schemas.openxmlformats.org/officeDocument/2006/relationships/hyperlink" Target="https://secure.freee.co.jp/reports/general_ledgers/show?name=%E5%9C%B0%E4%BB%A3%E5%AE%B6%E8%B3%83&amp;start_date=2025-03-01&amp;end_date=2026-02-28&amp;fiscal_year_id=9199054" TargetMode="External"/><Relationship Id="rId17" Type="http://schemas.openxmlformats.org/officeDocument/2006/relationships/hyperlink" Target="https://secure.freee.co.jp/reports/general_ledgers/show?name=%E7%A7%9F%E7%A8%8E%E5%85%AC%E8%AA%B2&amp;start_date=2025-03-01&amp;end_date=2026-02-28&amp;fiscal_year_id=9199054" TargetMode="External"/><Relationship Id="rId18" Type="http://schemas.openxmlformats.org/officeDocument/2006/relationships/hyperlink" Target="https://secure.freee.co.jp/reports/general_ledgers/show?name=%E6%B8%9B%E4%BE%A1%E5%84%9F%E5%8D%B4%E8%B2%BB&amp;start_date=2025-03-01&amp;end_date=2026-02-28&amp;fiscal_year_id=9199054" TargetMode="External"/><Relationship Id="rId19" Type="http://schemas.openxmlformats.org/officeDocument/2006/relationships/hyperlink" Target="https://secure.freee.co.jp/reports/general_ledgers/show?name=%E5%8F%97%E5%8F%96%E5%88%A9%E6%81%AF&amp;start_date=2025-03-01&amp;end_date=2026-02-28&amp;fiscal_year_id=9199054" TargetMode="External"/><Relationship Id="rId20" Type="http://schemas.openxmlformats.org/officeDocument/2006/relationships/hyperlink" Target="https://secure.freee.co.jp/reports/general_ledgers/show?name=%E9%9B%91%E5%8F%8E%E5%85%A5&amp;start_date=2025-03-01&amp;end_date=2026-02-28&amp;fiscal_year_id=9199054" TargetMode="External"/><Relationship Id="rId21" Type="http://schemas.openxmlformats.org/officeDocument/2006/relationships/hyperlink" Target="https://secure.freee.co.jp/reports/general_ledgers/show?name=%E7%82%BA%E6%9B%BF%E5%B7%AE%E7%9B%8A&amp;start_date=2025-03-01&amp;end_date=2026-02-28&amp;fiscal_year_id=9199054" TargetMode="External"/><Relationship Id="rId22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199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4</v>
      </c>
      <c r="C9" s="8">
        <v>12</v>
      </c>
      <c r="D9" s="9">
        <v>10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3</v>
      </c>
      <c r="C17" s="11">
        <v>6</v>
      </c>
      <c r="D17" s="11" t="s">
        <v>18</v>
      </c>
      <c r="E17" s="11">
        <v>9</v>
      </c>
    </row>
    <row r="18" spans="1:5" x14ac:dyDescent="0.25">
      <c r="A18" s="10" t="s">
        <v>22</v>
      </c>
      <c r="B18" s="11" t="s">
        <v>18</v>
      </c>
      <c r="C18" s="11">
        <v>6</v>
      </c>
      <c r="D18" s="11">
        <v>8</v>
      </c>
      <c r="E18" s="11">
        <v>14</v>
      </c>
    </row>
    <row r="19" spans="1:5" x14ac:dyDescent="0.25">
      <c r="A19" s="10" t="s">
        <v>23</v>
      </c>
      <c r="B19" s="11">
        <v>1</v>
      </c>
      <c r="C19" s="11" t="s">
        <v>18</v>
      </c>
      <c r="D19" s="11">
        <v>2</v>
      </c>
      <c r="E19" s="11">
        <v>3</v>
      </c>
    </row>
    <row r="20" spans="1:5" x14ac:dyDescent="0.25">
      <c r="A20" s="12" t="s">
        <v>16</v>
      </c>
      <c r="B20" s="13">
        <v>4</v>
      </c>
      <c r="C20" s="13">
        <v>12</v>
      </c>
      <c r="D20" s="13">
        <v>10</v>
      </c>
      <c r="E20" s="13">
        <v>26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2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4" t="s">
        <v>58</v>
      </c>
      <c r="B39" s="14" t="s">
        <v>59</v>
      </c>
      <c r="C39" s="15" t="s">
        <v>30</v>
      </c>
      <c r="D39" s="15">
        <v>1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33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4" t="s">
        <v>82</v>
      </c>
      <c r="B51" s="14" t="s">
        <v>83</v>
      </c>
      <c r="C51" s="15" t="s">
        <v>30</v>
      </c>
      <c r="D51" s="15">
        <v>1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33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0" t="s">
        <v>92</v>
      </c>
      <c r="B56" s="10" t="s">
        <v>93</v>
      </c>
      <c r="C56" s="11" t="s">
        <v>33</v>
      </c>
      <c r="D56" s="11">
        <v>0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2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3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0" t="s">
        <v>116</v>
      </c>
      <c r="B68" s="10" t="s">
        <v>117</v>
      </c>
      <c r="C68" s="11" t="s">
        <v>33</v>
      </c>
      <c r="D68" s="11">
        <v>0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1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58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185</v>
      </c>
      <c r="D4" s="17" t="s">
        <v>186</v>
      </c>
      <c r="E4" s="16" t="s">
        <v>183</v>
      </c>
      <c r="F4" s="17" t="s">
        <v>187</v>
      </c>
      <c r="G4" s="18" t="s">
        <v>180</v>
      </c>
    </row>
    <row r="5" spans="1:7" x14ac:dyDescent="0.25">
      <c r="A5" s="16" t="s">
        <v>13</v>
      </c>
      <c r="B5" s="16" t="s">
        <v>110</v>
      </c>
      <c r="C5" s="16" t="s">
        <v>185</v>
      </c>
      <c r="D5" s="17" t="s">
        <v>188</v>
      </c>
      <c r="E5" s="16" t="s">
        <v>189</v>
      </c>
      <c r="F5" s="17" t="s">
        <v>187</v>
      </c>
      <c r="G5" s="18" t="s">
        <v>180</v>
      </c>
    </row>
    <row r="6" spans="1:7" x14ac:dyDescent="0.25">
      <c r="A6" s="14" t="s">
        <v>14</v>
      </c>
      <c r="B6" s="14" t="s">
        <v>42</v>
      </c>
      <c r="C6" s="14" t="s">
        <v>190</v>
      </c>
      <c r="D6" s="19" t="s">
        <v>191</v>
      </c>
      <c r="E6" s="14" t="s">
        <v>192</v>
      </c>
      <c r="F6" s="19" t="s">
        <v>193</v>
      </c>
      <c r="G6" s="20" t="s">
        <v>180</v>
      </c>
    </row>
    <row r="7" spans="1:7" x14ac:dyDescent="0.25">
      <c r="A7" s="14" t="s">
        <v>14</v>
      </c>
      <c r="B7" s="14" t="s">
        <v>42</v>
      </c>
      <c r="C7" s="14" t="s">
        <v>190</v>
      </c>
      <c r="D7" s="19" t="s">
        <v>194</v>
      </c>
      <c r="E7" s="14" t="s">
        <v>195</v>
      </c>
      <c r="F7" s="19" t="s">
        <v>193</v>
      </c>
      <c r="G7" s="20" t="s">
        <v>180</v>
      </c>
    </row>
    <row r="8" spans="1:7" x14ac:dyDescent="0.25">
      <c r="A8" s="14" t="s">
        <v>14</v>
      </c>
      <c r="B8" s="14" t="s">
        <v>60</v>
      </c>
      <c r="C8" s="14" t="s">
        <v>181</v>
      </c>
      <c r="D8" s="19" t="s">
        <v>196</v>
      </c>
      <c r="E8" s="14" t="s">
        <v>197</v>
      </c>
      <c r="F8" s="19" t="s">
        <v>198</v>
      </c>
      <c r="G8" s="20" t="s">
        <v>180</v>
      </c>
    </row>
    <row r="9" spans="1:7" x14ac:dyDescent="0.25">
      <c r="A9" s="14" t="s">
        <v>14</v>
      </c>
      <c r="B9" s="14" t="s">
        <v>96</v>
      </c>
      <c r="C9" s="14" t="s">
        <v>199</v>
      </c>
      <c r="D9" s="19" t="s">
        <v>200</v>
      </c>
      <c r="E9" s="14" t="s">
        <v>201</v>
      </c>
      <c r="F9" s="19" t="s">
        <v>202</v>
      </c>
      <c r="G9" s="14" t="s">
        <v>6</v>
      </c>
    </row>
    <row r="10" spans="1:7" x14ac:dyDescent="0.25">
      <c r="A10" s="14" t="s">
        <v>14</v>
      </c>
      <c r="B10" s="14" t="s">
        <v>102</v>
      </c>
      <c r="C10" s="14" t="s">
        <v>203</v>
      </c>
      <c r="D10" s="19" t="s">
        <v>204</v>
      </c>
      <c r="E10" s="14" t="s">
        <v>205</v>
      </c>
      <c r="F10" s="19" t="s">
        <v>206</v>
      </c>
      <c r="G10" s="20" t="s">
        <v>180</v>
      </c>
    </row>
    <row r="11" spans="1:7" x14ac:dyDescent="0.25">
      <c r="A11" s="14" t="s">
        <v>14</v>
      </c>
      <c r="B11" s="14" t="s">
        <v>104</v>
      </c>
      <c r="C11" s="14" t="s">
        <v>203</v>
      </c>
      <c r="D11" s="19" t="s">
        <v>207</v>
      </c>
      <c r="E11" s="14" t="s">
        <v>208</v>
      </c>
      <c r="F11" s="19" t="s">
        <v>209</v>
      </c>
      <c r="G11" s="20" t="s">
        <v>180</v>
      </c>
    </row>
    <row r="12" spans="1:7" x14ac:dyDescent="0.25">
      <c r="A12" s="14" t="s">
        <v>14</v>
      </c>
      <c r="B12" s="14" t="s">
        <v>104</v>
      </c>
      <c r="C12" s="14" t="s">
        <v>203</v>
      </c>
      <c r="D12" s="19" t="s">
        <v>210</v>
      </c>
      <c r="E12" s="14" t="s">
        <v>211</v>
      </c>
      <c r="F12" s="19" t="s">
        <v>209</v>
      </c>
      <c r="G12" s="20" t="s">
        <v>180</v>
      </c>
    </row>
    <row r="13" spans="1:7" x14ac:dyDescent="0.25">
      <c r="A13" s="14" t="s">
        <v>14</v>
      </c>
      <c r="B13" s="14" t="s">
        <v>112</v>
      </c>
      <c r="C13" s="14" t="s">
        <v>185</v>
      </c>
      <c r="D13" s="19" t="s">
        <v>212</v>
      </c>
      <c r="E13" s="14" t="s">
        <v>213</v>
      </c>
      <c r="F13" s="19" t="s">
        <v>214</v>
      </c>
      <c r="G13" s="20" t="s">
        <v>180</v>
      </c>
    </row>
    <row r="14" spans="1:7" x14ac:dyDescent="0.25">
      <c r="A14" s="14" t="s">
        <v>14</v>
      </c>
      <c r="B14" s="14" t="s">
        <v>112</v>
      </c>
      <c r="C14" s="14" t="s">
        <v>185</v>
      </c>
      <c r="D14" s="19" t="s">
        <v>215</v>
      </c>
      <c r="E14" s="14" t="s">
        <v>216</v>
      </c>
      <c r="F14" s="19" t="s">
        <v>214</v>
      </c>
      <c r="G14" s="20" t="s">
        <v>180</v>
      </c>
    </row>
    <row r="15" spans="1:7" x14ac:dyDescent="0.25">
      <c r="A15" s="21" t="s">
        <v>6</v>
      </c>
      <c r="B15" s="21" t="s">
        <v>6</v>
      </c>
      <c r="C15" s="21" t="s">
        <v>6</v>
      </c>
      <c r="D15" s="22" t="s">
        <v>217</v>
      </c>
      <c r="E15" s="21" t="s">
        <v>218</v>
      </c>
      <c r="F15" s="22" t="s">
        <v>6</v>
      </c>
      <c r="G15" s="23" t="s">
        <v>219</v>
      </c>
    </row>
    <row r="16" spans="1:7" x14ac:dyDescent="0.25">
      <c r="A16" s="14" t="s">
        <v>14</v>
      </c>
      <c r="B16" s="14" t="s">
        <v>112</v>
      </c>
      <c r="C16" s="14" t="s">
        <v>185</v>
      </c>
      <c r="D16" s="19" t="s">
        <v>220</v>
      </c>
      <c r="E16" s="14" t="s">
        <v>221</v>
      </c>
      <c r="F16" s="19" t="s">
        <v>214</v>
      </c>
      <c r="G16" s="20" t="s">
        <v>180</v>
      </c>
    </row>
    <row r="17" spans="1:7" x14ac:dyDescent="0.25">
      <c r="A17" s="21" t="s">
        <v>6</v>
      </c>
      <c r="B17" s="21" t="s">
        <v>6</v>
      </c>
      <c r="C17" s="21" t="s">
        <v>6</v>
      </c>
      <c r="D17" s="22" t="s">
        <v>217</v>
      </c>
      <c r="E17" s="21" t="s">
        <v>222</v>
      </c>
      <c r="F17" s="22" t="s">
        <v>6</v>
      </c>
      <c r="G17" s="23" t="s">
        <v>219</v>
      </c>
    </row>
    <row r="18" spans="1:7" x14ac:dyDescent="0.25">
      <c r="A18" s="14" t="s">
        <v>14</v>
      </c>
      <c r="B18" s="14" t="s">
        <v>120</v>
      </c>
      <c r="C18" s="14" t="s">
        <v>223</v>
      </c>
      <c r="D18" s="19" t="s">
        <v>224</v>
      </c>
      <c r="E18" s="14" t="s">
        <v>213</v>
      </c>
      <c r="F18" s="19" t="s">
        <v>225</v>
      </c>
      <c r="G18" s="20" t="s">
        <v>180</v>
      </c>
    </row>
    <row r="19" spans="1:7" x14ac:dyDescent="0.25">
      <c r="A19" s="21" t="s">
        <v>6</v>
      </c>
      <c r="B19" s="21" t="s">
        <v>6</v>
      </c>
      <c r="C19" s="21" t="s">
        <v>6</v>
      </c>
      <c r="D19" s="22" t="s">
        <v>226</v>
      </c>
      <c r="E19" s="21" t="s">
        <v>227</v>
      </c>
      <c r="F19" s="22" t="s">
        <v>6</v>
      </c>
      <c r="G19" s="23" t="s">
        <v>219</v>
      </c>
    </row>
    <row r="20" spans="1:7" x14ac:dyDescent="0.25">
      <c r="A20" s="14" t="s">
        <v>14</v>
      </c>
      <c r="B20" s="14" t="s">
        <v>126</v>
      </c>
      <c r="C20" s="14" t="s">
        <v>223</v>
      </c>
      <c r="D20" s="19" t="s">
        <v>228</v>
      </c>
      <c r="E20" s="14" t="s">
        <v>229</v>
      </c>
      <c r="F20" s="19" t="s">
        <v>230</v>
      </c>
      <c r="G20" s="20" t="s">
        <v>180</v>
      </c>
    </row>
    <row r="21" spans="1:7" x14ac:dyDescent="0.25">
      <c r="A21" s="24" t="s">
        <v>15</v>
      </c>
      <c r="B21" s="24" t="s">
        <v>54</v>
      </c>
      <c r="C21" s="24" t="s">
        <v>231</v>
      </c>
      <c r="D21" s="25" t="s">
        <v>232</v>
      </c>
      <c r="E21" s="24" t="s">
        <v>233</v>
      </c>
      <c r="F21" s="25" t="s">
        <v>234</v>
      </c>
      <c r="G21" s="26" t="s">
        <v>180</v>
      </c>
    </row>
    <row r="22" spans="1:7" x14ac:dyDescent="0.25">
      <c r="A22" s="24" t="s">
        <v>15</v>
      </c>
      <c r="B22" s="24" t="s">
        <v>56</v>
      </c>
      <c r="C22" s="24" t="s">
        <v>231</v>
      </c>
      <c r="D22" s="25" t="s">
        <v>235</v>
      </c>
      <c r="E22" s="24" t="s">
        <v>236</v>
      </c>
      <c r="F22" s="25" t="s">
        <v>237</v>
      </c>
      <c r="G22" s="24" t="s">
        <v>6</v>
      </c>
    </row>
    <row r="23" spans="1:7" x14ac:dyDescent="0.25">
      <c r="A23" s="24" t="s">
        <v>15</v>
      </c>
      <c r="B23" s="24" t="s">
        <v>82</v>
      </c>
      <c r="C23" s="24" t="s">
        <v>238</v>
      </c>
      <c r="D23" s="25" t="s">
        <v>239</v>
      </c>
      <c r="E23" s="24" t="s">
        <v>240</v>
      </c>
      <c r="F23" s="25" t="s">
        <v>241</v>
      </c>
      <c r="G23" s="24" t="s">
        <v>6</v>
      </c>
    </row>
    <row r="24" spans="1:7" x14ac:dyDescent="0.25">
      <c r="A24" s="24" t="s">
        <v>15</v>
      </c>
      <c r="B24" s="24" t="s">
        <v>100</v>
      </c>
      <c r="C24" s="24" t="s">
        <v>199</v>
      </c>
      <c r="D24" s="25" t="s">
        <v>242</v>
      </c>
      <c r="E24" s="24" t="s">
        <v>243</v>
      </c>
      <c r="F24" s="25" t="s">
        <v>244</v>
      </c>
      <c r="G24" s="24" t="s">
        <v>6</v>
      </c>
    </row>
    <row r="25" spans="1:7" x14ac:dyDescent="0.25">
      <c r="A25" s="24" t="s">
        <v>15</v>
      </c>
      <c r="B25" s="24" t="s">
        <v>108</v>
      </c>
      <c r="C25" s="24" t="s">
        <v>203</v>
      </c>
      <c r="D25" s="25" t="s">
        <v>245</v>
      </c>
      <c r="E25" s="24" t="s">
        <v>246</v>
      </c>
      <c r="F25" s="25" t="s">
        <v>247</v>
      </c>
      <c r="G25" s="26" t="s">
        <v>180</v>
      </c>
    </row>
    <row r="26" spans="1:7" x14ac:dyDescent="0.25">
      <c r="A26" s="24" t="s">
        <v>15</v>
      </c>
      <c r="B26" s="24" t="s">
        <v>108</v>
      </c>
      <c r="C26" s="24" t="s">
        <v>203</v>
      </c>
      <c r="D26" s="25" t="s">
        <v>248</v>
      </c>
      <c r="E26" s="24" t="s">
        <v>249</v>
      </c>
      <c r="F26" s="25" t="s">
        <v>247</v>
      </c>
      <c r="G26" s="26" t="s">
        <v>180</v>
      </c>
    </row>
    <row r="27" spans="1:7" x14ac:dyDescent="0.25">
      <c r="A27" s="24" t="s">
        <v>15</v>
      </c>
      <c r="B27" s="24" t="s">
        <v>108</v>
      </c>
      <c r="C27" s="24" t="s">
        <v>203</v>
      </c>
      <c r="D27" s="25" t="s">
        <v>250</v>
      </c>
      <c r="E27" s="24" t="s">
        <v>251</v>
      </c>
      <c r="F27" s="25" t="s">
        <v>247</v>
      </c>
      <c r="G27" s="26" t="s">
        <v>180</v>
      </c>
    </row>
    <row r="28" spans="1:7" x14ac:dyDescent="0.25">
      <c r="A28" s="24" t="s">
        <v>15</v>
      </c>
      <c r="B28" s="24" t="s">
        <v>108</v>
      </c>
      <c r="C28" s="24" t="s">
        <v>203</v>
      </c>
      <c r="D28" s="25" t="s">
        <v>252</v>
      </c>
      <c r="E28" s="24" t="s">
        <v>253</v>
      </c>
      <c r="F28" s="25" t="s">
        <v>247</v>
      </c>
      <c r="G28" s="26" t="s">
        <v>180</v>
      </c>
    </row>
    <row r="29" spans="1:7" x14ac:dyDescent="0.25">
      <c r="A29" s="24" t="s">
        <v>15</v>
      </c>
      <c r="B29" s="24" t="s">
        <v>108</v>
      </c>
      <c r="C29" s="24" t="s">
        <v>203</v>
      </c>
      <c r="D29" s="25" t="s">
        <v>254</v>
      </c>
      <c r="E29" s="24" t="s">
        <v>255</v>
      </c>
      <c r="F29" s="25" t="s">
        <v>247</v>
      </c>
      <c r="G29" s="26" t="s">
        <v>180</v>
      </c>
    </row>
    <row r="30" spans="1:7" x14ac:dyDescent="0.25">
      <c r="A30" s="24" t="s">
        <v>15</v>
      </c>
      <c r="B30" s="24" t="s">
        <v>128</v>
      </c>
      <c r="C30" s="24" t="s">
        <v>223</v>
      </c>
      <c r="D30" s="25" t="s">
        <v>256</v>
      </c>
      <c r="E30" s="24" t="s">
        <v>257</v>
      </c>
      <c r="F30" s="25" t="s">
        <v>258</v>
      </c>
      <c r="G30" s="26" t="s">
        <v>180</v>
      </c>
    </row>
  </sheetData>
  <autoFilter ref="A1:G30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5" r:id="rId20"/>
    <hyperlink ref="G26" r:id="rId21"/>
    <hyperlink ref="G27" r:id="rId22"/>
    <hyperlink ref="G28" r:id="rId23"/>
    <hyperlink ref="G29" r:id="rId24"/>
    <hyperlink ref="G30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259</v>
      </c>
    </row>
    <row r="4" spans="1:1" x14ac:dyDescent="0.25">
      <c r="A4" s="29" t="s">
        <v>260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261</v>
      </c>
    </row>
    <row r="4" spans="1:1" x14ac:dyDescent="0.25">
      <c r="A4" s="29" t="s">
        <v>260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262</v>
      </c>
    </row>
    <row r="4" spans="1:1" x14ac:dyDescent="0.25">
      <c r="A4" s="29" t="s">
        <v>260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263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58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186</v>
      </c>
      <c r="D6" s="16" t="s">
        <v>183</v>
      </c>
      <c r="E6" s="17" t="s">
        <v>187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188</v>
      </c>
      <c r="D7" s="16" t="s">
        <v>189</v>
      </c>
      <c r="E7" s="17" t="s">
        <v>187</v>
      </c>
      <c r="F7" s="18" t="s">
        <v>180</v>
      </c>
    </row>
    <row r="8" spans="1:6" x14ac:dyDescent="0.25">
      <c r="A8" s="14" t="s">
        <v>14</v>
      </c>
      <c r="B8" s="14" t="s">
        <v>42</v>
      </c>
      <c r="C8" s="19" t="s">
        <v>191</v>
      </c>
      <c r="D8" s="14" t="s">
        <v>192</v>
      </c>
      <c r="E8" s="19" t="s">
        <v>193</v>
      </c>
      <c r="F8" s="20" t="s">
        <v>180</v>
      </c>
    </row>
    <row r="9" spans="1:6" x14ac:dyDescent="0.25">
      <c r="A9" s="14" t="s">
        <v>14</v>
      </c>
      <c r="B9" s="14" t="s">
        <v>42</v>
      </c>
      <c r="C9" s="19" t="s">
        <v>194</v>
      </c>
      <c r="D9" s="14" t="s">
        <v>195</v>
      </c>
      <c r="E9" s="19" t="s">
        <v>193</v>
      </c>
      <c r="F9" s="20" t="s">
        <v>180</v>
      </c>
    </row>
    <row r="10" spans="1:6" x14ac:dyDescent="0.25">
      <c r="A10" s="14" t="s">
        <v>14</v>
      </c>
      <c r="B10" s="14" t="s">
        <v>60</v>
      </c>
      <c r="C10" s="19" t="s">
        <v>196</v>
      </c>
      <c r="D10" s="14" t="s">
        <v>197</v>
      </c>
      <c r="E10" s="19" t="s">
        <v>198</v>
      </c>
      <c r="F10" s="20" t="s">
        <v>180</v>
      </c>
    </row>
    <row r="11" spans="1:6" x14ac:dyDescent="0.25">
      <c r="A11" s="14" t="s">
        <v>14</v>
      </c>
      <c r="B11" s="14" t="s">
        <v>112</v>
      </c>
      <c r="C11" s="19" t="s">
        <v>212</v>
      </c>
      <c r="D11" s="14" t="s">
        <v>213</v>
      </c>
      <c r="E11" s="19" t="s">
        <v>214</v>
      </c>
      <c r="F11" s="20" t="s">
        <v>180</v>
      </c>
    </row>
    <row r="12" spans="1:6" x14ac:dyDescent="0.25">
      <c r="A12" s="14" t="s">
        <v>14</v>
      </c>
      <c r="B12" s="14" t="s">
        <v>112</v>
      </c>
      <c r="C12" s="19" t="s">
        <v>215</v>
      </c>
      <c r="D12" s="14" t="s">
        <v>216</v>
      </c>
      <c r="E12" s="19" t="s">
        <v>214</v>
      </c>
      <c r="F12" s="20" t="s">
        <v>180</v>
      </c>
    </row>
    <row r="13" spans="1:6" x14ac:dyDescent="0.25">
      <c r="A13" s="21" t="s">
        <v>6</v>
      </c>
      <c r="B13" s="21" t="s">
        <v>6</v>
      </c>
      <c r="C13" s="22" t="s">
        <v>217</v>
      </c>
      <c r="D13" s="21" t="s">
        <v>218</v>
      </c>
      <c r="E13" s="22" t="s">
        <v>6</v>
      </c>
      <c r="F13" s="23" t="s">
        <v>219</v>
      </c>
    </row>
    <row r="14" spans="1:6" x14ac:dyDescent="0.25">
      <c r="A14" s="14" t="s">
        <v>14</v>
      </c>
      <c r="B14" s="14" t="s">
        <v>112</v>
      </c>
      <c r="C14" s="19" t="s">
        <v>220</v>
      </c>
      <c r="D14" s="14" t="s">
        <v>221</v>
      </c>
      <c r="E14" s="19" t="s">
        <v>214</v>
      </c>
      <c r="F14" s="20" t="s">
        <v>180</v>
      </c>
    </row>
    <row r="15" spans="1:6" x14ac:dyDescent="0.25">
      <c r="A15" s="21" t="s">
        <v>6</v>
      </c>
      <c r="B15" s="21" t="s">
        <v>6</v>
      </c>
      <c r="C15" s="22" t="s">
        <v>217</v>
      </c>
      <c r="D15" s="21" t="s">
        <v>222</v>
      </c>
      <c r="E15" s="22" t="s">
        <v>6</v>
      </c>
      <c r="F15" s="23" t="s">
        <v>219</v>
      </c>
    </row>
  </sheetData>
  <autoFilter ref="A4:F1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264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96</v>
      </c>
      <c r="C5" s="19" t="s">
        <v>200</v>
      </c>
      <c r="D5" s="14" t="s">
        <v>201</v>
      </c>
      <c r="E5" s="19" t="s">
        <v>202</v>
      </c>
      <c r="F5" s="14" t="s">
        <v>6</v>
      </c>
    </row>
    <row r="6" spans="1:6" x14ac:dyDescent="0.25">
      <c r="A6" s="14" t="s">
        <v>14</v>
      </c>
      <c r="B6" s="14" t="s">
        <v>102</v>
      </c>
      <c r="C6" s="19" t="s">
        <v>204</v>
      </c>
      <c r="D6" s="14" t="s">
        <v>205</v>
      </c>
      <c r="E6" s="19" t="s">
        <v>206</v>
      </c>
      <c r="F6" s="20" t="s">
        <v>180</v>
      </c>
    </row>
    <row r="7" spans="1:6" x14ac:dyDescent="0.25">
      <c r="A7" s="14" t="s">
        <v>14</v>
      </c>
      <c r="B7" s="14" t="s">
        <v>104</v>
      </c>
      <c r="C7" s="19" t="s">
        <v>207</v>
      </c>
      <c r="D7" s="14" t="s">
        <v>208</v>
      </c>
      <c r="E7" s="19" t="s">
        <v>209</v>
      </c>
      <c r="F7" s="20" t="s">
        <v>180</v>
      </c>
    </row>
    <row r="8" spans="1:6" x14ac:dyDescent="0.25">
      <c r="A8" s="14" t="s">
        <v>14</v>
      </c>
      <c r="B8" s="14" t="s">
        <v>104</v>
      </c>
      <c r="C8" s="19" t="s">
        <v>210</v>
      </c>
      <c r="D8" s="14" t="s">
        <v>211</v>
      </c>
      <c r="E8" s="19" t="s">
        <v>209</v>
      </c>
      <c r="F8" s="20" t="s">
        <v>180</v>
      </c>
    </row>
    <row r="9" spans="1:6" x14ac:dyDescent="0.25">
      <c r="A9" s="14" t="s">
        <v>14</v>
      </c>
      <c r="B9" s="14" t="s">
        <v>120</v>
      </c>
      <c r="C9" s="19" t="s">
        <v>224</v>
      </c>
      <c r="D9" s="14" t="s">
        <v>213</v>
      </c>
      <c r="E9" s="19" t="s">
        <v>225</v>
      </c>
      <c r="F9" s="20" t="s">
        <v>180</v>
      </c>
    </row>
    <row r="10" spans="1:6" x14ac:dyDescent="0.25">
      <c r="A10" s="21" t="s">
        <v>6</v>
      </c>
      <c r="B10" s="21" t="s">
        <v>6</v>
      </c>
      <c r="C10" s="22" t="s">
        <v>226</v>
      </c>
      <c r="D10" s="21" t="s">
        <v>227</v>
      </c>
      <c r="E10" s="22" t="s">
        <v>6</v>
      </c>
      <c r="F10" s="23" t="s">
        <v>219</v>
      </c>
    </row>
    <row r="11" spans="1:6" x14ac:dyDescent="0.25">
      <c r="A11" s="14" t="s">
        <v>14</v>
      </c>
      <c r="B11" s="14" t="s">
        <v>126</v>
      </c>
      <c r="C11" s="19" t="s">
        <v>228</v>
      </c>
      <c r="D11" s="14" t="s">
        <v>229</v>
      </c>
      <c r="E11" s="19" t="s">
        <v>230</v>
      </c>
      <c r="F11" s="20" t="s">
        <v>180</v>
      </c>
    </row>
    <row r="12" spans="1:6" x14ac:dyDescent="0.25">
      <c r="A12" s="24" t="s">
        <v>15</v>
      </c>
      <c r="B12" s="24" t="s">
        <v>82</v>
      </c>
      <c r="C12" s="25" t="s">
        <v>239</v>
      </c>
      <c r="D12" s="24" t="s">
        <v>240</v>
      </c>
      <c r="E12" s="25" t="s">
        <v>241</v>
      </c>
      <c r="F12" s="24" t="s">
        <v>6</v>
      </c>
    </row>
    <row r="13" spans="1:6" x14ac:dyDescent="0.25">
      <c r="A13" s="24" t="s">
        <v>15</v>
      </c>
      <c r="B13" s="24" t="s">
        <v>100</v>
      </c>
      <c r="C13" s="25" t="s">
        <v>242</v>
      </c>
      <c r="D13" s="24" t="s">
        <v>243</v>
      </c>
      <c r="E13" s="25" t="s">
        <v>244</v>
      </c>
      <c r="F13" s="24" t="s">
        <v>6</v>
      </c>
    </row>
    <row r="14" spans="1:6" x14ac:dyDescent="0.25">
      <c r="A14" s="24" t="s">
        <v>15</v>
      </c>
      <c r="B14" s="24" t="s">
        <v>108</v>
      </c>
      <c r="C14" s="25" t="s">
        <v>245</v>
      </c>
      <c r="D14" s="24" t="s">
        <v>246</v>
      </c>
      <c r="E14" s="25" t="s">
        <v>247</v>
      </c>
      <c r="F14" s="26" t="s">
        <v>180</v>
      </c>
    </row>
    <row r="15" spans="1:6" x14ac:dyDescent="0.25">
      <c r="A15" s="24" t="s">
        <v>15</v>
      </c>
      <c r="B15" s="24" t="s">
        <v>108</v>
      </c>
      <c r="C15" s="25" t="s">
        <v>248</v>
      </c>
      <c r="D15" s="24" t="s">
        <v>249</v>
      </c>
      <c r="E15" s="25" t="s">
        <v>247</v>
      </c>
      <c r="F15" s="26" t="s">
        <v>180</v>
      </c>
    </row>
    <row r="16" spans="1:6" x14ac:dyDescent="0.25">
      <c r="A16" s="24" t="s">
        <v>15</v>
      </c>
      <c r="B16" s="24" t="s">
        <v>108</v>
      </c>
      <c r="C16" s="25" t="s">
        <v>250</v>
      </c>
      <c r="D16" s="24" t="s">
        <v>251</v>
      </c>
      <c r="E16" s="25" t="s">
        <v>247</v>
      </c>
      <c r="F16" s="26" t="s">
        <v>180</v>
      </c>
    </row>
    <row r="17" spans="1:6" x14ac:dyDescent="0.25">
      <c r="A17" s="24" t="s">
        <v>15</v>
      </c>
      <c r="B17" s="24" t="s">
        <v>108</v>
      </c>
      <c r="C17" s="25" t="s">
        <v>252</v>
      </c>
      <c r="D17" s="24" t="s">
        <v>253</v>
      </c>
      <c r="E17" s="25" t="s">
        <v>247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254</v>
      </c>
      <c r="D18" s="24" t="s">
        <v>255</v>
      </c>
      <c r="E18" s="25" t="s">
        <v>247</v>
      </c>
      <c r="F18" s="26" t="s">
        <v>180</v>
      </c>
    </row>
    <row r="19" spans="1:6" x14ac:dyDescent="0.25">
      <c r="A19" s="24" t="s">
        <v>15</v>
      </c>
      <c r="B19" s="24" t="s">
        <v>128</v>
      </c>
      <c r="C19" s="25" t="s">
        <v>256</v>
      </c>
      <c r="D19" s="24" t="s">
        <v>257</v>
      </c>
      <c r="E19" s="25" t="s">
        <v>258</v>
      </c>
      <c r="F19" s="26" t="s">
        <v>180</v>
      </c>
    </row>
  </sheetData>
  <autoFilter ref="A4:F19"/>
  <mergeCells count="1">
    <mergeCell ref="A1:F1"/>
  </mergeCells>
  <hyperlinks>
    <hyperlink ref="F6" r:id="rId1"/>
    <hyperlink ref="F7" r:id="rId2"/>
    <hyperlink ref="F8" r:id="rId3"/>
    <hyperlink ref="F9" r:id="rId4"/>
    <hyperlink ref="F10" r:id="rId5"/>
    <hyperlink ref="F11" r:id="rId6"/>
    <hyperlink ref="F14" r:id="rId7"/>
    <hyperlink ref="F15" r:id="rId8"/>
    <hyperlink ref="F16" r:id="rId9"/>
    <hyperlink ref="F17" r:id="rId10"/>
    <hyperlink ref="F18" r:id="rId11"/>
    <hyperlink ref="F19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265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24" t="s">
        <v>15</v>
      </c>
      <c r="B6" s="24" t="s">
        <v>54</v>
      </c>
      <c r="C6" s="25" t="s">
        <v>232</v>
      </c>
      <c r="D6" s="24" t="s">
        <v>233</v>
      </c>
      <c r="E6" s="25" t="s">
        <v>234</v>
      </c>
      <c r="F6" s="26" t="s">
        <v>180</v>
      </c>
    </row>
    <row r="7" spans="1:6" x14ac:dyDescent="0.25">
      <c r="A7" s="24" t="s">
        <v>15</v>
      </c>
      <c r="B7" s="24" t="s">
        <v>56</v>
      </c>
      <c r="C7" s="25" t="s">
        <v>235</v>
      </c>
      <c r="D7" s="24" t="s">
        <v>236</v>
      </c>
      <c r="E7" s="25" t="s">
        <v>237</v>
      </c>
      <c r="F7" s="24" t="s">
        <v>6</v>
      </c>
    </row>
  </sheetData>
  <autoFilter ref="A4:F7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266</v>
      </c>
      <c r="B1" s="5" t="s">
        <v>267</v>
      </c>
      <c r="C1" s="5" t="s">
        <v>268</v>
      </c>
      <c r="D1" s="5" t="s">
        <v>269</v>
      </c>
      <c r="E1" s="5" t="s">
        <v>270</v>
      </c>
      <c r="F1" s="5" t="s">
        <v>271</v>
      </c>
      <c r="G1" s="5" t="s">
        <v>272</v>
      </c>
    </row>
    <row r="2" spans="1:7" x14ac:dyDescent="0.25">
      <c r="A2" s="10" t="s">
        <v>273</v>
      </c>
      <c r="B2" s="30">
        <v>1861515</v>
      </c>
      <c r="C2" s="30">
        <v>246210</v>
      </c>
      <c r="D2" s="31">
        <v>1615305</v>
      </c>
      <c r="E2" s="32" t="s">
        <v>274</v>
      </c>
      <c r="F2" s="10" t="s">
        <v>275</v>
      </c>
      <c r="G2" s="33" t="s">
        <v>276</v>
      </c>
    </row>
    <row r="3" spans="1:7" x14ac:dyDescent="0.25">
      <c r="A3" s="10" t="s">
        <v>277</v>
      </c>
      <c r="B3" s="30">
        <v>186055</v>
      </c>
      <c r="C3" s="30">
        <v>74561</v>
      </c>
      <c r="D3" s="31">
        <v>111494</v>
      </c>
      <c r="E3" s="32" t="s">
        <v>278</v>
      </c>
      <c r="F3" s="10" t="s">
        <v>275</v>
      </c>
      <c r="G3" s="33" t="s">
        <v>276</v>
      </c>
    </row>
    <row r="4" spans="1:7" x14ac:dyDescent="0.25">
      <c r="A4" s="10" t="s">
        <v>279</v>
      </c>
      <c r="B4" s="30">
        <v>531437</v>
      </c>
      <c r="C4" s="30">
        <v>0</v>
      </c>
      <c r="D4" s="30">
        <v>531437</v>
      </c>
      <c r="E4" s="32" t="s">
        <v>6</v>
      </c>
      <c r="F4" s="10" t="s">
        <v>6</v>
      </c>
      <c r="G4" s="33" t="s">
        <v>276</v>
      </c>
    </row>
    <row r="5" spans="1:7" x14ac:dyDescent="0.25">
      <c r="A5" s="10" t="s">
        <v>280</v>
      </c>
      <c r="B5" s="30">
        <v>152600</v>
      </c>
      <c r="C5" s="30">
        <v>152600</v>
      </c>
      <c r="D5" s="30">
        <v>0</v>
      </c>
      <c r="E5" s="32" t="s">
        <v>281</v>
      </c>
      <c r="F5" s="10" t="s">
        <v>6</v>
      </c>
      <c r="G5" s="33" t="s">
        <v>276</v>
      </c>
    </row>
    <row r="6" spans="1:7" x14ac:dyDescent="0.25">
      <c r="A6" s="10" t="s">
        <v>282</v>
      </c>
      <c r="B6" s="30">
        <v>88745</v>
      </c>
      <c r="C6" s="30">
        <v>103568</v>
      </c>
      <c r="D6" s="30">
        <v>-14823</v>
      </c>
      <c r="E6" s="32" t="s">
        <v>283</v>
      </c>
      <c r="F6" s="10" t="s">
        <v>6</v>
      </c>
      <c r="G6" s="33" t="s">
        <v>276</v>
      </c>
    </row>
    <row r="7" spans="1:7" x14ac:dyDescent="0.25">
      <c r="A7" s="10" t="s">
        <v>284</v>
      </c>
      <c r="B7" s="30">
        <v>195000</v>
      </c>
      <c r="C7" s="30">
        <v>195000</v>
      </c>
      <c r="D7" s="30">
        <v>0</v>
      </c>
      <c r="E7" s="32" t="s">
        <v>281</v>
      </c>
      <c r="F7" s="10" t="s">
        <v>6</v>
      </c>
      <c r="G7" s="33" t="s">
        <v>276</v>
      </c>
    </row>
    <row r="8" spans="1:7" x14ac:dyDescent="0.25">
      <c r="A8" s="10" t="s">
        <v>285</v>
      </c>
      <c r="B8" s="30">
        <v>26875</v>
      </c>
      <c r="C8" s="30">
        <v>35837</v>
      </c>
      <c r="D8" s="30">
        <v>-8962</v>
      </c>
      <c r="E8" s="32" t="s">
        <v>286</v>
      </c>
      <c r="F8" s="10" t="s">
        <v>6</v>
      </c>
      <c r="G8" s="33" t="s">
        <v>276</v>
      </c>
    </row>
    <row r="9" spans="1:7" x14ac:dyDescent="0.25">
      <c r="A9" s="10" t="s">
        <v>287</v>
      </c>
      <c r="B9" s="30">
        <v>2000</v>
      </c>
      <c r="C9" s="30">
        <v>2000</v>
      </c>
      <c r="D9" s="30">
        <v>0</v>
      </c>
      <c r="E9" s="32" t="s">
        <v>281</v>
      </c>
      <c r="F9" s="10" t="s">
        <v>6</v>
      </c>
      <c r="G9" s="33" t="s">
        <v>276</v>
      </c>
    </row>
    <row r="10" spans="1:7" x14ac:dyDescent="0.25">
      <c r="A10" s="10" t="s">
        <v>288</v>
      </c>
      <c r="B10" s="30">
        <v>200000</v>
      </c>
      <c r="C10" s="30">
        <v>200000</v>
      </c>
      <c r="D10" s="30">
        <v>0</v>
      </c>
      <c r="E10" s="32" t="s">
        <v>281</v>
      </c>
      <c r="F10" s="10" t="s">
        <v>6</v>
      </c>
      <c r="G10" s="33" t="s">
        <v>276</v>
      </c>
    </row>
    <row r="11" spans="1:7" x14ac:dyDescent="0.25">
      <c r="A11" s="10" t="s">
        <v>289</v>
      </c>
      <c r="B11" s="30">
        <v>14050</v>
      </c>
      <c r="C11" s="30">
        <v>14050</v>
      </c>
      <c r="D11" s="30">
        <v>0</v>
      </c>
      <c r="E11" s="32" t="s">
        <v>281</v>
      </c>
      <c r="F11" s="10" t="s">
        <v>6</v>
      </c>
      <c r="G11" s="33" t="s">
        <v>276</v>
      </c>
    </row>
    <row r="12" spans="1:7" x14ac:dyDescent="0.25">
      <c r="A12" s="10" t="s">
        <v>290</v>
      </c>
      <c r="B12" s="34">
        <v>-20000</v>
      </c>
      <c r="C12" s="30">
        <v>-10000</v>
      </c>
      <c r="D12" s="30">
        <v>-10000</v>
      </c>
      <c r="E12" s="32" t="s">
        <v>291</v>
      </c>
      <c r="F12" s="10" t="s">
        <v>30</v>
      </c>
      <c r="G12" s="33" t="s">
        <v>276</v>
      </c>
    </row>
    <row r="13" spans="1:7" x14ac:dyDescent="0.25">
      <c r="A13" s="10" t="s">
        <v>292</v>
      </c>
      <c r="B13" s="30">
        <v>1178764</v>
      </c>
      <c r="C13" s="30">
        <v>1928323</v>
      </c>
      <c r="D13" s="30">
        <v>-749559</v>
      </c>
      <c r="E13" s="32" t="s">
        <v>293</v>
      </c>
      <c r="F13" s="10" t="s">
        <v>6</v>
      </c>
      <c r="G13" s="33" t="s">
        <v>276</v>
      </c>
    </row>
    <row r="14" spans="1:7" x14ac:dyDescent="0.25">
      <c r="A14" s="10" t="s">
        <v>294</v>
      </c>
      <c r="B14" s="30">
        <v>675187</v>
      </c>
      <c r="C14" s="30">
        <v>792324</v>
      </c>
      <c r="D14" s="30">
        <v>-117137</v>
      </c>
      <c r="E14" s="32" t="s">
        <v>295</v>
      </c>
      <c r="F14" s="10" t="s">
        <v>6</v>
      </c>
      <c r="G14" s="33" t="s">
        <v>276</v>
      </c>
    </row>
    <row r="15" spans="1:7" x14ac:dyDescent="0.25">
      <c r="A15" s="10" t="s">
        <v>296</v>
      </c>
      <c r="B15" s="30">
        <v>100452</v>
      </c>
      <c r="C15" s="30">
        <v>95013</v>
      </c>
      <c r="D15" s="30">
        <v>5439</v>
      </c>
      <c r="E15" s="32" t="s">
        <v>297</v>
      </c>
      <c r="F15" s="10" t="s">
        <v>6</v>
      </c>
      <c r="G15" s="33" t="s">
        <v>276</v>
      </c>
    </row>
    <row r="16" spans="1:7" x14ac:dyDescent="0.25">
      <c r="A16" s="10" t="s">
        <v>298</v>
      </c>
      <c r="B16" s="30">
        <v>0</v>
      </c>
      <c r="C16" s="30">
        <v>0</v>
      </c>
      <c r="D16" s="30">
        <v>0</v>
      </c>
      <c r="E16" s="32" t="s">
        <v>6</v>
      </c>
      <c r="F16" s="10" t="s">
        <v>6</v>
      </c>
      <c r="G16" s="33" t="s">
        <v>276</v>
      </c>
    </row>
    <row r="17" spans="1:7" x14ac:dyDescent="0.25">
      <c r="A17" s="10" t="s">
        <v>299</v>
      </c>
      <c r="B17" s="30">
        <v>0</v>
      </c>
      <c r="C17" s="30">
        <v>0</v>
      </c>
      <c r="D17" s="30">
        <v>0</v>
      </c>
      <c r="E17" s="32" t="s">
        <v>6</v>
      </c>
      <c r="F17" s="10" t="s">
        <v>6</v>
      </c>
      <c r="G17" s="33" t="s">
        <v>276</v>
      </c>
    </row>
    <row r="18" spans="1:7" x14ac:dyDescent="0.25">
      <c r="A18" s="10" t="s">
        <v>300</v>
      </c>
      <c r="B18" s="30">
        <v>37770</v>
      </c>
      <c r="C18" s="30">
        <v>25180</v>
      </c>
      <c r="D18" s="30">
        <v>12590</v>
      </c>
      <c r="E18" s="32" t="s">
        <v>301</v>
      </c>
      <c r="F18" s="10" t="s">
        <v>6</v>
      </c>
      <c r="G18" s="33" t="s">
        <v>276</v>
      </c>
    </row>
    <row r="19" spans="1:7" x14ac:dyDescent="0.25">
      <c r="A19" s="10" t="s">
        <v>302</v>
      </c>
      <c r="B19" s="30">
        <v>3000000</v>
      </c>
      <c r="C19" s="30">
        <v>0</v>
      </c>
      <c r="D19" s="30">
        <v>3000000</v>
      </c>
      <c r="E19" s="32" t="s">
        <v>6</v>
      </c>
      <c r="F19" s="10" t="s">
        <v>6</v>
      </c>
      <c r="G19" s="33" t="s">
        <v>276</v>
      </c>
    </row>
    <row r="20" spans="1:7" x14ac:dyDescent="0.25">
      <c r="A20" s="10" t="s">
        <v>303</v>
      </c>
      <c r="B20" s="30">
        <v>1000000</v>
      </c>
      <c r="C20" s="30">
        <v>1000000</v>
      </c>
      <c r="D20" s="30">
        <v>0</v>
      </c>
      <c r="E20" s="32" t="s">
        <v>281</v>
      </c>
      <c r="F20" s="10" t="s">
        <v>6</v>
      </c>
      <c r="G20" s="33" t="s">
        <v>276</v>
      </c>
    </row>
    <row r="21" spans="1:7" x14ac:dyDescent="0.25">
      <c r="A21" s="10" t="s">
        <v>304</v>
      </c>
      <c r="B21" s="34">
        <v>-410784</v>
      </c>
      <c r="C21" s="30">
        <v>-410784</v>
      </c>
      <c r="D21" s="30">
        <v>0</v>
      </c>
      <c r="E21" s="32" t="s">
        <v>281</v>
      </c>
      <c r="F21" s="10" t="s">
        <v>30</v>
      </c>
      <c r="G21" s="33" t="s">
        <v>276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266</v>
      </c>
      <c r="B3" s="5" t="s">
        <v>306</v>
      </c>
      <c r="C3" s="5" t="s">
        <v>307</v>
      </c>
      <c r="D3" s="5" t="s">
        <v>308</v>
      </c>
      <c r="E3" s="5" t="s">
        <v>309</v>
      </c>
      <c r="F3" s="5" t="s">
        <v>310</v>
      </c>
      <c r="G3" s="5" t="s">
        <v>311</v>
      </c>
      <c r="H3" s="5" t="s">
        <v>312</v>
      </c>
      <c r="I3" s="5" t="s">
        <v>313</v>
      </c>
      <c r="J3" s="5" t="s">
        <v>314</v>
      </c>
      <c r="K3" s="5" t="s">
        <v>315</v>
      </c>
      <c r="L3" s="5" t="s">
        <v>316</v>
      </c>
      <c r="M3" s="36" t="s">
        <v>317</v>
      </c>
      <c r="N3" s="5" t="s">
        <v>318</v>
      </c>
      <c r="O3" s="5" t="s">
        <v>272</v>
      </c>
    </row>
    <row r="4" spans="1:15" x14ac:dyDescent="0.25">
      <c r="A4" s="10" t="s">
        <v>319</v>
      </c>
      <c r="B4" s="30">
        <v>1601158</v>
      </c>
      <c r="C4" s="30">
        <v>1261086</v>
      </c>
      <c r="D4" s="30">
        <v>1199156</v>
      </c>
      <c r="E4" s="30">
        <v>1322677</v>
      </c>
      <c r="F4" s="30">
        <v>916370</v>
      </c>
      <c r="G4" s="30">
        <v>859233</v>
      </c>
      <c r="H4" s="30">
        <v>1267996</v>
      </c>
      <c r="I4" s="30">
        <v>1707746</v>
      </c>
      <c r="J4" s="30">
        <v>994723</v>
      </c>
      <c r="K4" s="30">
        <v>1156353</v>
      </c>
      <c r="L4" s="30">
        <v>468359</v>
      </c>
      <c r="M4" s="37">
        <v>1533401</v>
      </c>
      <c r="N4" s="38">
        <f>SUM(B4:M4)</f>
        <v>14288258</v>
      </c>
      <c r="O4" s="39"/>
    </row>
    <row r="5" spans="1:15" x14ac:dyDescent="0.25">
      <c r="A5" s="10" t="s">
        <v>320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1">
        <v>0</v>
      </c>
      <c r="N5" s="38">
        <f>SUM(B5:M5)</f>
        <v>0</v>
      </c>
      <c r="O5" s="39"/>
    </row>
    <row r="6" spans="1:15" x14ac:dyDescent="0.25">
      <c r="A6" s="42" t="s">
        <v>321</v>
      </c>
      <c r="B6" s="43">
        <v>1601158</v>
      </c>
      <c r="C6" s="43">
        <v>1261086</v>
      </c>
      <c r="D6" s="43">
        <v>1199156</v>
      </c>
      <c r="E6" s="43">
        <v>1322677</v>
      </c>
      <c r="F6" s="43">
        <v>916370</v>
      </c>
      <c r="G6" s="43">
        <v>859233</v>
      </c>
      <c r="H6" s="43">
        <v>1267996</v>
      </c>
      <c r="I6" s="43">
        <v>1707746</v>
      </c>
      <c r="J6" s="43">
        <v>994723</v>
      </c>
      <c r="K6" s="43">
        <v>1156353</v>
      </c>
      <c r="L6" s="43">
        <v>468359</v>
      </c>
      <c r="M6" s="43">
        <v>1533401</v>
      </c>
      <c r="N6" s="43">
        <f>SUM(B6:M6)</f>
        <v>14288258</v>
      </c>
      <c r="O6" s="44"/>
    </row>
    <row r="7" spans="1:15" x14ac:dyDescent="0.25">
      <c r="A7" s="10" t="s">
        <v>322</v>
      </c>
      <c r="B7" s="30">
        <f>HYPERLINK("https://secure.freee.co.jp/reports/general_ledgers/show?name=%E5%BD%B9%E5%93%A1%E5%A0%B1%E9%85%AC&amp;start_date=2025-03-01&amp;end_date=2025-03-31&amp;fiscal_year_id=9199054",410000)</f>
        <v>410000</v>
      </c>
      <c r="C7" s="30">
        <f>HYPERLINK("https://secure.freee.co.jp/reports/general_ledgers/show?name=%E5%BD%B9%E5%93%A1%E5%A0%B1%E9%85%AC&amp;start_date=2025-04-01&amp;end_date=2025-04-30&amp;fiscal_year_id=9199054",410000)</f>
        <v>410000</v>
      </c>
      <c r="D7" s="30">
        <f>HYPERLINK("https://secure.freee.co.jp/reports/general_ledgers/show?name=%E5%BD%B9%E5%93%A1%E5%A0%B1%E9%85%AC&amp;start_date=2025-05-01&amp;end_date=2025-05-31&amp;fiscal_year_id=9199054",410000)</f>
        <v>410000</v>
      </c>
      <c r="E7" s="30">
        <f>HYPERLINK("https://secure.freee.co.jp/reports/general_ledgers/show?name=%E5%BD%B9%E5%93%A1%E5%A0%B1%E9%85%AC&amp;start_date=2025-06-01&amp;end_date=2025-06-30&amp;fiscal_year_id=9199054",410000)</f>
        <v>410000</v>
      </c>
      <c r="F7" s="30">
        <f>HYPERLINK("https://secure.freee.co.jp/reports/general_ledgers/show?name=%E5%BD%B9%E5%93%A1%E5%A0%B1%E9%85%AC&amp;start_date=2025-07-01&amp;end_date=2025-07-31&amp;fiscal_year_id=9199054",410000)</f>
        <v>410000</v>
      </c>
      <c r="G7" s="30">
        <f>HYPERLINK("https://secure.freee.co.jp/reports/general_ledgers/show?name=%E5%BD%B9%E5%93%A1%E5%A0%B1%E9%85%AC&amp;start_date=2025-08-01&amp;end_date=2025-08-31&amp;fiscal_year_id=9199054",410000)</f>
        <v>410000</v>
      </c>
      <c r="H7" s="30">
        <f>HYPERLINK("https://secure.freee.co.jp/reports/general_ledgers/show?name=%E5%BD%B9%E5%93%A1%E5%A0%B1%E9%85%AC&amp;start_date=2025-09-01&amp;end_date=2025-09-30&amp;fiscal_year_id=9199054",410000)</f>
        <v>410000</v>
      </c>
      <c r="I7" s="30">
        <f>HYPERLINK("https://secure.freee.co.jp/reports/general_ledgers/show?name=%E5%BD%B9%E5%93%A1%E5%A0%B1%E9%85%AC&amp;start_date=2025-10-01&amp;end_date=2025-10-31&amp;fiscal_year_id=9199054",410000)</f>
        <v>410000</v>
      </c>
      <c r="J7" s="30">
        <f>HYPERLINK("https://secure.freee.co.jp/reports/general_ledgers/show?name=%E5%BD%B9%E5%93%A1%E5%A0%B1%E9%85%AC&amp;start_date=2025-11-01&amp;end_date=2025-11-30&amp;fiscal_year_id=9199054",410000)</f>
        <v>410000</v>
      </c>
      <c r="K7" s="30">
        <f>HYPERLINK("https://secure.freee.co.jp/reports/general_ledgers/show?name=%E5%BD%B9%E5%93%A1%E5%A0%B1%E9%85%AC&amp;start_date=2025-12-01&amp;end_date=2025-12-31&amp;fiscal_year_id=9199054",410000)</f>
        <v>410000</v>
      </c>
      <c r="L7" s="30">
        <f>HYPERLINK("https://secure.freee.co.jp/reports/general_ledgers/show?name=%E5%BD%B9%E5%93%A1%E5%A0%B1%E9%85%AC&amp;start_date=2026-01-01&amp;end_date=2026-01-31&amp;fiscal_year_id=9199054",410000)</f>
        <v>410000</v>
      </c>
      <c r="M7" s="37">
        <f>HYPERLINK("https://secure.freee.co.jp/reports/general_ledgers/show?name=%E5%BD%B9%E5%93%A1%E5%A0%B1%E9%85%AC&amp;start_date=2026-02-01&amp;end_date=2026-02-28&amp;fiscal_year_id=9199054",410000)</f>
        <v>410000</v>
      </c>
      <c r="N7" s="38">
        <f>SUM(B7:M7)</f>
        <v>4920000</v>
      </c>
      <c r="O7" s="33" t="s">
        <v>272</v>
      </c>
    </row>
    <row r="8" spans="1:15" x14ac:dyDescent="0.25">
      <c r="A8" s="10" t="s">
        <v>323</v>
      </c>
      <c r="B8" s="30">
        <f>HYPERLINK("https://secure.freee.co.jp/reports/general_ledgers/show?name=%E6%B3%95%E5%AE%9A%E7%A6%8F%E5%88%A9%E8%B2%BB&amp;start_date=2025-03-01&amp;end_date=2025-03-31&amp;fiscal_year_id=9199054",59450)</f>
        <v>59450</v>
      </c>
      <c r="C8" s="30">
        <f>HYPERLINK("https://secure.freee.co.jp/reports/general_ledgers/show?name=%E6%B3%95%E5%AE%9A%E7%A6%8F%E5%88%A9%E8%B2%BB&amp;start_date=2025-04-01&amp;end_date=2025-04-30&amp;fiscal_year_id=9199054",59307)</f>
        <v>59307</v>
      </c>
      <c r="D8" s="30">
        <f>HYPERLINK("https://secure.freee.co.jp/reports/general_ledgers/show?name=%E6%B3%95%E5%AE%9A%E7%A6%8F%E5%88%A9%E8%B2%BB&amp;start_date=2025-05-01&amp;end_date=2025-05-31&amp;fiscal_year_id=9199054",59307)</f>
        <v>59307</v>
      </c>
      <c r="E8" s="30">
        <f>HYPERLINK("https://secure.freee.co.jp/reports/general_ledgers/show?name=%E6%B3%95%E5%AE%9A%E7%A6%8F%E5%88%A9%E8%B2%BB&amp;start_date=2025-06-01&amp;end_date=2025-06-30&amp;fiscal_year_id=9199054",59307)</f>
        <v>59307</v>
      </c>
      <c r="F8" s="30">
        <f>HYPERLINK("https://secure.freee.co.jp/reports/general_ledgers/show?name=%E6%B3%95%E5%AE%9A%E7%A6%8F%E5%88%A9%E8%B2%BB&amp;start_date=2025-07-01&amp;end_date=2025-07-31&amp;fiscal_year_id=9199054",59307)</f>
        <v>59307</v>
      </c>
      <c r="G8" s="30">
        <f>HYPERLINK("https://secure.freee.co.jp/reports/general_ledgers/show?name=%E6%B3%95%E5%AE%9A%E7%A6%8F%E5%88%A9%E8%B2%BB&amp;start_date=2025-08-01&amp;end_date=2025-08-31&amp;fiscal_year_id=9199054",59307)</f>
        <v>59307</v>
      </c>
      <c r="H8" s="30">
        <f>HYPERLINK("https://secure.freee.co.jp/reports/general_ledgers/show?name=%E6%B3%95%E5%AE%9A%E7%A6%8F%E5%88%A9%E8%B2%BB&amp;start_date=2025-09-01&amp;end_date=2025-09-30&amp;fiscal_year_id=9199054",59507)</f>
        <v>59507</v>
      </c>
      <c r="I8" s="30">
        <f>HYPERLINK("https://secure.freee.co.jp/reports/general_ledgers/show?name=%E6%B3%95%E5%AE%9A%E7%A6%8F%E5%88%A9%E8%B2%BB&amp;start_date=2025-10-01&amp;end_date=2025-10-31&amp;fiscal_year_id=9199054",59307)</f>
        <v>59307</v>
      </c>
      <c r="J8" s="30">
        <f>HYPERLINK("https://secure.freee.co.jp/reports/general_ledgers/show?name=%E6%B3%95%E5%AE%9A%E7%A6%8F%E5%88%A9%E8%B2%BB&amp;start_date=2025-11-01&amp;end_date=2025-11-30&amp;fiscal_year_id=9199054",59307)</f>
        <v>59307</v>
      </c>
      <c r="K8" s="30">
        <f>HYPERLINK("https://secure.freee.co.jp/reports/general_ledgers/show?name=%E6%B3%95%E5%AE%9A%E7%A6%8F%E5%88%A9%E8%B2%BB&amp;start_date=2025-12-01&amp;end_date=2025-12-31&amp;fiscal_year_id=9199054",59607)</f>
        <v>59607</v>
      </c>
      <c r="L8" s="30">
        <f>HYPERLINK("https://secure.freee.co.jp/reports/general_ledgers/show?name=%E6%B3%95%E5%AE%9A%E7%A6%8F%E5%88%A9%E8%B2%BB&amp;start_date=2026-01-01&amp;end_date=2026-01-31&amp;fiscal_year_id=9199054",59307)</f>
        <v>59307</v>
      </c>
      <c r="M8" s="37">
        <f>HYPERLINK("https://secure.freee.co.jp/reports/general_ledgers/show?name=%E6%B3%95%E5%AE%9A%E7%A6%8F%E5%88%A9%E8%B2%BB&amp;start_date=2026-02-01&amp;end_date=2026-02-28&amp;fiscal_year_id=9199054",59307)</f>
        <v>59307</v>
      </c>
      <c r="N8" s="38">
        <f>SUM(B8:M8)</f>
        <v>712327</v>
      </c>
      <c r="O8" s="33" t="s">
        <v>272</v>
      </c>
    </row>
    <row r="9" spans="1:15" x14ac:dyDescent="0.25">
      <c r="A9" s="10" t="s">
        <v>324</v>
      </c>
      <c r="B9" s="30">
        <f>HYPERLINK("https://secure.freee.co.jp/reports/general_ledgers/show?name=%E7%A0%94%E4%BF%AE%E8%B2%BB&amp;start_date=2025-03-01&amp;end_date=2025-03-31&amp;fiscal_year_id=9199054",32600)</f>
        <v>32600</v>
      </c>
      <c r="C9" s="31">
        <f>HYPERLINK("https://secure.freee.co.jp/reports/general_ledgers/show?name=%E7%A0%94%E4%BF%AE%E8%B2%BB&amp;start_date=2025-04-01&amp;end_date=2025-04-30&amp;fiscal_year_id=9199054",118000)</f>
        <v>118000</v>
      </c>
      <c r="D9" s="30">
        <f>HYPERLINK("https://secure.freee.co.jp/reports/general_ledgers/show?name=%E7%A0%94%E4%BF%AE%E8%B2%BB&amp;start_date=2025-05-01&amp;end_date=2025-05-31&amp;fiscal_year_id=9199054",60780)</f>
        <v>60780</v>
      </c>
      <c r="E9" s="30">
        <f>HYPERLINK("https://secure.freee.co.jp/reports/general_ledgers/show?name=%E7%A0%94%E4%BF%AE%E8%B2%BB&amp;start_date=2025-06-01&amp;end_date=2025-06-30&amp;fiscal_year_id=9199054",58580)</f>
        <v>58580</v>
      </c>
      <c r="F9" s="30">
        <f>HYPERLINK("https://secure.freee.co.jp/reports/general_ledgers/show?name=%E7%A0%94%E4%BF%AE%E8%B2%BB&amp;start_date=2025-07-01&amp;end_date=2025-07-31&amp;fiscal_year_id=9199054",78580)</f>
        <v>78580</v>
      </c>
      <c r="G9" s="31">
        <f>HYPERLINK("https://secure.freee.co.jp/reports/general_ledgers/show?name=%E7%A0%94%E4%BF%AE%E8%B2%BB&amp;start_date=2025-08-01&amp;end_date=2025-08-31&amp;fiscal_year_id=9199054",29980)</f>
        <v>29980</v>
      </c>
      <c r="H9" s="30">
        <f>HYPERLINK("https://secure.freee.co.jp/reports/general_ledgers/show?name=%E7%A0%94%E4%BF%AE%E8%B2%BB&amp;start_date=2025-09-01&amp;end_date=2025-09-30&amp;fiscal_year_id=9199054",29980)</f>
        <v>29980</v>
      </c>
      <c r="I9" s="30">
        <f>HYPERLINK("https://secure.freee.co.jp/reports/general_ledgers/show?name=%E7%A0%94%E4%BF%AE%E8%B2%BB&amp;start_date=2025-10-01&amp;end_date=2025-10-31&amp;fiscal_year_id=9199054",29980)</f>
        <v>29980</v>
      </c>
      <c r="J9" s="31">
        <f>HYPERLINK("https://secure.freee.co.jp/reports/general_ledgers/show?name=%E7%A0%94%E4%BF%AE%E8%B2%BB&amp;start_date=2025-11-01&amp;end_date=2025-11-30&amp;fiscal_year_id=9199054",517980)</f>
        <v>517980</v>
      </c>
      <c r="K9" s="30">
        <f>HYPERLINK("https://secure.freee.co.jp/reports/general_ledgers/show?name=%E7%A0%94%E4%BF%AE%E8%B2%BB&amp;start_date=2025-12-01&amp;end_date=2025-12-31&amp;fiscal_year_id=9199054",429980)</f>
        <v>429980</v>
      </c>
      <c r="L9" s="45">
        <v>0</v>
      </c>
      <c r="M9" s="41">
        <v>0</v>
      </c>
      <c r="N9" s="38">
        <f>SUM(B9:M9)</f>
        <v>1386440</v>
      </c>
      <c r="O9" s="33" t="s">
        <v>272</v>
      </c>
    </row>
    <row r="10" spans="1:15" x14ac:dyDescent="0.25">
      <c r="A10" s="10" t="s">
        <v>325</v>
      </c>
      <c r="B10" s="30">
        <f>HYPERLINK("https://secure.freee.co.jp/reports/general_ledgers/show?name=%E5%A4%96%E6%B3%A8%E8%B2%BB&amp;start_date=2025-03-01&amp;end_date=2025-03-31&amp;fiscal_year_id=9199054",85720)</f>
        <v>85720</v>
      </c>
      <c r="C10" s="30">
        <f>HYPERLINK("https://secure.freee.co.jp/reports/general_ledgers/show?name=%E5%A4%96%E6%B3%A8%E8%B2%BB&amp;start_date=2025-04-01&amp;end_date=2025-04-30&amp;fiscal_year_id=9199054",99480)</f>
        <v>99480</v>
      </c>
      <c r="D10" s="31">
        <f>HYPERLINK("https://secure.freee.co.jp/reports/general_ledgers/show?name=%E5%A4%96%E6%B3%A8%E8%B2%BB&amp;start_date=2025-05-01&amp;end_date=2025-05-31&amp;fiscal_year_id=9199054",156680)</f>
        <v>156680</v>
      </c>
      <c r="E10" s="30">
        <f>HYPERLINK("https://secure.freee.co.jp/reports/general_ledgers/show?name=%E5%A4%96%E6%B3%A8%E8%B2%BB&amp;start_date=2025-06-01&amp;end_date=2025-06-30&amp;fiscal_year_id=9199054",90140)</f>
        <v>90140</v>
      </c>
      <c r="F10" s="31">
        <f>HYPERLINK("https://secure.freee.co.jp/reports/general_ledgers/show?name=%E5%A4%96%E6%B3%A8%E8%B2%BB&amp;start_date=2025-07-01&amp;end_date=2025-07-31&amp;fiscal_year_id=9199054",23720)</f>
        <v>23720</v>
      </c>
      <c r="G10" s="45">
        <v>0</v>
      </c>
      <c r="H10" s="30">
        <f>HYPERLINK("https://secure.freee.co.jp/reports/general_ledgers/show?name=%E5%A4%96%E6%B3%A8%E8%B2%BB&amp;start_date=2025-09-01&amp;end_date=2025-09-30&amp;fiscal_year_id=9199054",55000)</f>
        <v>55000</v>
      </c>
      <c r="I10" s="31">
        <f>HYPERLINK("https://secure.freee.co.jp/reports/general_ledgers/show?name=%E5%A4%96%E6%B3%A8%E8%B2%BB&amp;start_date=2025-10-01&amp;end_date=2025-10-31&amp;fiscal_year_id=9199054",127720)</f>
        <v>127720</v>
      </c>
      <c r="J10" s="31">
        <f>HYPERLINK("https://secure.freee.co.jp/reports/general_ledgers/show?name=%E5%A4%96%E6%B3%A8%E8%B2%BB&amp;start_date=2025-11-01&amp;end_date=2025-11-30&amp;fiscal_year_id=9199054",42277)</f>
        <v>42277</v>
      </c>
      <c r="K10" s="31">
        <f>HYPERLINK("https://secure.freee.co.jp/reports/general_ledgers/show?name=%E5%A4%96%E6%B3%A8%E8%B2%BB&amp;start_date=2025-12-01&amp;end_date=2025-12-31&amp;fiscal_year_id=9199054",324820)</f>
        <v>324820</v>
      </c>
      <c r="L10" s="31">
        <f>HYPERLINK("https://secure.freee.co.jp/reports/general_ledgers/show?name=%E5%A4%96%E6%B3%A8%E8%B2%BB&amp;start_date=2026-01-01&amp;end_date=2026-01-31&amp;fiscal_year_id=9199054",136063)</f>
        <v>136063</v>
      </c>
      <c r="M10" s="37">
        <f>HYPERLINK("https://secure.freee.co.jp/reports/general_ledgers/show?name=%E5%A4%96%E6%B3%A8%E8%B2%BB&amp;start_date=2026-02-01&amp;end_date=2026-02-28&amp;fiscal_year_id=9199054",195780)</f>
        <v>195780</v>
      </c>
      <c r="N10" s="38">
        <f>SUM(B10:M10)</f>
        <v>1337400</v>
      </c>
      <c r="O10" s="33" t="s">
        <v>272</v>
      </c>
    </row>
    <row r="11" spans="1:15" x14ac:dyDescent="0.25">
      <c r="A11" s="10" t="s">
        <v>326</v>
      </c>
      <c r="B11" s="30">
        <f>HYPERLINK("https://secure.freee.co.jp/reports/general_ledgers/show?name=%E5%BA%83%E5%91%8A%E5%AE%A3%E4%BC%9D%E8%B2%BB&amp;start_date=2025-03-01&amp;end_date=2025-03-31&amp;fiscal_year_id=9199054",81132)</f>
        <v>81132</v>
      </c>
      <c r="C11" s="31">
        <f>HYPERLINK("https://secure.freee.co.jp/reports/general_ledgers/show?name=%E5%BA%83%E5%91%8A%E5%AE%A3%E4%BC%9D%E8%B2%BB&amp;start_date=2025-04-01&amp;end_date=2025-04-30&amp;fiscal_year_id=9199054",217596)</f>
        <v>217596</v>
      </c>
      <c r="D11" s="31">
        <f>HYPERLINK("https://secure.freee.co.jp/reports/general_ledgers/show?name=%E5%BA%83%E5%91%8A%E5%AE%A3%E4%BC%9D%E8%B2%BB&amp;start_date=2025-05-01&amp;end_date=2025-05-31&amp;fiscal_year_id=9199054",100182)</f>
        <v>100182</v>
      </c>
      <c r="E11" s="30">
        <f>HYPERLINK("https://secure.freee.co.jp/reports/general_ledgers/show?name=%E5%BA%83%E5%91%8A%E5%AE%A3%E4%BC%9D%E8%B2%BB&amp;start_date=2025-06-01&amp;end_date=2025-06-30&amp;fiscal_year_id=9199054",65075)</f>
        <v>65075</v>
      </c>
      <c r="F11" s="30">
        <f>HYPERLINK("https://secure.freee.co.jp/reports/general_ledgers/show?name=%E5%BA%83%E5%91%8A%E5%AE%A3%E4%BC%9D%E8%B2%BB&amp;start_date=2025-07-01&amp;end_date=2025-07-31&amp;fiscal_year_id=9199054",94980)</f>
        <v>94980</v>
      </c>
      <c r="G11" s="31">
        <f>HYPERLINK("https://secure.freee.co.jp/reports/general_ledgers/show?name=%E5%BA%83%E5%91%8A%E5%AE%A3%E4%BC%9D%E8%B2%BB&amp;start_date=2025-08-01&amp;end_date=2025-08-31&amp;fiscal_year_id=9199054",15668)</f>
        <v>15668</v>
      </c>
      <c r="H11" s="31">
        <f>HYPERLINK("https://secure.freee.co.jp/reports/general_ledgers/show?name=%E5%BA%83%E5%91%8A%E5%AE%A3%E4%BC%9D%E8%B2%BB&amp;start_date=2025-09-01&amp;end_date=2025-09-30&amp;fiscal_year_id=9199054",181200)</f>
        <v>181200</v>
      </c>
      <c r="I11" s="30">
        <f>HYPERLINK("https://secure.freee.co.jp/reports/general_ledgers/show?name=%E5%BA%83%E5%91%8A%E5%AE%A3%E4%BC%9D%E8%B2%BB&amp;start_date=2025-10-01&amp;end_date=2025-10-31&amp;fiscal_year_id=9199054",100855)</f>
        <v>100855</v>
      </c>
      <c r="J11" s="30">
        <f>HYPERLINK("https://secure.freee.co.jp/reports/general_ledgers/show?name=%E5%BA%83%E5%91%8A%E5%AE%A3%E4%BC%9D%E8%B2%BB&amp;start_date=2025-11-01&amp;end_date=2025-11-30&amp;fiscal_year_id=9199054",84303)</f>
        <v>84303</v>
      </c>
      <c r="K11" s="31">
        <f>HYPERLINK("https://secure.freee.co.jp/reports/general_ledgers/show?name=%E5%BA%83%E5%91%8A%E5%AE%A3%E4%BC%9D%E8%B2%BB&amp;start_date=2025-12-01&amp;end_date=2025-12-31&amp;fiscal_year_id=9199054",137850)</f>
        <v>137850</v>
      </c>
      <c r="L11" s="30">
        <f>HYPERLINK("https://secure.freee.co.jp/reports/general_ledgers/show?name=%E5%BA%83%E5%91%8A%E5%AE%A3%E4%BC%9D%E8%B2%BB&amp;start_date=2026-01-01&amp;end_date=2026-01-31&amp;fiscal_year_id=9199054",194492)</f>
        <v>194492</v>
      </c>
      <c r="M11" s="37">
        <f>HYPERLINK("https://secure.freee.co.jp/reports/general_ledgers/show?name=%E5%BA%83%E5%91%8A%E5%AE%A3%E4%BC%9D%E8%B2%BB&amp;start_date=2026-02-01&amp;end_date=2026-02-28&amp;fiscal_year_id=9199054",233971)</f>
        <v>233971</v>
      </c>
      <c r="N11" s="38">
        <f>SUM(B11:M11)</f>
        <v>1507304</v>
      </c>
      <c r="O11" s="33" t="s">
        <v>272</v>
      </c>
    </row>
    <row r="12" spans="1:15" x14ac:dyDescent="0.25">
      <c r="A12" s="10" t="s">
        <v>327</v>
      </c>
      <c r="B12" s="30">
        <f>HYPERLINK("https://secure.freee.co.jp/reports/general_ledgers/show?name=%E4%BA%A4%E9%9A%9B%E8%B2%BB&amp;start_date=2025-03-01&amp;end_date=2025-03-31&amp;fiscal_year_id=9199054",42728)</f>
        <v>42728</v>
      </c>
      <c r="C12" s="31">
        <f>HYPERLINK("https://secure.freee.co.jp/reports/general_ledgers/show?name=%E4%BA%A4%E9%9A%9B%E8%B2%BB&amp;start_date=2025-04-01&amp;end_date=2025-04-30&amp;fiscal_year_id=9199054",5109)</f>
        <v>5109</v>
      </c>
      <c r="D12" s="31">
        <f>HYPERLINK("https://secure.freee.co.jp/reports/general_ledgers/show?name=%E4%BA%A4%E9%9A%9B%E8%B2%BB&amp;start_date=2025-05-01&amp;end_date=2025-05-31&amp;fiscal_year_id=9199054",27090)</f>
        <v>27090</v>
      </c>
      <c r="E12" s="30">
        <f>HYPERLINK("https://secure.freee.co.jp/reports/general_ledgers/show?name=%E4%BA%A4%E9%9A%9B%E8%B2%BB&amp;start_date=2025-06-01&amp;end_date=2025-06-30&amp;fiscal_year_id=9199054",21302)</f>
        <v>21302</v>
      </c>
      <c r="F12" s="31">
        <f>HYPERLINK("https://secure.freee.co.jp/reports/general_ledgers/show?name=%E4%BA%A4%E9%9A%9B%E8%B2%BB&amp;start_date=2025-07-01&amp;end_date=2025-07-31&amp;fiscal_year_id=9199054",60859)</f>
        <v>60859</v>
      </c>
      <c r="G12" s="30">
        <f>HYPERLINK("https://secure.freee.co.jp/reports/general_ledgers/show?name=%E4%BA%A4%E9%9A%9B%E8%B2%BB&amp;start_date=2025-08-01&amp;end_date=2025-08-31&amp;fiscal_year_id=9199054",70610)</f>
        <v>70610</v>
      </c>
      <c r="H12" s="31">
        <f>HYPERLINK("https://secure.freee.co.jp/reports/general_ledgers/show?name=%E4%BA%A4%E9%9A%9B%E8%B2%BB&amp;start_date=2025-09-01&amp;end_date=2025-09-30&amp;fiscal_year_id=9199054",29929)</f>
        <v>29929</v>
      </c>
      <c r="I12" s="30">
        <f>HYPERLINK("https://secure.freee.co.jp/reports/general_ledgers/show?name=%E4%BA%A4%E9%9A%9B%E8%B2%BB&amp;start_date=2025-10-01&amp;end_date=2025-10-31&amp;fiscal_year_id=9199054",24924)</f>
        <v>24924</v>
      </c>
      <c r="J12" s="30">
        <f>HYPERLINK("https://secure.freee.co.jp/reports/general_ledgers/show?name=%E4%BA%A4%E9%9A%9B%E8%B2%BB&amp;start_date=2025-11-01&amp;end_date=2025-11-30&amp;fiscal_year_id=9199054",22963)</f>
        <v>22963</v>
      </c>
      <c r="K12" s="31">
        <f>HYPERLINK("https://secure.freee.co.jp/reports/general_ledgers/show?name=%E4%BA%A4%E9%9A%9B%E8%B2%BB&amp;start_date=2025-12-01&amp;end_date=2025-12-31&amp;fiscal_year_id=9199054",52529)</f>
        <v>52529</v>
      </c>
      <c r="L12" s="30">
        <f>HYPERLINK("https://secure.freee.co.jp/reports/general_ledgers/show?name=%E4%BA%A4%E9%9A%9B%E8%B2%BB&amp;start_date=2026-01-01&amp;end_date=2026-01-31&amp;fiscal_year_id=9199054",61200)</f>
        <v>61200</v>
      </c>
      <c r="M12" s="31">
        <f>HYPERLINK("https://secure.freee.co.jp/reports/general_ledgers/show?name=%E4%BA%A4%E9%9A%9B%E8%B2%BB&amp;start_date=2026-02-01&amp;end_date=2026-02-28&amp;fiscal_year_id=9199054",11320)</f>
        <v>11320</v>
      </c>
      <c r="N12" s="38">
        <f>SUM(B12:M12)</f>
        <v>430563</v>
      </c>
      <c r="O12" s="33" t="s">
        <v>272</v>
      </c>
    </row>
    <row r="13" spans="1:15" x14ac:dyDescent="0.25">
      <c r="A13" s="10" t="s">
        <v>328</v>
      </c>
      <c r="B13" s="30">
        <f>HYPERLINK("https://secure.freee.co.jp/reports/general_ledgers/show?name=%E4%BC%9A%E8%AD%B0%E8%B2%BB&amp;start_date=2025-03-01&amp;end_date=2025-03-31&amp;fiscal_year_id=9199054",12752)</f>
        <v>12752</v>
      </c>
      <c r="C13" s="30">
        <f>HYPERLINK("https://secure.freee.co.jp/reports/general_ledgers/show?name=%E4%BC%9A%E8%AD%B0%E8%B2%BB&amp;start_date=2025-04-01&amp;end_date=2025-04-30&amp;fiscal_year_id=9199054",7565)</f>
        <v>7565</v>
      </c>
      <c r="D13" s="31">
        <f>HYPERLINK("https://secure.freee.co.jp/reports/general_ledgers/show?name=%E4%BC%9A%E8%AD%B0%E8%B2%BB&amp;start_date=2025-05-01&amp;end_date=2025-05-31&amp;fiscal_year_id=9199054",15820)</f>
        <v>15820</v>
      </c>
      <c r="E13" s="31">
        <f>HYPERLINK("https://secure.freee.co.jp/reports/general_ledgers/show?name=%E4%BC%9A%E8%AD%B0%E8%B2%BB&amp;start_date=2025-06-01&amp;end_date=2025-06-30&amp;fiscal_year_id=9199054",44412)</f>
        <v>44412</v>
      </c>
      <c r="F13" s="30">
        <f>HYPERLINK("https://secure.freee.co.jp/reports/general_ledgers/show?name=%E4%BC%9A%E8%AD%B0%E8%B2%BB&amp;start_date=2025-07-01&amp;end_date=2025-07-31&amp;fiscal_year_id=9199054",37206)</f>
        <v>37206</v>
      </c>
      <c r="G13" s="31">
        <f>HYPERLINK("https://secure.freee.co.jp/reports/general_ledgers/show?name=%E4%BC%9A%E8%AD%B0%E8%B2%BB&amp;start_date=2025-08-01&amp;end_date=2025-08-31&amp;fiscal_year_id=9199054",15611)</f>
        <v>15611</v>
      </c>
      <c r="H13" s="30">
        <f>HYPERLINK("https://secure.freee.co.jp/reports/general_ledgers/show?name=%E4%BC%9A%E8%AD%B0%E8%B2%BB&amp;start_date=2025-09-01&amp;end_date=2025-09-30&amp;fiscal_year_id=9199054",21170)</f>
        <v>21170</v>
      </c>
      <c r="I13" s="30">
        <f>HYPERLINK("https://secure.freee.co.jp/reports/general_ledgers/show?name=%E4%BC%9A%E8%AD%B0%E8%B2%BB&amp;start_date=2025-10-01&amp;end_date=2025-10-31&amp;fiscal_year_id=9199054",29015)</f>
        <v>29015</v>
      </c>
      <c r="J13" s="31">
        <f>HYPERLINK("https://secure.freee.co.jp/reports/general_ledgers/show?name=%E4%BC%9A%E8%AD%B0%E8%B2%BB&amp;start_date=2025-11-01&amp;end_date=2025-11-30&amp;fiscal_year_id=9199054",55501)</f>
        <v>55501</v>
      </c>
      <c r="K13" s="31">
        <f>HYPERLINK("https://secure.freee.co.jp/reports/general_ledgers/show?name=%E4%BC%9A%E8%AD%B0%E8%B2%BB&amp;start_date=2025-12-01&amp;end_date=2025-12-31&amp;fiscal_year_id=9199054",19250)</f>
        <v>19250</v>
      </c>
      <c r="L13" s="30">
        <f>HYPERLINK("https://secure.freee.co.jp/reports/general_ledgers/show?name=%E4%BC%9A%E8%AD%B0%E8%B2%BB&amp;start_date=2026-01-01&amp;end_date=2026-01-31&amp;fiscal_year_id=9199054",14619)</f>
        <v>14619</v>
      </c>
      <c r="M13" s="31">
        <f>HYPERLINK("https://secure.freee.co.jp/reports/general_ledgers/show?name=%E4%BC%9A%E8%AD%B0%E8%B2%BB&amp;start_date=2026-02-01&amp;end_date=2026-02-28&amp;fiscal_year_id=9199054",75089)</f>
        <v>75089</v>
      </c>
      <c r="N13" s="38">
        <f>SUM(B13:M13)</f>
        <v>348010</v>
      </c>
      <c r="O13" s="33" t="s">
        <v>272</v>
      </c>
    </row>
    <row r="14" spans="1:15" x14ac:dyDescent="0.25">
      <c r="A14" s="10" t="s">
        <v>329</v>
      </c>
      <c r="B14" s="30">
        <f>HYPERLINK("https://secure.freee.co.jp/reports/general_ledgers/show?name=%E6%97%85%E8%B2%BB%E4%BA%A4%E9%80%9A%E8%B2%BB&amp;start_date=2025-03-01&amp;end_date=2025-03-31&amp;fiscal_year_id=9199054",135897)</f>
        <v>135897</v>
      </c>
      <c r="C14" s="31">
        <f>HYPERLINK("https://secure.freee.co.jp/reports/general_ledgers/show?name=%E6%97%85%E8%B2%BB%E4%BA%A4%E9%80%9A%E8%B2%BB&amp;start_date=2025-04-01&amp;end_date=2025-04-30&amp;fiscal_year_id=9199054",50583)</f>
        <v>50583</v>
      </c>
      <c r="D14" s="31">
        <f>HYPERLINK("https://secure.freee.co.jp/reports/general_ledgers/show?name=%E6%97%85%E8%B2%BB%E4%BA%A4%E9%80%9A%E8%B2%BB&amp;start_date=2025-05-01&amp;end_date=2025-05-31&amp;fiscal_year_id=9199054",319096)</f>
        <v>319096</v>
      </c>
      <c r="E14" s="31">
        <f>HYPERLINK("https://secure.freee.co.jp/reports/general_ledgers/show?name=%E6%97%85%E8%B2%BB%E4%BA%A4%E9%80%9A%E8%B2%BB&amp;start_date=2025-06-01&amp;end_date=2025-06-30&amp;fiscal_year_id=9199054",17800)</f>
        <v>17800</v>
      </c>
      <c r="F14" s="30">
        <f>HYPERLINK("https://secure.freee.co.jp/reports/general_ledgers/show?name=%E6%97%85%E8%B2%BB%E4%BA%A4%E9%80%9A%E8%B2%BB&amp;start_date=2025-07-01&amp;end_date=2025-07-31&amp;fiscal_year_id=9199054",25609)</f>
        <v>25609</v>
      </c>
      <c r="G14" s="30">
        <f>HYPERLINK("https://secure.freee.co.jp/reports/general_ledgers/show?name=%E6%97%85%E8%B2%BB%E4%BA%A4%E9%80%9A%E8%B2%BB&amp;start_date=2025-08-01&amp;end_date=2025-08-31&amp;fiscal_year_id=9199054",29917)</f>
        <v>29917</v>
      </c>
      <c r="H14" s="31">
        <f>HYPERLINK("https://secure.freee.co.jp/reports/general_ledgers/show?name=%E6%97%85%E8%B2%BB%E4%BA%A4%E9%80%9A%E8%B2%BB&amp;start_date=2025-09-01&amp;end_date=2025-09-30&amp;fiscal_year_id=9199054",83434)</f>
        <v>83434</v>
      </c>
      <c r="I14" s="30">
        <f>HYPERLINK("https://secure.freee.co.jp/reports/general_ledgers/show?name=%E6%97%85%E8%B2%BB%E4%BA%A4%E9%80%9A%E8%B2%BB&amp;start_date=2025-10-01&amp;end_date=2025-10-31&amp;fiscal_year_id=9199054",70575)</f>
        <v>70575</v>
      </c>
      <c r="J14" s="30">
        <f>HYPERLINK("https://secure.freee.co.jp/reports/general_ledgers/show?name=%E6%97%85%E8%B2%BB%E4%BA%A4%E9%80%9A%E8%B2%BB&amp;start_date=2025-11-01&amp;end_date=2025-11-30&amp;fiscal_year_id=9199054",63889)</f>
        <v>63889</v>
      </c>
      <c r="K14" s="30">
        <f>HYPERLINK("https://secure.freee.co.jp/reports/general_ledgers/show?name=%E6%97%85%E8%B2%BB%E4%BA%A4%E9%80%9A%E8%B2%BB&amp;start_date=2025-12-01&amp;end_date=2025-12-31&amp;fiscal_year_id=9199054",93097)</f>
        <v>93097</v>
      </c>
      <c r="L14" s="30">
        <f>HYPERLINK("https://secure.freee.co.jp/reports/general_ledgers/show?name=%E6%97%85%E8%B2%BB%E4%BA%A4%E9%80%9A%E8%B2%BB&amp;start_date=2026-01-01&amp;end_date=2026-01-31&amp;fiscal_year_id=9199054",76507)</f>
        <v>76507</v>
      </c>
      <c r="M14" s="37">
        <f>HYPERLINK("https://secure.freee.co.jp/reports/general_ledgers/show?name=%E6%97%85%E8%B2%BB%E4%BA%A4%E9%80%9A%E8%B2%BB&amp;start_date=2026-02-01&amp;end_date=2026-02-28&amp;fiscal_year_id=9199054",82920)</f>
        <v>82920</v>
      </c>
      <c r="N14" s="38">
        <f>SUM(B14:M14)</f>
        <v>1049324</v>
      </c>
      <c r="O14" s="33" t="s">
        <v>272</v>
      </c>
    </row>
    <row r="15" spans="1:15" x14ac:dyDescent="0.25">
      <c r="A15" s="10" t="s">
        <v>330</v>
      </c>
      <c r="B15" s="30">
        <f>HYPERLINK("https://secure.freee.co.jp/reports/general_ledgers/show?name=%E9%80%9A%E4%BF%A1%E8%B2%BB&amp;start_date=2025-03-01&amp;end_date=2025-03-31&amp;fiscal_year_id=9199054",6135)</f>
        <v>6135</v>
      </c>
      <c r="C15" s="31">
        <f>HYPERLINK("https://secure.freee.co.jp/reports/general_ledgers/show?name=%E9%80%9A%E4%BF%A1%E8%B2%BB&amp;start_date=2025-04-01&amp;end_date=2025-04-30&amp;fiscal_year_id=9199054",17430)</f>
        <v>17430</v>
      </c>
      <c r="D15" s="30">
        <f>HYPERLINK("https://secure.freee.co.jp/reports/general_ledgers/show?name=%E9%80%9A%E4%BF%A1%E8%B2%BB&amp;start_date=2025-05-01&amp;end_date=2025-05-31&amp;fiscal_year_id=9199054",18650)</f>
        <v>18650</v>
      </c>
      <c r="E15" s="31">
        <f>HYPERLINK("https://secure.freee.co.jp/reports/general_ledgers/show?name=%E9%80%9A%E4%BF%A1%E8%B2%BB&amp;start_date=2025-06-01&amp;end_date=2025-06-30&amp;fiscal_year_id=9199054",67498)</f>
        <v>67498</v>
      </c>
      <c r="F15" s="31">
        <f>HYPERLINK("https://secure.freee.co.jp/reports/general_ledgers/show?name=%E9%80%9A%E4%BF%A1%E8%B2%BB&amp;start_date=2025-07-01&amp;end_date=2025-07-31&amp;fiscal_year_id=9199054",17111)</f>
        <v>17111</v>
      </c>
      <c r="G15" s="30">
        <f>HYPERLINK("https://secure.freee.co.jp/reports/general_ledgers/show?name=%E9%80%9A%E4%BF%A1%E8%B2%BB&amp;start_date=2025-08-01&amp;end_date=2025-08-31&amp;fiscal_year_id=9199054",25623)</f>
        <v>25623</v>
      </c>
      <c r="H15" s="30">
        <f>HYPERLINK("https://secure.freee.co.jp/reports/general_ledgers/show?name=%E9%80%9A%E4%BF%A1%E8%B2%BB&amp;start_date=2025-09-01&amp;end_date=2025-09-30&amp;fiscal_year_id=9199054",16882)</f>
        <v>16882</v>
      </c>
      <c r="I15" s="30">
        <f>HYPERLINK("https://secure.freee.co.jp/reports/general_ledgers/show?name=%E9%80%9A%E4%BF%A1%E8%B2%BB&amp;start_date=2025-10-01&amp;end_date=2025-10-31&amp;fiscal_year_id=9199054",17970)</f>
        <v>17970</v>
      </c>
      <c r="J15" s="30">
        <f>HYPERLINK("https://secure.freee.co.jp/reports/general_ledgers/show?name=%E9%80%9A%E4%BF%A1%E8%B2%BB&amp;start_date=2025-11-01&amp;end_date=2025-11-30&amp;fiscal_year_id=9199054",16407)</f>
        <v>16407</v>
      </c>
      <c r="K15" s="30">
        <f>HYPERLINK("https://secure.freee.co.jp/reports/general_ledgers/show?name=%E9%80%9A%E4%BF%A1%E8%B2%BB&amp;start_date=2025-12-01&amp;end_date=2025-12-31&amp;fiscal_year_id=9199054",16328)</f>
        <v>16328</v>
      </c>
      <c r="L15" s="30">
        <f>HYPERLINK("https://secure.freee.co.jp/reports/general_ledgers/show?name=%E9%80%9A%E4%BF%A1%E8%B2%BB&amp;start_date=2026-01-01&amp;end_date=2026-01-31&amp;fiscal_year_id=9199054",22189)</f>
        <v>22189</v>
      </c>
      <c r="M15" s="37">
        <f>HYPERLINK("https://secure.freee.co.jp/reports/general_ledgers/show?name=%E9%80%9A%E4%BF%A1%E8%B2%BB&amp;start_date=2026-02-01&amp;end_date=2026-02-28&amp;fiscal_year_id=9199054",18291)</f>
        <v>18291</v>
      </c>
      <c r="N15" s="38">
        <f>SUM(B15:M15)</f>
        <v>260514</v>
      </c>
      <c r="O15" s="33" t="s">
        <v>272</v>
      </c>
    </row>
    <row r="16" spans="1:15" x14ac:dyDescent="0.25">
      <c r="A16" s="10" t="s">
        <v>331</v>
      </c>
      <c r="B16" s="30">
        <f>HYPERLINK("https://secure.freee.co.jp/reports/general_ledgers/show?name=%E6%B6%88%E8%80%97%E5%93%81%E8%B2%BB&amp;start_date=2025-03-01&amp;end_date=2025-03-31&amp;fiscal_year_id=9199054",86388)</f>
        <v>86388</v>
      </c>
      <c r="C16" s="30">
        <f>HYPERLINK("https://secure.freee.co.jp/reports/general_ledgers/show?name=%E6%B6%88%E8%80%97%E5%93%81%E8%B2%BB&amp;start_date=2025-04-01&amp;end_date=2025-04-30&amp;fiscal_year_id=9199054",121824)</f>
        <v>121824</v>
      </c>
      <c r="D16" s="30">
        <f>HYPERLINK("https://secure.freee.co.jp/reports/general_ledgers/show?name=%E6%B6%88%E8%80%97%E5%93%81%E8%B2%BB&amp;start_date=2025-05-01&amp;end_date=2025-05-31&amp;fiscal_year_id=9199054",89382)</f>
        <v>89382</v>
      </c>
      <c r="E16" s="30">
        <f>HYPERLINK("https://secure.freee.co.jp/reports/general_ledgers/show?name=%E6%B6%88%E8%80%97%E5%93%81%E8%B2%BB&amp;start_date=2025-06-01&amp;end_date=2025-06-30&amp;fiscal_year_id=9199054",87701)</f>
        <v>87701</v>
      </c>
      <c r="F16" s="31">
        <f>HYPERLINK("https://secure.freee.co.jp/reports/general_ledgers/show?name=%E6%B6%88%E8%80%97%E5%93%81%E8%B2%BB&amp;start_date=2025-07-01&amp;end_date=2025-07-31&amp;fiscal_year_id=9199054",40066)</f>
        <v>40066</v>
      </c>
      <c r="G16" s="31">
        <f>HYPERLINK("https://secure.freee.co.jp/reports/general_ledgers/show?name=%E6%B6%88%E8%80%97%E5%93%81%E8%B2%BB&amp;start_date=2025-08-01&amp;end_date=2025-08-31&amp;fiscal_year_id=9199054",95985)</f>
        <v>95985</v>
      </c>
      <c r="H16" s="31">
        <f>HYPERLINK("https://secure.freee.co.jp/reports/general_ledgers/show?name=%E6%B6%88%E8%80%97%E5%93%81%E8%B2%BB&amp;start_date=2025-09-01&amp;end_date=2025-09-30&amp;fiscal_year_id=9199054",35613)</f>
        <v>35613</v>
      </c>
      <c r="I16" s="31">
        <f>HYPERLINK("https://secure.freee.co.jp/reports/general_ledgers/show?name=%E6%B6%88%E8%80%97%E5%93%81%E8%B2%BB&amp;start_date=2025-10-01&amp;end_date=2025-10-31&amp;fiscal_year_id=9199054",63213)</f>
        <v>63213</v>
      </c>
      <c r="J16" s="30">
        <f>HYPERLINK("https://secure.freee.co.jp/reports/general_ledgers/show?name=%E6%B6%88%E8%80%97%E5%93%81%E8%B2%BB&amp;start_date=2025-11-01&amp;end_date=2025-11-30&amp;fiscal_year_id=9199054",51552)</f>
        <v>51552</v>
      </c>
      <c r="K16" s="30">
        <f>HYPERLINK("https://secure.freee.co.jp/reports/general_ledgers/show?name=%E6%B6%88%E8%80%97%E5%93%81%E8%B2%BB&amp;start_date=2025-12-01&amp;end_date=2025-12-31&amp;fiscal_year_id=9199054",74007)</f>
        <v>74007</v>
      </c>
      <c r="L16" s="31">
        <f>HYPERLINK("https://secure.freee.co.jp/reports/general_ledgers/show?name=%E6%B6%88%E8%80%97%E5%93%81%E8%B2%BB&amp;start_date=2026-01-01&amp;end_date=2026-01-31&amp;fiscal_year_id=9199054",29055)</f>
        <v>29055</v>
      </c>
      <c r="M16" s="37">
        <f>HYPERLINK("https://secure.freee.co.jp/reports/general_ledgers/show?name=%E6%B6%88%E8%80%97%E5%93%81%E8%B2%BB&amp;start_date=2026-02-01&amp;end_date=2026-02-28&amp;fiscal_year_id=9199054",43327)</f>
        <v>43327</v>
      </c>
      <c r="N16" s="38">
        <f>SUM(B16:M16)</f>
        <v>818113</v>
      </c>
      <c r="O16" s="33" t="s">
        <v>272</v>
      </c>
    </row>
    <row r="17" spans="1:15" x14ac:dyDescent="0.25">
      <c r="A17" s="10" t="s">
        <v>332</v>
      </c>
      <c r="B17" s="40">
        <v>0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37">
        <f>HYPERLINK("https://secure.freee.co.jp/reports/general_ledgers/show?name=%E4%BF%AE%E7%B9%95%E8%B2%BB&amp;start_date=2026-02-01&amp;end_date=2026-02-28&amp;fiscal_year_id=9199054",3980)</f>
        <v>3980</v>
      </c>
      <c r="N17" s="38">
        <f>SUM(B17:M17)</f>
        <v>3980</v>
      </c>
      <c r="O17" s="33" t="s">
        <v>272</v>
      </c>
    </row>
    <row r="18" spans="1:15" x14ac:dyDescent="0.25">
      <c r="A18" s="10" t="s">
        <v>333</v>
      </c>
      <c r="B18" s="30">
        <f>HYPERLINK("https://secure.freee.co.jp/reports/general_ledgers/show?name=%E6%B0%B4%E9%81%93%E5%85%89%E7%86%B1%E8%B2%BB&amp;start_date=2025-03-01&amp;end_date=2025-03-31&amp;fiscal_year_id=9199054",16712)</f>
        <v>16712</v>
      </c>
      <c r="C18" s="45">
        <v>0</v>
      </c>
      <c r="D18" s="40">
        <v>0</v>
      </c>
      <c r="E18" s="30">
        <f>HYPERLINK("https://secure.freee.co.jp/reports/general_ledgers/show?name=%E6%B0%B4%E9%81%93%E5%85%89%E7%86%B1%E8%B2%BB&amp;start_date=2025-06-01&amp;end_date=2025-06-30&amp;fiscal_year_id=9199054",5642)</f>
        <v>5642</v>
      </c>
      <c r="F18" s="31">
        <f>HYPERLINK("https://secure.freee.co.jp/reports/general_ledgers/show?name=%E6%B0%B4%E9%81%93%E5%85%89%E7%86%B1%E8%B2%BB&amp;start_date=2025-07-01&amp;end_date=2025-07-31&amp;fiscal_year_id=9199054",9256)</f>
        <v>9256</v>
      </c>
      <c r="G18" s="45">
        <v>0</v>
      </c>
      <c r="H18" s="30">
        <f>HYPERLINK("https://secure.freee.co.jp/reports/general_ledgers/show?name=%E6%B0%B4%E9%81%93%E5%85%89%E7%86%B1%E8%B2%BB&amp;start_date=2025-09-01&amp;end_date=2025-09-30&amp;fiscal_year_id=9199054",24102)</f>
        <v>24102</v>
      </c>
      <c r="I18" s="45">
        <v>0</v>
      </c>
      <c r="J18" s="30">
        <f>HYPERLINK("https://secure.freee.co.jp/reports/general_ledgers/show?name=%E6%B0%B4%E9%81%93%E5%85%89%E7%86%B1%E8%B2%BB&amp;start_date=2025-11-01&amp;end_date=2025-11-30&amp;fiscal_year_id=9199054",24543)</f>
        <v>24543</v>
      </c>
      <c r="K18" s="31">
        <f>HYPERLINK("https://secure.freee.co.jp/reports/general_ledgers/show?name=%E6%B0%B4%E9%81%93%E5%85%89%E7%86%B1%E8%B2%BB&amp;start_date=2025-12-01&amp;end_date=2025-12-31&amp;fiscal_year_id=9199054",38970)</f>
        <v>38970</v>
      </c>
      <c r="L18" s="31">
        <f>HYPERLINK("https://secure.freee.co.jp/reports/general_ledgers/show?name=%E6%B0%B4%E9%81%93%E5%85%89%E7%86%B1%E8%B2%BB&amp;start_date=2026-01-01&amp;end_date=2026-01-31&amp;fiscal_year_id=9199054",12649)</f>
        <v>12649</v>
      </c>
      <c r="M18" s="31">
        <f>HYPERLINK("https://secure.freee.co.jp/reports/general_ledgers/show?name=%E6%B0%B4%E9%81%93%E5%85%89%E7%86%B1%E8%B2%BB&amp;start_date=2026-02-01&amp;end_date=2026-02-28&amp;fiscal_year_id=9199054",34285)</f>
        <v>34285</v>
      </c>
      <c r="N18" s="38">
        <f>SUM(B18:M18)</f>
        <v>166159</v>
      </c>
      <c r="O18" s="33" t="s">
        <v>272</v>
      </c>
    </row>
    <row r="19" spans="1:15" x14ac:dyDescent="0.25">
      <c r="A19" s="10" t="s">
        <v>334</v>
      </c>
      <c r="B19" s="30">
        <f>HYPERLINK("https://secure.freee.co.jp/reports/general_ledgers/show?name=%E6%96%B0%E8%81%9E%E5%9B%B3%E6%9B%B8%E8%B2%BB&amp;start_date=2025-03-01&amp;end_date=2025-03-31&amp;fiscal_year_id=9199054",2949)</f>
        <v>2949</v>
      </c>
      <c r="C19" s="31">
        <f>HYPERLINK("https://secure.freee.co.jp/reports/general_ledgers/show?name=%E6%96%B0%E8%81%9E%E5%9B%B3%E6%9B%B8%E8%B2%BB&amp;start_date=2025-04-01&amp;end_date=2025-04-30&amp;fiscal_year_id=9199054",11)</f>
        <v>11</v>
      </c>
      <c r="D19" s="45">
        <v>0</v>
      </c>
      <c r="E19" s="30">
        <f>HYPERLINK("https://secure.freee.co.jp/reports/general_ledgers/show?name=%E6%96%B0%E8%81%9E%E5%9B%B3%E6%9B%B8%E8%B2%BB&amp;start_date=2025-06-01&amp;end_date=2025-06-30&amp;fiscal_year_id=9199054",2238)</f>
        <v>2238</v>
      </c>
      <c r="F19" s="31">
        <f>HYPERLINK("https://secure.freee.co.jp/reports/general_ledgers/show?name=%E6%96%B0%E8%81%9E%E5%9B%B3%E6%9B%B8%E8%B2%BB&amp;start_date=2025-07-01&amp;end_date=2025-07-31&amp;fiscal_year_id=9199054",11045)</f>
        <v>11045</v>
      </c>
      <c r="G19" s="30">
        <f>HYPERLINK("https://secure.freee.co.jp/reports/general_ledgers/show?name=%E6%96%B0%E8%81%9E%E5%9B%B3%E6%9B%B8%E8%B2%BB&amp;start_date=2025-08-01&amp;end_date=2025-08-31&amp;fiscal_year_id=9199054",8280)</f>
        <v>8280</v>
      </c>
      <c r="H19" s="45">
        <v>0</v>
      </c>
      <c r="I19" s="30">
        <f>HYPERLINK("https://secure.freee.co.jp/reports/general_ledgers/show?name=%E6%96%B0%E8%81%9E%E5%9B%B3%E6%9B%B8%E8%B2%BB&amp;start_date=2025-10-01&amp;end_date=2025-10-31&amp;fiscal_year_id=9199054",3500)</f>
        <v>3500</v>
      </c>
      <c r="J19" s="45">
        <v>0</v>
      </c>
      <c r="K19" s="30">
        <f>HYPERLINK("https://secure.freee.co.jp/reports/general_ledgers/show?name=%E6%96%B0%E8%81%9E%E5%9B%B3%E6%9B%B8%E8%B2%BB&amp;start_date=2025-12-01&amp;end_date=2025-12-31&amp;fiscal_year_id=9199054",980)</f>
        <v>980</v>
      </c>
      <c r="L19" s="45">
        <v>0</v>
      </c>
      <c r="M19" s="41">
        <v>0</v>
      </c>
      <c r="N19" s="38">
        <f>SUM(B19:M19)</f>
        <v>29003</v>
      </c>
      <c r="O19" s="33" t="s">
        <v>272</v>
      </c>
    </row>
    <row r="20" spans="1:15" x14ac:dyDescent="0.25">
      <c r="A20" s="10" t="s">
        <v>335</v>
      </c>
      <c r="B20" s="30">
        <f>HYPERLINK("https://secure.freee.co.jp/reports/general_ledgers/show?name=%E6%94%AF%E6%89%95%E6%89%8B%E6%95%B0%E6%96%99&amp;start_date=2025-03-01&amp;end_date=2025-03-31&amp;fiscal_year_id=9199054",36906)</f>
        <v>36906</v>
      </c>
      <c r="C20" s="30">
        <f>HYPERLINK("https://secure.freee.co.jp/reports/general_ledgers/show?name=%E6%94%AF%E6%89%95%E6%89%8B%E6%95%B0%E6%96%99&amp;start_date=2025-04-01&amp;end_date=2025-04-30&amp;fiscal_year_id=9199054",39759)</f>
        <v>39759</v>
      </c>
      <c r="D20" s="31">
        <f>HYPERLINK("https://secure.freee.co.jp/reports/general_ledgers/show?name=%E6%94%AF%E6%89%95%E6%89%8B%E6%95%B0%E6%96%99&amp;start_date=2025-05-01&amp;end_date=2025-05-31&amp;fiscal_year_id=9199054",193872)</f>
        <v>193872</v>
      </c>
      <c r="E20" s="31">
        <f>HYPERLINK("https://secure.freee.co.jp/reports/general_ledgers/show?name=%E6%94%AF%E6%89%95%E6%89%8B%E6%95%B0%E6%96%99&amp;start_date=2025-06-01&amp;end_date=2025-06-30&amp;fiscal_year_id=9199054",40156)</f>
        <v>40156</v>
      </c>
      <c r="F20" s="30">
        <f>HYPERLINK("https://secure.freee.co.jp/reports/general_ledgers/show?name=%E6%94%AF%E6%89%95%E6%89%8B%E6%95%B0%E6%96%99&amp;start_date=2025-07-01&amp;end_date=2025-07-31&amp;fiscal_year_id=9199054",35191)</f>
        <v>35191</v>
      </c>
      <c r="G20" s="30">
        <f>HYPERLINK("https://secure.freee.co.jp/reports/general_ledgers/show?name=%E6%94%AF%E6%89%95%E6%89%8B%E6%95%B0%E6%96%99&amp;start_date=2025-08-01&amp;end_date=2025-08-31&amp;fiscal_year_id=9199054",26600)</f>
        <v>26600</v>
      </c>
      <c r="H20" s="31">
        <f>HYPERLINK("https://secure.freee.co.jp/reports/general_ledgers/show?name=%E6%94%AF%E6%89%95%E6%89%8B%E6%95%B0%E6%96%99&amp;start_date=2025-09-01&amp;end_date=2025-09-30&amp;fiscal_year_id=9199054",51855)</f>
        <v>51855</v>
      </c>
      <c r="I20" s="30">
        <f>HYPERLINK("https://secure.freee.co.jp/reports/general_ledgers/show?name=%E6%94%AF%E6%89%95%E6%89%8B%E6%95%B0%E6%96%99&amp;start_date=2025-10-01&amp;end_date=2025-10-31&amp;fiscal_year_id=9199054",31557)</f>
        <v>31557</v>
      </c>
      <c r="J20" s="30">
        <f>HYPERLINK("https://secure.freee.co.jp/reports/general_ledgers/show?name=%E6%94%AF%E6%89%95%E6%89%8B%E6%95%B0%E6%96%99&amp;start_date=2025-11-01&amp;end_date=2025-11-30&amp;fiscal_year_id=9199054",33244)</f>
        <v>33244</v>
      </c>
      <c r="K20" s="30">
        <f>HYPERLINK("https://secure.freee.co.jp/reports/general_ledgers/show?name=%E6%94%AF%E6%89%95%E6%89%8B%E6%95%B0%E6%96%99&amp;start_date=2025-12-01&amp;end_date=2025-12-31&amp;fiscal_year_id=9199054",41063)</f>
        <v>41063</v>
      </c>
      <c r="L20" s="30">
        <f>HYPERLINK("https://secure.freee.co.jp/reports/general_ledgers/show?name=%E6%94%AF%E6%89%95%E6%89%8B%E6%95%B0%E6%96%99&amp;start_date=2026-01-01&amp;end_date=2026-01-31&amp;fiscal_year_id=9199054",32745)</f>
        <v>32745</v>
      </c>
      <c r="M20" s="37">
        <f>HYPERLINK("https://secure.freee.co.jp/reports/general_ledgers/show?name=%E6%94%AF%E6%89%95%E6%89%8B%E6%95%B0%E6%96%99&amp;start_date=2026-02-01&amp;end_date=2026-02-28&amp;fiscal_year_id=9199054",22906)</f>
        <v>22906</v>
      </c>
      <c r="N20" s="38">
        <f>SUM(B20:M20)</f>
        <v>585854</v>
      </c>
      <c r="O20" s="33" t="s">
        <v>272</v>
      </c>
    </row>
    <row r="21" spans="1:15" x14ac:dyDescent="0.25">
      <c r="A21" s="10" t="s">
        <v>336</v>
      </c>
      <c r="B21" s="30">
        <f>HYPERLINK("https://secure.freee.co.jp/reports/general_ledgers/show?name=%E6%96%BD%E8%A8%AD%E5%88%A9%E7%94%A8%E6%96%99&amp;start_date=2025-03-01&amp;end_date=2025-03-31&amp;fiscal_year_id=9199054",89105)</f>
        <v>89105</v>
      </c>
      <c r="C21" s="30">
        <f>HYPERLINK("https://secure.freee.co.jp/reports/general_ledgers/show?name=%E6%96%BD%E8%A8%AD%E5%88%A9%E7%94%A8%E6%96%99&amp;start_date=2025-04-01&amp;end_date=2025-04-30&amp;fiscal_year_id=9199054",69359)</f>
        <v>69359</v>
      </c>
      <c r="D21" s="31">
        <f>HYPERLINK("https://secure.freee.co.jp/reports/general_ledgers/show?name=%E6%96%BD%E8%A8%AD%E5%88%A9%E7%94%A8%E6%96%99&amp;start_date=2025-05-01&amp;end_date=2025-05-31&amp;fiscal_year_id=9199054",121249)</f>
        <v>121249</v>
      </c>
      <c r="E21" s="30">
        <f>HYPERLINK("https://secure.freee.co.jp/reports/general_ledgers/show?name=%E6%96%BD%E8%A8%AD%E5%88%A9%E7%94%A8%E6%96%99&amp;start_date=2025-06-01&amp;end_date=2025-06-30&amp;fiscal_year_id=9199054",101238)</f>
        <v>101238</v>
      </c>
      <c r="F21" s="30">
        <f>HYPERLINK("https://secure.freee.co.jp/reports/general_ledgers/show?name=%E6%96%BD%E8%A8%AD%E5%88%A9%E7%94%A8%E6%96%99&amp;start_date=2025-07-01&amp;end_date=2025-07-31&amp;fiscal_year_id=9199054",85884)</f>
        <v>85884</v>
      </c>
      <c r="G21" s="30">
        <f>HYPERLINK("https://secure.freee.co.jp/reports/general_ledgers/show?name=%E6%96%BD%E8%A8%AD%E5%88%A9%E7%94%A8%E6%96%99&amp;start_date=2025-08-01&amp;end_date=2025-08-31&amp;fiscal_year_id=9199054",84400)</f>
        <v>84400</v>
      </c>
      <c r="H21" s="30">
        <f>HYPERLINK("https://secure.freee.co.jp/reports/general_ledgers/show?name=%E6%96%BD%E8%A8%AD%E5%88%A9%E7%94%A8%E6%96%99&amp;start_date=2025-09-01&amp;end_date=2025-09-30&amp;fiscal_year_id=9199054",60550)</f>
        <v>60550</v>
      </c>
      <c r="I21" s="30">
        <f>HYPERLINK("https://secure.freee.co.jp/reports/general_ledgers/show?name=%E6%96%BD%E8%A8%AD%E5%88%A9%E7%94%A8%E6%96%99&amp;start_date=2025-10-01&amp;end_date=2025-10-31&amp;fiscal_year_id=9199054",83190)</f>
        <v>83190</v>
      </c>
      <c r="J21" s="30">
        <f>HYPERLINK("https://secure.freee.co.jp/reports/general_ledgers/show?name=%E6%96%BD%E8%A8%AD%E5%88%A9%E7%94%A8%E6%96%99&amp;start_date=2025-11-01&amp;end_date=2025-11-30&amp;fiscal_year_id=9199054",95050)</f>
        <v>95050</v>
      </c>
      <c r="K21" s="30">
        <f>HYPERLINK("https://secure.freee.co.jp/reports/general_ledgers/show?name=%E6%96%BD%E8%A8%AD%E5%88%A9%E7%94%A8%E6%96%99&amp;start_date=2025-12-01&amp;end_date=2025-12-31&amp;fiscal_year_id=9199054",69050)</f>
        <v>69050</v>
      </c>
      <c r="L21" s="30">
        <f>HYPERLINK("https://secure.freee.co.jp/reports/general_ledgers/show?name=%E6%96%BD%E8%A8%AD%E5%88%A9%E7%94%A8%E6%96%99&amp;start_date=2026-01-01&amp;end_date=2026-01-31&amp;fiscal_year_id=9199054",72530)</f>
        <v>72530</v>
      </c>
      <c r="M21" s="37">
        <f>HYPERLINK("https://secure.freee.co.jp/reports/general_ledgers/show?name=%E6%96%BD%E8%A8%AD%E5%88%A9%E7%94%A8%E6%96%99&amp;start_date=2026-02-01&amp;end_date=2026-02-28&amp;fiscal_year_id=9199054",81878)</f>
        <v>81878</v>
      </c>
      <c r="N21" s="38">
        <f>SUM(B21:M21)</f>
        <v>1013483</v>
      </c>
      <c r="O21" s="33" t="s">
        <v>272</v>
      </c>
    </row>
    <row r="22" spans="1:15" x14ac:dyDescent="0.25">
      <c r="A22" s="10" t="s">
        <v>337</v>
      </c>
      <c r="B22" s="30">
        <f>HYPERLINK("https://secure.freee.co.jp/reports/general_ledgers/show?name=%E5%9C%B0%E4%BB%A3%E5%AE%B6%E8%B3%83&amp;start_date=2025-03-01&amp;end_date=2025-03-31&amp;fiscal_year_id=9199054",152929)</f>
        <v>152929</v>
      </c>
      <c r="C22" s="30">
        <f>HYPERLINK("https://secure.freee.co.jp/reports/general_ledgers/show?name=%E5%9C%B0%E4%BB%A3%E5%AE%B6%E8%B3%83&amp;start_date=2025-04-01&amp;end_date=2025-04-30&amp;fiscal_year_id=9199054",152929)</f>
        <v>152929</v>
      </c>
      <c r="D22" s="30">
        <f>HYPERLINK("https://secure.freee.co.jp/reports/general_ledgers/show?name=%E5%9C%B0%E4%BB%A3%E5%AE%B6%E8%B3%83&amp;start_date=2025-05-01&amp;end_date=2025-05-31&amp;fiscal_year_id=9199054",152929)</f>
        <v>152929</v>
      </c>
      <c r="E22" s="30">
        <f>HYPERLINK("https://secure.freee.co.jp/reports/general_ledgers/show?name=%E5%9C%B0%E4%BB%A3%E5%AE%B6%E8%B3%83&amp;start_date=2025-06-01&amp;end_date=2025-06-30&amp;fiscal_year_id=9199054",169809)</f>
        <v>169809</v>
      </c>
      <c r="F22" s="30">
        <f>HYPERLINK("https://secure.freee.co.jp/reports/general_ledgers/show?name=%E5%9C%B0%E4%BB%A3%E5%AE%B6%E8%B3%83&amp;start_date=2025-07-01&amp;end_date=2025-07-31&amp;fiscal_year_id=9199054",152929)</f>
        <v>152929</v>
      </c>
      <c r="G22" s="30">
        <f>HYPERLINK("https://secure.freee.co.jp/reports/general_ledgers/show?name=%E5%9C%B0%E4%BB%A3%E5%AE%B6%E8%B3%83&amp;start_date=2025-08-01&amp;end_date=2025-08-31&amp;fiscal_year_id=9199054",152929)</f>
        <v>152929</v>
      </c>
      <c r="H22" s="30">
        <f>HYPERLINK("https://secure.freee.co.jp/reports/general_ledgers/show?name=%E5%9C%B0%E4%BB%A3%E5%AE%B6%E8%B3%83&amp;start_date=2025-09-01&amp;end_date=2025-09-30&amp;fiscal_year_id=9199054",152929)</f>
        <v>152929</v>
      </c>
      <c r="I22" s="30">
        <f>HYPERLINK("https://secure.freee.co.jp/reports/general_ledgers/show?name=%E5%9C%B0%E4%BB%A3%E5%AE%B6%E8%B3%83&amp;start_date=2025-10-01&amp;end_date=2025-10-31&amp;fiscal_year_id=9199054",152929)</f>
        <v>152929</v>
      </c>
      <c r="J22" s="30">
        <f>HYPERLINK("https://secure.freee.co.jp/reports/general_ledgers/show?name=%E5%9C%B0%E4%BB%A3%E5%AE%B6%E8%B3%83&amp;start_date=2025-11-01&amp;end_date=2025-11-30&amp;fiscal_year_id=9199054",152929)</f>
        <v>152929</v>
      </c>
      <c r="K22" s="30">
        <f>HYPERLINK("https://secure.freee.co.jp/reports/general_ledgers/show?name=%E5%9C%B0%E4%BB%A3%E5%AE%B6%E8%B3%83&amp;start_date=2025-12-01&amp;end_date=2025-12-31&amp;fiscal_year_id=9199054",152929)</f>
        <v>152929</v>
      </c>
      <c r="L22" s="30">
        <f>HYPERLINK("https://secure.freee.co.jp/reports/general_ledgers/show?name=%E5%9C%B0%E4%BB%A3%E5%AE%B6%E8%B3%83&amp;start_date=2026-01-01&amp;end_date=2026-01-31&amp;fiscal_year_id=9199054",168989)</f>
        <v>168989</v>
      </c>
      <c r="M22" s="37">
        <f>HYPERLINK("https://secure.freee.co.jp/reports/general_ledgers/show?name=%E5%9C%B0%E4%BB%A3%E5%AE%B6%E8%B3%83&amp;start_date=2026-02-01&amp;end_date=2026-02-28&amp;fiscal_year_id=9199054",158209)</f>
        <v>158209</v>
      </c>
      <c r="N22" s="38">
        <f>SUM(B22:M22)</f>
        <v>1873368</v>
      </c>
      <c r="O22" s="33" t="s">
        <v>272</v>
      </c>
    </row>
    <row r="23" spans="1:15" x14ac:dyDescent="0.25">
      <c r="A23" s="10" t="s">
        <v>338</v>
      </c>
      <c r="B23" s="40">
        <v>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30">
        <f>HYPERLINK("https://secure.freee.co.jp/reports/general_ledgers/show?name=%E7%A7%9F%E7%A8%8E%E5%85%AC%E8%AA%B2&amp;start_date=2025-12-01&amp;end_date=2025-12-31&amp;fiscal_year_id=9199054",1460)</f>
        <v>1460</v>
      </c>
      <c r="L23" s="45">
        <v>0</v>
      </c>
      <c r="M23" s="41">
        <v>0</v>
      </c>
      <c r="N23" s="38">
        <f>SUM(B23:M23)</f>
        <v>1460</v>
      </c>
      <c r="O23" s="33" t="s">
        <v>272</v>
      </c>
    </row>
    <row r="24" spans="1:15" x14ac:dyDescent="0.25">
      <c r="A24" s="10" t="s">
        <v>339</v>
      </c>
      <c r="B24" s="30">
        <f>HYPERLINK("https://secure.freee.co.jp/reports/general_ledgers/show?name=%E6%B8%9B%E4%BE%A1%E5%84%9F%E5%8D%B4%E8%B2%BB&amp;start_date=2025-03-01&amp;end_date=2025-03-31&amp;fiscal_year_id=9199054",14812)</f>
        <v>14812</v>
      </c>
      <c r="C24" s="30">
        <f>HYPERLINK("https://secure.freee.co.jp/reports/general_ledgers/show?name=%E6%B8%9B%E4%BE%A1%E5%84%9F%E5%8D%B4%E8%B2%BB&amp;start_date=2025-04-01&amp;end_date=2025-04-30&amp;fiscal_year_id=9199054",14812)</f>
        <v>14812</v>
      </c>
      <c r="D24" s="30">
        <f>HYPERLINK("https://secure.freee.co.jp/reports/general_ledgers/show?name=%E6%B8%9B%E4%BE%A1%E5%84%9F%E5%8D%B4%E8%B2%BB&amp;start_date=2025-05-01&amp;end_date=2025-05-31&amp;fiscal_year_id=9199054",14812)</f>
        <v>14812</v>
      </c>
      <c r="E24" s="30">
        <f>HYPERLINK("https://secure.freee.co.jp/reports/general_ledgers/show?name=%E6%B8%9B%E4%BE%A1%E5%84%9F%E5%8D%B4%E8%B2%BB&amp;start_date=2025-06-01&amp;end_date=2025-06-30&amp;fiscal_year_id=9199054",14812)</f>
        <v>14812</v>
      </c>
      <c r="F24" s="30">
        <f>HYPERLINK("https://secure.freee.co.jp/reports/general_ledgers/show?name=%E6%B8%9B%E4%BE%A1%E5%84%9F%E5%8D%B4%E8%B2%BB&amp;start_date=2025-07-01&amp;end_date=2025-07-31&amp;fiscal_year_id=9199054",14812)</f>
        <v>14812</v>
      </c>
      <c r="G24" s="30">
        <f>HYPERLINK("https://secure.freee.co.jp/reports/general_ledgers/show?name=%E6%B8%9B%E4%BE%A1%E5%84%9F%E5%8D%B4%E8%B2%BB&amp;start_date=2025-08-01&amp;end_date=2025-08-31&amp;fiscal_year_id=9199054",14812)</f>
        <v>14812</v>
      </c>
      <c r="H24" s="30">
        <f>HYPERLINK("https://secure.freee.co.jp/reports/general_ledgers/show?name=%E6%B8%9B%E4%BE%A1%E5%84%9F%E5%8D%B4%E8%B2%BB&amp;start_date=2025-09-01&amp;end_date=2025-09-30&amp;fiscal_year_id=9199054",14812)</f>
        <v>14812</v>
      </c>
      <c r="I24" s="30">
        <f>HYPERLINK("https://secure.freee.co.jp/reports/general_ledgers/show?name=%E6%B8%9B%E4%BE%A1%E5%84%9F%E5%8D%B4%E8%B2%BB&amp;start_date=2025-10-01&amp;end_date=2025-10-31&amp;fiscal_year_id=9199054",14812)</f>
        <v>14812</v>
      </c>
      <c r="J24" s="30">
        <f>HYPERLINK("https://secure.freee.co.jp/reports/general_ledgers/show?name=%E6%B8%9B%E4%BE%A1%E5%84%9F%E5%8D%B4%E8%B2%BB&amp;start_date=2025-11-01&amp;end_date=2025-11-30&amp;fiscal_year_id=9199054",14812)</f>
        <v>14812</v>
      </c>
      <c r="K24" s="30">
        <f>HYPERLINK("https://secure.freee.co.jp/reports/general_ledgers/show?name=%E6%B8%9B%E4%BE%A1%E5%84%9F%E5%8D%B4%E8%B2%BB&amp;start_date=2025-12-01&amp;end_date=2025-12-31&amp;fiscal_year_id=9199054",14812)</f>
        <v>14812</v>
      </c>
      <c r="L24" s="30">
        <f>HYPERLINK("https://secure.freee.co.jp/reports/general_ledgers/show?name=%E6%B8%9B%E4%BE%A1%E5%84%9F%E5%8D%B4%E8%B2%BB&amp;start_date=2026-01-01&amp;end_date=2026-01-31&amp;fiscal_year_id=9199054",14812)</f>
        <v>14812</v>
      </c>
      <c r="M24" s="37">
        <f>HYPERLINK("https://secure.freee.co.jp/reports/general_ledgers/show?name=%E6%B8%9B%E4%BE%A1%E5%84%9F%E5%8D%B4%E8%B2%BB&amp;start_date=2026-02-01&amp;end_date=2026-02-28&amp;fiscal_year_id=9199054",14823)</f>
        <v>14823</v>
      </c>
      <c r="N24" s="38">
        <f>SUM(B24:M24)</f>
        <v>177755</v>
      </c>
      <c r="O24" s="33" t="s">
        <v>272</v>
      </c>
    </row>
    <row r="25" spans="1:15" x14ac:dyDescent="0.25">
      <c r="A25" s="42" t="s">
        <v>340</v>
      </c>
      <c r="B25" s="43">
        <v>1266215</v>
      </c>
      <c r="C25" s="43">
        <v>1383764</v>
      </c>
      <c r="D25" s="43">
        <v>1739849</v>
      </c>
      <c r="E25" s="43">
        <v>1255710</v>
      </c>
      <c r="F25" s="43">
        <v>1156555</v>
      </c>
      <c r="G25" s="43">
        <v>1039722</v>
      </c>
      <c r="H25" s="43">
        <v>1226963</v>
      </c>
      <c r="I25" s="43">
        <v>1219547</v>
      </c>
      <c r="J25" s="43">
        <v>1644757</v>
      </c>
      <c r="K25" s="43">
        <v>1936732</v>
      </c>
      <c r="L25" s="43">
        <v>1305157</v>
      </c>
      <c r="M25" s="43">
        <v>1446086</v>
      </c>
      <c r="N25" s="43">
        <f>SUM(B25:M25)</f>
        <v>16621057</v>
      </c>
      <c r="O25" s="44"/>
    </row>
    <row r="26" spans="1:15" x14ac:dyDescent="0.25">
      <c r="A26" s="42" t="s">
        <v>341</v>
      </c>
      <c r="B26" s="43">
        <v>334943</v>
      </c>
      <c r="C26" s="43">
        <v>-122678</v>
      </c>
      <c r="D26" s="43">
        <v>-540693</v>
      </c>
      <c r="E26" s="43">
        <v>66967</v>
      </c>
      <c r="F26" s="43">
        <v>-240185</v>
      </c>
      <c r="G26" s="43">
        <v>-180489</v>
      </c>
      <c r="H26" s="43">
        <v>41033</v>
      </c>
      <c r="I26" s="43">
        <v>488199</v>
      </c>
      <c r="J26" s="43">
        <v>-650034</v>
      </c>
      <c r="K26" s="43">
        <v>-780379</v>
      </c>
      <c r="L26" s="43">
        <v>-836798</v>
      </c>
      <c r="M26" s="43">
        <v>87315</v>
      </c>
      <c r="N26" s="43">
        <f>SUM(B26:M26)</f>
        <v>-2332799</v>
      </c>
      <c r="O26" s="44"/>
    </row>
    <row r="27" spans="1:15" x14ac:dyDescent="0.25">
      <c r="A27" s="10" t="s">
        <v>342</v>
      </c>
      <c r="B27" s="30">
        <f>HYPERLINK("https://secure.freee.co.jp/reports/general_ledgers/show?name=%E5%8F%97%E5%8F%96%E5%88%A9%E6%81%AF&amp;start_date=2025-03-01&amp;end_date=2025-03-31&amp;fiscal_year_id=9199054",8)</f>
        <v>8</v>
      </c>
      <c r="C27" s="31">
        <f>HYPERLINK("https://secure.freee.co.jp/reports/general_ledgers/show?name=%E5%8F%97%E5%8F%96%E5%88%A9%E6%81%AF&amp;start_date=2025-04-01&amp;end_date=2025-04-30&amp;fiscal_year_id=9199054",23)</f>
        <v>23</v>
      </c>
      <c r="D27" s="31">
        <f>HYPERLINK("https://secure.freee.co.jp/reports/general_ledgers/show?name=%E5%8F%97%E5%8F%96%E5%88%A9%E6%81%AF&amp;start_date=2025-05-01&amp;end_date=2025-05-31&amp;fiscal_year_id=9199054",38)</f>
        <v>38</v>
      </c>
      <c r="E27" s="30">
        <f>HYPERLINK("https://secure.freee.co.jp/reports/general_ledgers/show?name=%E5%8F%97%E5%8F%96%E5%88%A9%E6%81%AF&amp;start_date=2025-06-01&amp;end_date=2025-06-30&amp;fiscal_year_id=9199054",31)</f>
        <v>31</v>
      </c>
      <c r="F27" s="30">
        <f>HYPERLINK("https://secure.freee.co.jp/reports/general_ledgers/show?name=%E5%8F%97%E5%8F%96%E5%88%A9%E6%81%AF&amp;start_date=2025-07-01&amp;end_date=2025-07-31&amp;fiscal_year_id=9199054",23)</f>
        <v>23</v>
      </c>
      <c r="G27" s="31">
        <f>HYPERLINK("https://secure.freee.co.jp/reports/general_ledgers/show?name=%E5%8F%97%E5%8F%96%E5%88%A9%E6%81%AF&amp;start_date=2025-08-01&amp;end_date=2025-08-31&amp;fiscal_year_id=9199054",40)</f>
        <v>40</v>
      </c>
      <c r="H27" s="31">
        <f>HYPERLINK("https://secure.freee.co.jp/reports/general_ledgers/show?name=%E5%8F%97%E5%8F%96%E5%88%A9%E6%81%AF&amp;start_date=2025-09-01&amp;end_date=2025-09-30&amp;fiscal_year_id=9199054",16)</f>
        <v>16</v>
      </c>
      <c r="I27" s="30">
        <f>HYPERLINK("https://secure.freee.co.jp/reports/general_ledgers/show?name=%E5%8F%97%E5%8F%96%E5%88%A9%E6%81%AF&amp;start_date=2025-10-01&amp;end_date=2025-10-31&amp;fiscal_year_id=9199054",16)</f>
        <v>16</v>
      </c>
      <c r="J27" s="31">
        <f>HYPERLINK("https://secure.freee.co.jp/reports/general_ledgers/show?name=%E5%8F%97%E5%8F%96%E5%88%A9%E6%81%AF&amp;start_date=2025-11-01&amp;end_date=2025-11-30&amp;fiscal_year_id=9199054",41)</f>
        <v>41</v>
      </c>
      <c r="K27" s="30">
        <f>HYPERLINK("https://secure.freee.co.jp/reports/general_ledgers/show?name=%E5%8F%97%E5%8F%96%E5%88%A9%E6%81%AF&amp;start_date=2025-12-01&amp;end_date=2025-12-31&amp;fiscal_year_id=9199054",47)</f>
        <v>47</v>
      </c>
      <c r="L27" s="30">
        <f>HYPERLINK("https://secure.freee.co.jp/reports/general_ledgers/show?name=%E5%8F%97%E5%8F%96%E5%88%A9%E6%81%AF&amp;start_date=2026-01-01&amp;end_date=2026-01-31&amp;fiscal_year_id=9199054",27)</f>
        <v>27</v>
      </c>
      <c r="M27" s="31">
        <f>HYPERLINK("https://secure.freee.co.jp/reports/general_ledgers/show?name=%E5%8F%97%E5%8F%96%E5%88%A9%E6%81%AF&amp;start_date=2026-02-01&amp;end_date=2026-02-28&amp;fiscal_year_id=9199054",151)</f>
        <v>151</v>
      </c>
      <c r="N27" s="38">
        <f>SUM(B27:M27)</f>
        <v>461</v>
      </c>
      <c r="O27" s="33" t="s">
        <v>272</v>
      </c>
    </row>
    <row r="28" spans="1:15" x14ac:dyDescent="0.25">
      <c r="A28" s="10" t="s">
        <v>343</v>
      </c>
      <c r="B28" s="30">
        <f>HYPERLINK("https://secure.freee.co.jp/reports/general_ledgers/show?name=%E9%9B%91%E5%8F%8E%E5%85%A5&amp;start_date=2025-03-01&amp;end_date=2025-03-31&amp;fiscal_year_id=9199054",951)</f>
        <v>951</v>
      </c>
      <c r="C28" s="31">
        <f>HYPERLINK("https://secure.freee.co.jp/reports/general_ledgers/show?name=%E9%9B%91%E5%8F%8E%E5%85%A5&amp;start_date=2025-04-01&amp;end_date=2025-04-30&amp;fiscal_year_id=9199054",2259)</f>
        <v>2259</v>
      </c>
      <c r="D28" s="30">
        <f>HYPERLINK("https://secure.freee.co.jp/reports/general_ledgers/show?name=%E9%9B%91%E5%8F%8E%E5%85%A5&amp;start_date=2025-05-01&amp;end_date=2025-05-31&amp;fiscal_year_id=9199054",2885)</f>
        <v>2885</v>
      </c>
      <c r="E28" s="30">
        <f>HYPERLINK("https://secure.freee.co.jp/reports/general_ledgers/show?name=%E9%9B%91%E5%8F%8E%E5%85%A5&amp;start_date=2025-06-01&amp;end_date=2025-06-30&amp;fiscal_year_id=9199054",3096)</f>
        <v>3096</v>
      </c>
      <c r="F28" s="30">
        <f>HYPERLINK("https://secure.freee.co.jp/reports/general_ledgers/show?name=%E9%9B%91%E5%8F%8E%E5%85%A5&amp;start_date=2025-07-01&amp;end_date=2025-07-31&amp;fiscal_year_id=9199054",2556)</f>
        <v>2556</v>
      </c>
      <c r="G28" s="30">
        <f>HYPERLINK("https://secure.freee.co.jp/reports/general_ledgers/show?name=%E9%9B%91%E5%8F%8E%E5%85%A5&amp;start_date=2025-08-01&amp;end_date=2025-08-31&amp;fiscal_year_id=9199054",2552)</f>
        <v>2552</v>
      </c>
      <c r="H28" s="30">
        <f>HYPERLINK("https://secure.freee.co.jp/reports/general_ledgers/show?name=%E9%9B%91%E5%8F%8E%E5%85%A5&amp;start_date=2025-09-01&amp;end_date=2025-09-30&amp;fiscal_year_id=9199054",1637)</f>
        <v>1637</v>
      </c>
      <c r="I28" s="30">
        <f>HYPERLINK("https://secure.freee.co.jp/reports/general_ledgers/show?name=%E9%9B%91%E5%8F%8E%E5%85%A5&amp;start_date=2025-10-01&amp;end_date=2025-10-31&amp;fiscal_year_id=9199054",1972)</f>
        <v>1972</v>
      </c>
      <c r="J28" s="30">
        <f>HYPERLINK("https://secure.freee.co.jp/reports/general_ledgers/show?name=%E9%9B%91%E5%8F%8E%E5%85%A5&amp;start_date=2025-11-01&amp;end_date=2025-11-30&amp;fiscal_year_id=9199054",1929)</f>
        <v>1929</v>
      </c>
      <c r="K28" s="30">
        <f>HYPERLINK("https://secure.freee.co.jp/reports/general_ledgers/show?name=%E9%9B%91%E5%8F%8E%E5%85%A5&amp;start_date=2025-12-01&amp;end_date=2025-12-31&amp;fiscal_year_id=9199054",2053)</f>
        <v>2053</v>
      </c>
      <c r="L28" s="30">
        <f>HYPERLINK("https://secure.freee.co.jp/reports/general_ledgers/show?name=%E9%9B%91%E5%8F%8E%E5%85%A5&amp;start_date=2026-01-01&amp;end_date=2026-01-31&amp;fiscal_year_id=9199054",1565)</f>
        <v>1565</v>
      </c>
      <c r="M28" s="31">
        <f>HYPERLINK("https://secure.freee.co.jp/reports/general_ledgers/show?name=%E9%9B%91%E5%8F%8E%E5%85%A5&amp;start_date=2026-02-01&amp;end_date=2026-02-28&amp;fiscal_year_id=9199054",5674)</f>
        <v>5674</v>
      </c>
      <c r="N28" s="38">
        <f>SUM(B28:M28)</f>
        <v>29129</v>
      </c>
      <c r="O28" s="33" t="s">
        <v>272</v>
      </c>
    </row>
    <row r="29" spans="1:15" x14ac:dyDescent="0.25">
      <c r="A29" s="10" t="s">
        <v>344</v>
      </c>
      <c r="B29" s="40">
        <v>0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30">
        <f>HYPERLINK("https://secure.freee.co.jp/reports/general_ledgers/show?name=%E7%82%BA%E6%9B%BF%E5%B7%AE%E7%9B%8A&amp;start_date=2026-01-01&amp;end_date=2026-01-31&amp;fiscal_year_id=9199054",161)</f>
        <v>161</v>
      </c>
      <c r="M29" s="45">
        <v>0</v>
      </c>
      <c r="N29" s="38">
        <f>SUM(B29:M29)</f>
        <v>161</v>
      </c>
      <c r="O29" s="33" t="s">
        <v>272</v>
      </c>
    </row>
    <row r="30" spans="1:15" x14ac:dyDescent="0.25">
      <c r="A30" s="10" t="s">
        <v>345</v>
      </c>
      <c r="B30" s="30">
        <v>959</v>
      </c>
      <c r="C30" s="30">
        <v>2282</v>
      </c>
      <c r="D30" s="30">
        <v>2923</v>
      </c>
      <c r="E30" s="30">
        <v>3127</v>
      </c>
      <c r="F30" s="30">
        <v>2579</v>
      </c>
      <c r="G30" s="30">
        <v>2592</v>
      </c>
      <c r="H30" s="30">
        <v>1653</v>
      </c>
      <c r="I30" s="30">
        <v>1988</v>
      </c>
      <c r="J30" s="30">
        <v>1970</v>
      </c>
      <c r="K30" s="30">
        <v>2100</v>
      </c>
      <c r="L30" s="30">
        <v>1753</v>
      </c>
      <c r="M30" s="37">
        <v>5825</v>
      </c>
      <c r="N30" s="38">
        <f>SUM(B30:M30)</f>
        <v>29751</v>
      </c>
      <c r="O30" s="39"/>
    </row>
    <row r="31" spans="1:15" x14ac:dyDescent="0.25">
      <c r="A31" s="10" t="s">
        <v>346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1">
        <v>0</v>
      </c>
      <c r="N31" s="38">
        <f>SUM(B31:M31)</f>
        <v>0</v>
      </c>
      <c r="O31" s="39"/>
    </row>
    <row r="32" spans="1:15" x14ac:dyDescent="0.25">
      <c r="A32" s="42" t="s">
        <v>347</v>
      </c>
      <c r="B32" s="43">
        <v>335902</v>
      </c>
      <c r="C32" s="43">
        <v>-120396</v>
      </c>
      <c r="D32" s="43">
        <v>-537770</v>
      </c>
      <c r="E32" s="43">
        <v>70094</v>
      </c>
      <c r="F32" s="43">
        <v>-237606</v>
      </c>
      <c r="G32" s="43">
        <v>-177897</v>
      </c>
      <c r="H32" s="43">
        <v>42686</v>
      </c>
      <c r="I32" s="43">
        <v>490187</v>
      </c>
      <c r="J32" s="43">
        <v>-648064</v>
      </c>
      <c r="K32" s="43">
        <v>-778279</v>
      </c>
      <c r="L32" s="43">
        <v>-835045</v>
      </c>
      <c r="M32" s="43">
        <v>93140</v>
      </c>
      <c r="N32" s="43">
        <f>SUM(B32:M32)</f>
        <v>-2303048</v>
      </c>
      <c r="O32" s="44"/>
    </row>
    <row r="33" spans="1:15" x14ac:dyDescent="0.25">
      <c r="A33" s="10" t="s">
        <v>348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1">
        <v>0</v>
      </c>
      <c r="N33" s="38">
        <f>SUM(B33:M33)</f>
        <v>0</v>
      </c>
      <c r="O33" s="39"/>
    </row>
    <row r="34" spans="1:15" x14ac:dyDescent="0.25">
      <c r="A34" s="10" t="s">
        <v>349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1">
        <v>0</v>
      </c>
      <c r="N34" s="38">
        <f>SUM(B34:M34)</f>
        <v>0</v>
      </c>
      <c r="O34" s="39"/>
    </row>
    <row r="35" spans="1:15" x14ac:dyDescent="0.25">
      <c r="A35" s="42" t="s">
        <v>350</v>
      </c>
      <c r="B35" s="43">
        <v>335902</v>
      </c>
      <c r="C35" s="43">
        <v>-120396</v>
      </c>
      <c r="D35" s="43">
        <v>-537770</v>
      </c>
      <c r="E35" s="43">
        <v>70094</v>
      </c>
      <c r="F35" s="43">
        <v>-237606</v>
      </c>
      <c r="G35" s="43">
        <v>-177897</v>
      </c>
      <c r="H35" s="43">
        <v>42686</v>
      </c>
      <c r="I35" s="43">
        <v>490187</v>
      </c>
      <c r="J35" s="43">
        <v>-648064</v>
      </c>
      <c r="K35" s="43">
        <v>-778279</v>
      </c>
      <c r="L35" s="43">
        <v>-835045</v>
      </c>
      <c r="M35" s="43">
        <v>93140</v>
      </c>
      <c r="N35" s="43">
        <f>SUM(B35:M35)</f>
        <v>-2303048</v>
      </c>
      <c r="O35" s="44"/>
    </row>
    <row r="36" spans="1:15" x14ac:dyDescent="0.25">
      <c r="A36" s="10" t="s">
        <v>351</v>
      </c>
      <c r="B36" s="30">
        <f>HYPERLINK("https://secure.freee.co.jp/reports/general_ledgers/show?name=%E6%B3%95%E4%BA%BA%E7%A8%8E%E3%83%BB%E4%BD%8F%E6%B0%91%E7%A8%8E%E5%8F%8A%E3%81%B3%E4%BA%8B%E6%A5%AD%E7%A8%8E&amp;start_date=2025-03-01&amp;end_date=2025-03-31&amp;fiscal_year_id=9199054",1)</f>
        <v>1</v>
      </c>
      <c r="C36" s="31">
        <f>HYPERLINK("https://secure.freee.co.jp/reports/general_ledgers/show?name=%E6%B3%95%E4%BA%BA%E7%A8%8E%E3%83%BB%E4%BD%8F%E6%B0%91%E7%A8%8E%E5%8F%8A%E3%81%B3%E4%BA%8B%E6%A5%AD%E7%A8%8E&amp;start_date=2025-04-01&amp;end_date=2025-04-30&amp;fiscal_year_id=9199054",3)</f>
        <v>3</v>
      </c>
      <c r="D36" s="31">
        <f>HYPERLINK("https://secure.freee.co.jp/reports/general_ledgers/show?name=%E6%B3%95%E4%BA%BA%E7%A8%8E%E3%83%BB%E4%BD%8F%E6%B0%91%E7%A8%8E%E5%8F%8A%E3%81%B3%E4%BA%8B%E6%A5%AD%E7%A8%8E&amp;start_date=2025-05-01&amp;end_date=2025-05-31&amp;fiscal_year_id=9199054",5)</f>
        <v>5</v>
      </c>
      <c r="E36" s="30">
        <f>HYPERLINK("https://secure.freee.co.jp/reports/general_ledgers/show?name=%E6%B3%95%E4%BA%BA%E7%A8%8E%E3%83%BB%E4%BD%8F%E6%B0%91%E7%A8%8E%E5%8F%8A%E3%81%B3%E4%BA%8B%E6%A5%AD%E7%A8%8E&amp;start_date=2025-06-01&amp;end_date=2025-06-30&amp;fiscal_year_id=9199054",4)</f>
        <v>4</v>
      </c>
      <c r="F36" s="30">
        <f>HYPERLINK("https://secure.freee.co.jp/reports/general_ledgers/show?name=%E6%B3%95%E4%BA%BA%E7%A8%8E%E3%83%BB%E4%BD%8F%E6%B0%91%E7%A8%8E%E5%8F%8A%E3%81%B3%E4%BA%8B%E6%A5%AD%E7%A8%8E&amp;start_date=2025-07-01&amp;end_date=2025-07-31&amp;fiscal_year_id=9199054",3)</f>
        <v>3</v>
      </c>
      <c r="G36" s="31">
        <f>HYPERLINK("https://secure.freee.co.jp/reports/general_ledgers/show?name=%E6%B3%95%E4%BA%BA%E7%A8%8E%E3%83%BB%E4%BD%8F%E6%B0%91%E7%A8%8E%E5%8F%8A%E3%81%B3%E4%BA%8B%E6%A5%AD%E7%A8%8E&amp;start_date=2025-08-01&amp;end_date=2025-08-31&amp;fiscal_year_id=9199054",5)</f>
        <v>5</v>
      </c>
      <c r="H36" s="31">
        <f>HYPERLINK("https://secure.freee.co.jp/reports/general_ledgers/show?name=%E6%B3%95%E4%BA%BA%E7%A8%8E%E3%83%BB%E4%BD%8F%E6%B0%91%E7%A8%8E%E5%8F%8A%E3%81%B3%E4%BA%8B%E6%A5%AD%E7%A8%8E&amp;start_date=2025-09-01&amp;end_date=2025-09-30&amp;fiscal_year_id=9199054",2)</f>
        <v>2</v>
      </c>
      <c r="I36" s="30">
        <f>HYPERLINK("https://secure.freee.co.jp/reports/general_ledgers/show?name=%E6%B3%95%E4%BA%BA%E7%A8%8E%E3%83%BB%E4%BD%8F%E6%B0%91%E7%A8%8E%E5%8F%8A%E3%81%B3%E4%BA%8B%E6%A5%AD%E7%A8%8E&amp;start_date=2025-10-01&amp;end_date=2025-10-31&amp;fiscal_year_id=9199054",2)</f>
        <v>2</v>
      </c>
      <c r="J36" s="31">
        <f>HYPERLINK("https://secure.freee.co.jp/reports/general_ledgers/show?name=%E6%B3%95%E4%BA%BA%E7%A8%8E%E3%83%BB%E4%BD%8F%E6%B0%91%E7%A8%8E%E5%8F%8A%E3%81%B3%E4%BA%8B%E6%A5%AD%E7%A8%8E&amp;start_date=2025-11-01&amp;end_date=2025-11-30&amp;fiscal_year_id=9199054",6)</f>
        <v>6</v>
      </c>
      <c r="K36" s="30">
        <f>HYPERLINK("https://secure.freee.co.jp/reports/general_ledgers/show?name=%E6%B3%95%E4%BA%BA%E7%A8%8E%E3%83%BB%E4%BD%8F%E6%B0%91%E7%A8%8E%E5%8F%8A%E3%81%B3%E4%BA%8B%E6%A5%AD%E7%A8%8E&amp;start_date=2025-12-01&amp;end_date=2025-12-31&amp;fiscal_year_id=9199054",7)</f>
        <v>7</v>
      </c>
      <c r="L36" s="30">
        <f>HYPERLINK("https://secure.freee.co.jp/reports/general_ledgers/show?name=%E6%B3%95%E4%BA%BA%E7%A8%8E%E3%83%BB%E4%BD%8F%E6%B0%91%E7%A8%8E%E5%8F%8A%E3%81%B3%E4%BA%8B%E6%A5%AD%E7%A8%8E&amp;start_date=2026-01-01&amp;end_date=2026-01-31&amp;fiscal_year_id=9199054",4)</f>
        <v>4</v>
      </c>
      <c r="M36" s="31">
        <f>HYPERLINK("https://secure.freee.co.jp/reports/general_ledgers/show?name=%E6%B3%95%E4%BA%BA%E7%A8%8E%E3%83%BB%E4%BD%8F%E6%B0%91%E7%A8%8E%E5%8F%8A%E3%81%B3%E4%BA%8B%E6%A5%AD%E7%A8%8E&amp;start_date=2026-02-01&amp;end_date=2026-02-28&amp;fiscal_year_id=9199054",22)</f>
        <v>22</v>
      </c>
      <c r="N36" s="38">
        <f>SUM(B36:M36)</f>
        <v>64</v>
      </c>
      <c r="O36" s="33" t="s">
        <v>272</v>
      </c>
    </row>
    <row r="37" spans="1:15" x14ac:dyDescent="0.25">
      <c r="A37" s="10" t="s">
        <v>352</v>
      </c>
      <c r="B37" s="30">
        <v>1</v>
      </c>
      <c r="C37" s="30">
        <v>3</v>
      </c>
      <c r="D37" s="30">
        <v>5</v>
      </c>
      <c r="E37" s="30">
        <v>4</v>
      </c>
      <c r="F37" s="30">
        <v>3</v>
      </c>
      <c r="G37" s="30">
        <v>5</v>
      </c>
      <c r="H37" s="30">
        <v>2</v>
      </c>
      <c r="I37" s="30">
        <v>2</v>
      </c>
      <c r="J37" s="30">
        <v>6</v>
      </c>
      <c r="K37" s="30">
        <v>7</v>
      </c>
      <c r="L37" s="30">
        <v>4</v>
      </c>
      <c r="M37" s="37">
        <v>22</v>
      </c>
      <c r="N37" s="38">
        <f>SUM(B37:M37)</f>
        <v>64</v>
      </c>
      <c r="O37" s="39"/>
    </row>
    <row r="38" spans="1:15" x14ac:dyDescent="0.25">
      <c r="A38" s="42" t="s">
        <v>353</v>
      </c>
      <c r="B38" s="43">
        <v>335901</v>
      </c>
      <c r="C38" s="43">
        <v>-120399</v>
      </c>
      <c r="D38" s="43">
        <v>-537775</v>
      </c>
      <c r="E38" s="43">
        <v>70090</v>
      </c>
      <c r="F38" s="43">
        <v>-237609</v>
      </c>
      <c r="G38" s="43">
        <v>-177902</v>
      </c>
      <c r="H38" s="43">
        <v>42684</v>
      </c>
      <c r="I38" s="43">
        <v>490185</v>
      </c>
      <c r="J38" s="43">
        <v>-648070</v>
      </c>
      <c r="K38" s="43">
        <v>-778286</v>
      </c>
      <c r="L38" s="43">
        <v>-835049</v>
      </c>
      <c r="M38" s="43">
        <v>93118</v>
      </c>
      <c r="N38" s="43">
        <f>SUM(B38:M38)</f>
        <v>-2303112</v>
      </c>
      <c r="O38" s="44"/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7" r:id="rId19"/>
    <hyperlink ref="O28" r:id="rId20"/>
    <hyperlink ref="O29" r:id="rId21"/>
    <hyperlink ref="O36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266</v>
      </c>
      <c r="B1" s="5" t="s">
        <v>354</v>
      </c>
      <c r="C1" s="5" t="s">
        <v>355</v>
      </c>
      <c r="D1" s="5" t="s">
        <v>356</v>
      </c>
    </row>
    <row r="2" spans="1:4" x14ac:dyDescent="0.25">
      <c r="A2" s="10" t="s">
        <v>294</v>
      </c>
      <c r="B2" s="10" t="s">
        <v>357</v>
      </c>
      <c r="C2" s="30">
        <v>339580</v>
      </c>
      <c r="D2" s="14" t="s">
        <v>358</v>
      </c>
    </row>
    <row r="3" spans="1:4" x14ac:dyDescent="0.25">
      <c r="A3" s="10" t="s">
        <v>279</v>
      </c>
      <c r="B3" s="10" t="s">
        <v>359</v>
      </c>
      <c r="C3" s="30">
        <v>220000</v>
      </c>
      <c r="D3" s="10" t="s">
        <v>6</v>
      </c>
    </row>
    <row r="4" spans="1:4" x14ac:dyDescent="0.25">
      <c r="A4" s="10" t="s">
        <v>294</v>
      </c>
      <c r="B4" s="10" t="s">
        <v>360</v>
      </c>
      <c r="C4" s="30">
        <v>218470</v>
      </c>
      <c r="D4" s="14" t="s">
        <v>358</v>
      </c>
    </row>
    <row r="5" spans="1:4" x14ac:dyDescent="0.25">
      <c r="A5" s="10" t="s">
        <v>279</v>
      </c>
      <c r="B5" s="10" t="s">
        <v>361</v>
      </c>
      <c r="C5" s="30">
        <v>177650</v>
      </c>
      <c r="D5" s="10" t="s">
        <v>6</v>
      </c>
    </row>
    <row r="6" spans="1:4" x14ac:dyDescent="0.25">
      <c r="A6" s="10" t="s">
        <v>294</v>
      </c>
      <c r="B6" s="10" t="s">
        <v>362</v>
      </c>
      <c r="C6" s="30">
        <v>117137</v>
      </c>
      <c r="D6" s="10" t="s">
        <v>6</v>
      </c>
    </row>
    <row r="7" spans="1:4" x14ac:dyDescent="0.25">
      <c r="A7" s="10" t="s">
        <v>279</v>
      </c>
      <c r="B7" s="10" t="s">
        <v>363</v>
      </c>
      <c r="C7" s="30">
        <v>71087</v>
      </c>
      <c r="D7" s="10" t="s">
        <v>6</v>
      </c>
    </row>
    <row r="8" spans="1:4" x14ac:dyDescent="0.25">
      <c r="A8" s="10" t="s">
        <v>279</v>
      </c>
      <c r="B8" s="10" t="s">
        <v>364</v>
      </c>
      <c r="C8" s="30">
        <v>35200</v>
      </c>
      <c r="D8" s="10" t="s">
        <v>6</v>
      </c>
    </row>
    <row r="9" spans="1:4" x14ac:dyDescent="0.25">
      <c r="A9" s="10" t="s">
        <v>279</v>
      </c>
      <c r="B9" s="10" t="s">
        <v>365</v>
      </c>
      <c r="C9" s="30">
        <v>27500</v>
      </c>
      <c r="D9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2026-04-07T07:09:48Z</dcterms:created>
  <dcterms:modified xsi:type="dcterms:W3CDTF">2026-04-07T07:09:48Z</dcterms:modified>
</cp:coreProperties>
</file>