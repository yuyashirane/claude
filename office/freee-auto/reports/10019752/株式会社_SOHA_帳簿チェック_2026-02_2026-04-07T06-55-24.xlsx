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<sst xmlns="http://schemas.openxmlformats.org/spreadsheetml/2006/main" count="1108" uniqueCount="429">
  <si>
    <t>株式会社 SOHA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</si>
  <si>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</si>
  <si>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</si>
  <si>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</si>
  <si>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</si>
  <si>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</si>
  <si>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</si>
  <si>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</si>
  <si>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</si>
  <si>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</si>
  <si>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</si>
  <si>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</si>
  <si>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</si>
  <si>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</si>
  <si>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</si>
  <si>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</si>
  <si>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</si>
  <si>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</si>
  <si>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</si>
  <si>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</si>
  <si>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</si>
  <si>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</si>
  <si>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</si>
  <si>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</si>
  <si>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</si>
  <si>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</si>
  <si>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</si>
  <si>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</si>
  <si>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</si>
  <si>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</si>
  <si>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</si>
  <si>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</si>
  <si>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</si>
  <si>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</si>
  <si>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</si>
  <si>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</si>
  <si>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</si>
  <si>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</si>
  <si>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</si>
  <si>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</si>
  <si>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</si>
  <si>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</si>
  <si>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</si>
  <si>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</si>
  <si>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</si>
  <si>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</si>
  <si>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</si>
  <si>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</si>
  <si>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</si>
  <si>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</si>
  <si>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</si>
  <si>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</si>
  <si>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</si>
  <si>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</si>
  <si>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</si>
  <si>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</si>
  <si>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</si>
  <si>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</si>
  <si>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</si>
  <si>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</si>
  <si>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</si>
  <si>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</si>
  <si>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</si>
  <si>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</si>
  <si>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</si>
  <si>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</si>
  <si>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</si>
  <si>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</si>
  <si>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</si>
  <si>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</si>
  <si>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</si>
  <si>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</si>
  <si>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</si>
  <si>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</si>
  <si>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</si>
  <si>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</si>
  <si>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</si>
  <si>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</si>
  <si>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</si>
  <si>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</si>
  <si>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</si>
  <si>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</si>
  <si>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</si>
  <si>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</si>
  <si>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</si>
  <si>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</si>
  <si>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</si>
  <si>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</si>
  <si>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</si>
  <si>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</si>
  <si>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</si>
  <si>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</si>
  <si>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</si>
  <si>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</si>
  <si>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</si>
  <si>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</si>
  <si>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</si>
  <si>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</si>
  <si>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</si>
  <si>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</si>
  <si>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</si>
  <si>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</si>
  <si>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</si>
  <si>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</si>
  <si>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</si>
  <si>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</si>
  <si>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</si>
  <si>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</si>
  <si>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</si>
  <si>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</si>
  <si>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</si>
  <si>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</si>
  <si>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</si>
  <si>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</si>
  <si>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</si>
  <si>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</si>
  <si>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</si>
  <si>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</si>
  <si>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</si>
  <si>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</si>
  <si>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</si>
  <si>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</si>
  <si>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</si>
  <si>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</si>
  <si>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</si>
  <si>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</si>
  <si>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</si>
  <si>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</si>
  <si>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</si>
  <si>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</si>
  <si>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</si>
  <si>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</si>
  <si>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</si>
  <si>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</si>
  <si>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</si>
  <si>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</si>
  <si>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</si>
  <si>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</si>
  <si>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</si>
  <si>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</si>
  <si>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</si>
  <si>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</si>
  <si>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</si>
  <si>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</si>
  <si>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</si>
  <si>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</si>
  <si>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</si>
  <si>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</si>
  <si>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</si>
  <si>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</si>
  <si>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</si>
  <si>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</si>
  <si>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</si>
  <si>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</si>
  <si>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</si>
  <si>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</si>
  <si>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</si>
  <si>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</si>
  <si>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</si>
  <si>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</si>
  <si>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</si>
  <si>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</si>
  <si>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</si>
  <si>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</si>
  <si>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</si>
  <si>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</si>
  <si>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</si>
  <si>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</si>
  <si>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</si>
  <si>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</si>
  <si>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</si>
  <si>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</si>
  <si>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</si>
  <si>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</si>
  <si>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</si>
  <si>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</si>
  <si>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</si>
  <si>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</si>
  <si>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</si>
  <si>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</si>
  <si>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</si>
  <si>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残高異常</t>
  </si>
  <si>
    <t>「繰越利益剰余金」にマイナス残高 -4,287,476円があります。 取引先「未選択」: -4,287,476円 ※当月取引からは原因を特定できません。期首からの累積の可能性があります。</t>
  </si>
  <si>
    <t>-4,287,476円</t>
  </si>
  <si>
    <t>記帳漏れまたは過大計上を確認してください</t>
  </si>
  <si>
    <t>2026-02-27 に同日・同額（330円）・同科目(ID:614257149)の取引が 2 件あります。重複計上の可能性があります。</t>
  </si>
  <si>
    <t>deal_id: 3336095599, 3336095491</t>
  </si>
  <si>
    <t>重複していないか確認してください</t>
  </si>
  <si>
    <t>2026-02-27 に同日・同額（660円）・同科目(ID:614257149)の取引が 7 件あります。重複計上の可能性があります。</t>
  </si>
  <si>
    <t>deal_id: 3336095408, 3336095254, 3336095173, 3336095093, 3336094928, 3336094843, 3336094762</t>
  </si>
  <si>
    <t>2026-02-27 に同日・同額（484円）・同科目(ID:614257149)の取引が 3 件あります。重複計上の可能性があります。</t>
  </si>
  <si>
    <t>deal_id: 3336094689, 3336094613, 3336094542</t>
  </si>
  <si>
    <t>2026-02-09 に同日・同額（4,082円）・同科目(ID:614257143)の取引が 2 件あります。重複計上の可能性があります。</t>
  </si>
  <si>
    <t>deal_id: 3437249589, 3437249236</t>
  </si>
  <si>
    <t>2026-02-07 に同日・同額（790円）・同科目(ID:614257139)の取引が 2 件あります。重複計上の可能性があります。</t>
  </si>
  <si>
    <t>deal_id: 3321580643, 3321580634</t>
  </si>
  <si>
    <t>営業外・税金</t>
  </si>
  <si>
    <t>「未払消費税等」に982,500円の残高があります（期首3月から12ヶ月経過）。既に納付済みであれば消込処理が必要です。</t>
  </si>
  <si>
    <t>982,500円</t>
  </si>
  <si>
    <t>納付済みの場合は当座預金からの出金で消込してください</t>
  </si>
  <si>
    <t>地代家賃</t>
  </si>
  <si>
    <t>地代家賃が前月平均比 80%増加しています（当月: 292,000円、前月平均: 162,445円）。（変動あり取引先: 三菱地所リアルエステートサービス㈱、㈲グロースコーポレーション、WeWork、岩浪喜昭、JPストレージマネジメント㈱）</t>
  </si>
  <si>
    <t>当月: 292,000円</t>
  </si>
  <si>
    <t>新規契約・解約・更新料等の理由がなければ、仕訳内容を確認してください</t>
  </si>
  <si>
    <t>人件費</t>
  </si>
  <si>
    <t>法定福利費の比率が高すぎます。給与合計 500,000円 に対し 法定福利費 216,975円（43.4%）。正常値は概ね14〜15%です。</t>
  </si>
  <si>
    <t>43.4%（給与合計: 500,000円、法定福利費: 216,975円）</t>
  </si>
  <si>
    <t>法定福利費は社会保険対象の給与合計の14〜15%程度が正常です</t>
  </si>
  <si>
    <t>外注費</t>
  </si>
  <si>
    <t>「支払手数料」で士業取引先「あしたの会計事務所」への支払 59,400円があります。「預り金（源泉所得税（士業））」に残高（4,084円）あり。源泉徴収（推定 6,064円 / 10.21%）の計上・納付を確認してください。</t>
  </si>
  <si>
    <t>支払額: 59,400円</t>
  </si>
  <si>
    <t>源泉所得税 約6,064円 を「預り金（源泉所得税（士業））」として計上し、翌月10日までに納付してください</t>
  </si>
  <si>
    <t>「支払手数料」で士業取引先「弁護士 阿部 菜穂子」への支払 22,000円があります。「預り金（源泉所得税（士業））」に残高（4,084円）あり。源泉徴収（推定 2,246円 / 10.21%）の計上・納付を確認してください。</t>
  </si>
  <si>
    <t>支払額: 22,000円</t>
  </si>
  <si>
    <t>源泉所得税 約2,246円 を「預り金（源泉所得税（士業））」として計上し、翌月10日までに納付してください</t>
  </si>
  <si>
    <t>売上・売掛金</t>
  </si>
  <si>
    <t>売上高が前年同月比 86%増加しています（当月: 2,788,500円、前年同月推定: 1,501,832円）。</t>
  </si>
  <si>
    <t>当月: 2,788,500円</t>
  </si>
  <si>
    <t>顧客増減・単価変更・業務構成の変化等の背景を確認してください</t>
  </si>
  <si>
    <t>「売掛金」の「FUSION」残高が2ヶ月連続で同額（110,000円）です。回収が滞留している可能性があります。</t>
  </si>
  <si>
    <t>110,000円（前月比変動なし）</t>
  </si>
  <si>
    <t>回収期日を確認し、顧客に入金を依頼してください。回収不能の場合は貸倒引当金の計上を検討してください</t>
  </si>
  <si>
    <t>「売掛金」の「KGモーターズ株式会社」残高が2ヶ月連続で同額（198,000円）です。回収が滞留している可能性があります。</t>
  </si>
  <si>
    <t>198,000円（前月比変動なし）</t>
  </si>
  <si>
    <t>「売掛金」の「株式会社エスエナジー」残高が2ヶ月連続で同額（550,000円）です。回収が滞留している可能性があります。</t>
  </si>
  <si>
    <t>550,000円（前月比変動なし）</t>
  </si>
  <si>
    <t>仕入・買掛金</t>
  </si>
  <si>
    <t>「外注費」が前月平均比 77%増加しています（当月: 1,413,000円、前月平均: 796,550円）。</t>
  </si>
  <si>
    <t>当月: 1,413,000円</t>
  </si>
  <si>
    <t>季節変動・大口発注以外の原因がなければ、計上漏れや二重計上を確認してください</t>
  </si>
  <si>
    <t>「未払金」の「塙　雄大」残高が2ヶ月連続で同額（411,375円）です。支払が滞留している可能性があります。</t>
  </si>
  <si>
    <t>411,375円（前月比変動なし）</t>
  </si>
  <si>
    <t>支払期日を確認し、消込処理または支払を実施してください</t>
  </si>
  <si>
    <t>「預託金」の残高 17,640円が前月から変動ありません（滞留の可能性）。</t>
  </si>
  <si>
    <t>17,640円（前月同額）</t>
  </si>
  <si>
    <t>回収・支払状況を確認し、必要に応じて貸倒処理や振替を検討してください</t>
  </si>
  <si>
    <t xml:space="preserve">　　取引先「未選択」で滞留</t>
  </si>
  <si>
    <t>17,640円</t>
  </si>
  <si>
    <t>明細を開く</t>
  </si>
  <si>
    <t>「未払金」が前月比 148% 変動（767,075円 → 1,904,589円）。</t>
  </si>
  <si>
    <t>1,904,589円（前月: 767,075円、変動率: 148%）</t>
  </si>
  <si>
    <t>変動原因を確認してください</t>
  </si>
  <si>
    <t>期間配分</t>
  </si>
  <si>
    <t>「地代家賃」で以下の取引先への計上が当月ありません。計上漏れの可能性があります: 「㈲グロースコーポレーション」（前月平均: 50,400円/月）、「JPストレージマネジメント㈱」（前月平均: 10,555円/月）</t>
  </si>
  <si>
    <t>当月 計上なし</t>
  </si>
  <si>
    <t>㈲グロースコーポレーション: 約50,400円、JPストレージマネジメント㈱: 約10,555円</t>
  </si>
  <si>
    <t>「支払手数料」で以下の取引先への計上が当月ありません。計上漏れの可能性があります: 「GVA TECH㈱」（前月平均: 9,918円/月）</t>
  </si>
  <si>
    <t>GVA TECH㈱: 約9,918円</t>
  </si>
  <si>
    <t>「通信費」で以下の取引先への計上が当月ありません。計上漏れの可能性があります: 「Semrush」（前月平均: 9,902円/月）</t>
  </si>
  <si>
    <t>Semrush: 約9,902円</t>
  </si>
  <si>
    <t>消費税区分</t>
  </si>
  <si>
    <t>「地代家賃」に2種類の税区分が混在しています（非課仕入: 2件、課対仕入10%: 2件）。</t>
  </si>
  <si>
    <t>2種類混在</t>
  </si>
  <si>
    <t>税区分ごとの内訳を確認してください</t>
  </si>
  <si>
    <t xml:space="preserve">　　非課仕入（2件・計341,900円）</t>
  </si>
  <si>
    <t>341,900円</t>
  </si>
  <si>
    <t xml:space="preserve">　　課対仕入10%（2件・計77,900円）</t>
  </si>
  <si>
    <t>77,900円</t>
  </si>
  <si>
    <t>源泉所得税</t>
  </si>
  <si>
    <t>源泉税額が期待値と乖離している取引が3件あります。消費税の税込/税抜の違い、または計算誤りの可能性があります。</t>
  </si>
  <si>
    <t>乖離 × 3件</t>
  </si>
  <si>
    <t>源泉税額を再計算してください</t>
  </si>
  <si>
    <t xml:space="preserve">　　2026-02-27  </t>
  </si>
  <si>
    <t>33,000円</t>
  </si>
  <si>
    <t>預り金: 3,063円（期待: 3,369円）</t>
  </si>
  <si>
    <t xml:space="preserve">　　2026-02-27  2月顧問料</t>
  </si>
  <si>
    <t>22,000円</t>
  </si>
  <si>
    <t>預り金: 2,042円（期待: 2,246円）</t>
  </si>
  <si>
    <t xml:space="preserve">　　2026-02-03  </t>
  </si>
  <si>
    <t>99円</t>
  </si>
  <si>
    <t>預り金: 7,147円（期待: 10円）</t>
  </si>
  <si>
    <t>預り金の残高が前月比で大幅に増加しています（45,899円 → 191,882円、増加145,983円）。源泉税の納付漏れの可能性があります。</t>
  </si>
  <si>
    <t>191,882円（前月: 45,899円）</t>
  </si>
  <si>
    <t>源泉所得税の納付状況を確認してください</t>
  </si>
  <si>
    <t>「雑収入」に770円が計上されています。内容を確認し、適切な科目で記録されているか確認してください。</t>
  </si>
  <si>
    <t>770円</t>
  </si>
  <si>
    <t>受取手数料・受取保険金等、適切な科目への振替を検討してください</t>
  </si>
  <si>
    <t>受取利息25,046円に対する源泉所得税（15.315%）の計上を確認してください。</t>
  </si>
  <si>
    <t>受取利息: 25,046円</t>
  </si>
  <si>
    <t>源泉税 約3,835円を「法人税・住民税及び事業税」または「仮払法人税等」で処理してください</t>
  </si>
  <si>
    <t>「役員賞与」が今月新たに計上されています（1,000,000円）。</t>
  </si>
  <si>
    <t>当月: 1,000,000円</t>
  </si>
  <si>
    <t>計上内容と金額の妥当性を確認してください</t>
  </si>
  <si>
    <t>「保険料」が前月平均比 458%変動しています（当月: -77,593円、前月平均: 21,690円）。</t>
  </si>
  <si>
    <t>当月: -77,593円</t>
  </si>
  <si>
    <t>「交際費」が前月平均比 363%変動しています（当月: 238,442円、前月平均: 51,538円）。</t>
  </si>
  <si>
    <t>当月: 238,442円</t>
  </si>
  <si>
    <t>「旅費交通費」が前月平均比 62%変動しています（当月: 20,350円、前月平均: 53,247円）。</t>
  </si>
  <si>
    <t>当月: 20,350円</t>
  </si>
  <si>
    <t>「車両費」が前月平均比 59%変動しています（当月: 11,831円、前月平均: 29,067円）。</t>
  </si>
  <si>
    <t>当月: 11,831円</t>
  </si>
  <si>
    <t>「地代家賃」の取引先「三菱地所リアルエステートサービス㈱」が前月平均比 267% 変動しています（前月平均: 59,755円 → 当月: 219,100円）。期間配分の観点から確認を推奨します。</t>
  </si>
  <si>
    <t>当月: 219,100円（前月平均: 59,755円）</t>
  </si>
  <si>
    <t>一時的な金額増減か、契約変更等によるものか確認してください</t>
  </si>
  <si>
    <t>「地代家賃」の取引先「WeWork」が前月平均比 89% 変動しています（前月平均: 22,645円 → 当月: 42,900円）。期間配分の観点から確認を推奨します。</t>
  </si>
  <si>
    <t>当月: 42,900円（前月平均: 22,645円）</t>
  </si>
  <si>
    <t>「地代家賃」の取引先「岩浪喜昭」が前月平均比 57% 変動しています（前月平均: 19,091円 → 当月: 30,000円）。期間配分の観点から確認を推奨します。</t>
  </si>
  <si>
    <t>当月: 30,000円（前月平均: 19,091円）</t>
  </si>
  <si>
    <t>「支払手数料」の取引先「あしたの会計事務所」が前月平均比 75% 変動しています（前月平均: 34,000円 → 当月: 59,400円）。期間配分の観点から確認を推奨します。</t>
  </si>
  <si>
    <t>当月: 59,400円（前月平均: 34,000円）</t>
  </si>
  <si>
    <t>「支払手数料」の取引先「弁護士 阿部 菜穂子」が前月平均比 57% 変動しています（前月平均: 14,000円 → 当月: 22,000円）。期間配分の観点から確認を推奨します。</t>
  </si>
  <si>
    <t>当月: 22,000円（前月平均: 14,000円）</t>
  </si>
  <si>
    <t>「保険料」の取引先「チューリッヒ」が前月平均比 286% 変動しています（前月平均: 20,086円 → 当月: -77,593円）。期間配分の観点から確認を推奨します。</t>
  </si>
  <si>
    <t>当月: -77,593円（前月平均: 20,086円）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</si>
  <si>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</si>
  <si>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</si>
  <si>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</si>
  <si>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</si>
  <si>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</si>
  <si>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</si>
  <si>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</si>
  <si>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</si>
  <si>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</si>
  <si>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</si>
  <si>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</si>
  <si>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</si>
  <si>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</si>
  <si>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</si>
  <si>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三菱ＵＦＪ（法人）（API）</t>
  </si>
  <si>
    <t>-4.9%</t>
  </si>
  <si>
    <t>元帳を開く</t>
  </si>
  <si>
    <t>売掛金</t>
  </si>
  <si>
    <t>7.2%</t>
  </si>
  <si>
    <t>前払費用</t>
  </si>
  <si>
    <t>158.6%</t>
  </si>
  <si>
    <t>△</t>
  </si>
  <si>
    <t>役員貸付金</t>
  </si>
  <si>
    <t>車両運搬具</t>
  </si>
  <si>
    <t>-14.3%</t>
  </si>
  <si>
    <t>工具器具備品</t>
  </si>
  <si>
    <t>-100.0%</t>
  </si>
  <si>
    <t>営業権</t>
  </si>
  <si>
    <t>-5.9%</t>
  </si>
  <si>
    <t>長期前払費用</t>
  </si>
  <si>
    <t>-3.3%</t>
  </si>
  <si>
    <t>預託金</t>
  </si>
  <si>
    <t>0.0%</t>
  </si>
  <si>
    <t>役員借入金</t>
  </si>
  <si>
    <t>立替経費（塙）</t>
  </si>
  <si>
    <t>-0.7%</t>
  </si>
  <si>
    <t>未払金</t>
  </si>
  <si>
    <t>148.3%</t>
  </si>
  <si>
    <t>セゾンカード</t>
  </si>
  <si>
    <t>-6.8%</t>
  </si>
  <si>
    <t>VIEWカード</t>
  </si>
  <si>
    <t>854.2%</t>
  </si>
  <si>
    <t>未払法人税等</t>
  </si>
  <si>
    <t>未払消費税等</t>
  </si>
  <si>
    <t>16.6%</t>
  </si>
  <si>
    <t>預り金</t>
  </si>
  <si>
    <t>318.1%</t>
  </si>
  <si>
    <t>長期借入金</t>
  </si>
  <si>
    <t>-4.2%</t>
  </si>
  <si>
    <t>長期未払金</t>
  </si>
  <si>
    <t>-5.5%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</si>
  <si>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</si>
  <si>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</si>
  <si>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</si>
  <si>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</si>
  <si>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</si>
  <si>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</si>
  <si>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</si>
  <si>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</si>
  <si>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</si>
  <si>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</si>
  <si>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</si>
  <si>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</si>
  <si>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</si>
  <si>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</si>
  <si>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</si>
  <si>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</si>
  <si>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</si>
  <si>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</si>
  <si>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</si>
  <si>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</si>
  <si>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役員賞与</t>
  </si>
  <si>
    <t xml:space="preserve">  法定福利費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</si>
  <si>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</si>
  <si>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</si>
  <si>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</si>
  <si>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</si>
  <si>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</si>
  <si>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</si>
  <si>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</si>
  <si>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</si>
  <si>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</si>
  <si>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</si>
  <si>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</si>
  <si>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</si>
  <si>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</si>
  <si>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</si>
  <si>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</si>
  <si>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</si>
  <si>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</si>
  <si>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</si>
  <si>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</si>
  <si>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</si>
  <si>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</si>
  <si>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</si>
  <si>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</si>
  <si>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</si>
  <si>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</si>
  <si>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</si>
  <si>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</si>
  <si>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</si>
  <si>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</si>
  <si>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</si>
  <si>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</si>
  <si>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</si>
  <si>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</si>
  <si>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COLORUS81</t>
  </si>
  <si>
    <t>上野年金事務所</t>
  </si>
  <si>
    <t>株式会社エスエナジー</t>
  </si>
  <si>
    <t>滞留</t>
  </si>
  <si>
    <t>塙　雄大</t>
  </si>
  <si>
    <t>くつざわみき</t>
  </si>
  <si>
    <t>KGモーターズ株式会社</t>
  </si>
  <si>
    <t>TinyBetter株式会社</t>
  </si>
  <si>
    <t>株式会社WEBRAL</t>
  </si>
  <si>
    <t>日本政策金融公庫</t>
  </si>
  <si>
    <t>FUSION</t>
  </si>
  <si>
    <t>たかはしまり</t>
  </si>
  <si>
    <t>北村　有</t>
  </si>
  <si>
    <t>あしたの会計事務所</t>
  </si>
  <si>
    <t>中吉 大樹</t>
  </si>
  <si>
    <t>はまさき ゆうこ</t>
  </si>
  <si>
    <t>わたなべ さやか</t>
  </si>
  <si>
    <t>まつもとしおり</t>
  </si>
  <si>
    <t>斉藤　雄二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</si>
</sst>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3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4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5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7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8" Type="http://schemas.openxmlformats.org/officeDocument/2006/relationships/hyperlink" Target="https://secure.freee.co.jp/reports/general_ledgers/show?name=%E5%A3%B2%E6%8E%9B%E9%87%91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3" Type="http://schemas.openxmlformats.org/officeDocument/2006/relationships/hyperlink" Target="https://secure.freee.co.jp/reports/journals?start_date=2022-03-01&amp;end_date=2026-02-28&amp;name=%E9%A0%90%E8%A8%97%E9%87%91" TargetMode="External"/><Relationship Id="rId14" Type="http://schemas.openxmlformats.org/officeDocument/2006/relationships/hyperlink" Target="https://secure.freee.co.jp/reports/journals?start_date=2022-03-01&amp;end_date=2026-02-28&amp;name=%E9%A0%90%E8%A8%97%E9%87%91" TargetMode="External"/><Relationship Id="rId15" Type="http://schemas.openxmlformats.org/officeDocument/2006/relationships/hyperlink" Target="https://secure.freee.co.jp/reports/general_ledgers/show?name=%E6%9C%AA%E6%89%95%E9%87%91&amp;start_date=2026-02-01&amp;end_date=2026-02-28&amp;fiscal_year_id=9701941" TargetMode="External"/><Relationship Id="rId16" Type="http://schemas.openxmlformats.org/officeDocument/2006/relationships/hyperlink" Target="https://secure.freee.co.jp/reports/journals?start_date=2025-03-01&amp;end_date=2026-02-28&amp;name=%E5%9C%B0%E4%BB%A3%E5%AE%B6%E8%B3%83" TargetMode="External"/><Relationship Id="rId17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8" Type="http://schemas.openxmlformats.org/officeDocument/2006/relationships/hyperlink" Target="https://secure.freee.co.jp/reports/journals?start_date=2025-03-01&amp;end_date=2026-02-28&amp;name=%E9%80%9A%E4%BF%A1%E8%B2%BB" TargetMode="External"/><Relationship Id="rId19" Type="http://schemas.openxmlformats.org/officeDocument/2006/relationships/hyperlink" Target="https://secure.freee.co.jp/reports/general_ledgers/show?name=%E5%9C%B0%E4%BB%A3%E5%AE%B6%E8%B3%83&amp;start_date=2026-02-01&amp;end_date=2026-02-28&amp;fiscal_year_id=9701941" TargetMode="External"/><Relationship Id="rId20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7" TargetMode="External"/><Relationship Id="rId21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4&amp;tax_rate=10&amp;tax_reduced=false" TargetMode="External"/><Relationship Id="rId22" Type="http://schemas.openxmlformats.org/officeDocument/2006/relationships/hyperlink" Target="https://secure.freee.co.jp/reports/journals?deal_id=3437188411" TargetMode="External"/><Relationship Id="rId23" Type="http://schemas.openxmlformats.org/officeDocument/2006/relationships/hyperlink" Target="https://secure.freee.co.jp/reports/journals?deal_id=3437180917" TargetMode="External"/><Relationship Id="rId24" Type="http://schemas.openxmlformats.org/officeDocument/2006/relationships/hyperlink" Target="https://secure.freee.co.jp/reports/journals?deal_id=3437461348" TargetMode="External"/><Relationship Id="rId25" Type="http://schemas.openxmlformats.org/officeDocument/2006/relationships/hyperlink" Target="https://secure.freee.co.jp/reports/general_ledgers/show?name=%E9%A0%90%E3%82%8A%E9%87%91&amp;start_date=2026-02-01&amp;end_date=2026-02-28&amp;fiscal_year_id=9701941" TargetMode="External"/><Relationship Id="rId2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27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28" Type="http://schemas.openxmlformats.org/officeDocument/2006/relationships/hyperlink" Target="https://secure.freee.co.jp/reports/general_ledgers/show?name=%E4%BF%9D%E9%99%BA%E6%96%99&amp;start_date=2026-02-01&amp;end_date=2026-02-28" TargetMode="External"/><Relationship Id="rId29" Type="http://schemas.openxmlformats.org/officeDocument/2006/relationships/hyperlink" Target="https://secure.freee.co.jp/reports/general_ledgers/show?name=%E4%BA%A4%E9%9A%9B%E8%B2%BB&amp;start_date=2026-02-01&amp;end_date=2026-02-28" TargetMode="External"/><Relationship Id="rId30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31" Type="http://schemas.openxmlformats.org/officeDocument/2006/relationships/hyperlink" Target="https://secure.freee.co.jp/reports/general_ledgers/show?name=%E8%BB%8A%E4%B8%A1%E8%B2%BB&amp;start_date=2026-02-01&amp;end_date=2026-02-28" TargetMode="External"/><Relationship Id="rId32" Type="http://schemas.openxmlformats.org/officeDocument/2006/relationships/hyperlink" Target="https://secure.freee.co.jp/reports/journals?start_date=2025-03-01&amp;end_date=2026-02-28&amp;name=%E5%9C%B0%E4%BB%A3%E5%AE%B6%E8%B3%83" TargetMode="External"/><Relationship Id="rId33" Type="http://schemas.openxmlformats.org/officeDocument/2006/relationships/hyperlink" Target="https://secure.freee.co.jp/reports/journals?start_date=2025-03-01&amp;end_date=2026-02-28&amp;name=%E5%9C%B0%E4%BB%A3%E5%AE%B6%E8%B3%83" TargetMode="External"/><Relationship Id="rId34" Type="http://schemas.openxmlformats.org/officeDocument/2006/relationships/hyperlink" Target="https://secure.freee.co.jp/reports/journals?start_date=2025-03-01&amp;end_date=2026-02-28&amp;name=%E5%9C%B0%E4%BB%A3%E5%AE%B6%E8%B3%83" TargetMode="External"/><Relationship Id="rId35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3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37" Type="http://schemas.openxmlformats.org/officeDocument/2006/relationships/hyperlink" Target="https://secure.freee.co.jp/reports/journals?start_date=2025-03-01&amp;end_date=2026-02-28&amp;name=%E4%BF%9D%E9%99%BA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&amp;fiscal_year_id=9701941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7" TargetMode="External"/><Relationship Id="rId3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4&amp;tax_rate=1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437188411" TargetMode="External"/><Relationship Id="rId2" Type="http://schemas.openxmlformats.org/officeDocument/2006/relationships/hyperlink" Target="https://secure.freee.co.jp/reports/journals?deal_id=3437180917" TargetMode="External"/><Relationship Id="rId3" Type="http://schemas.openxmlformats.org/officeDocument/2006/relationships/hyperlink" Target="https://secure.freee.co.jp/reports/journals?deal_id=3437461348" TargetMode="External"/><Relationship Id="rId4" Type="http://schemas.openxmlformats.org/officeDocument/2006/relationships/hyperlink" Target="https://secure.freee.co.jp/reports/general_ledgers/show?name=%E9%A0%90%E3%82%8A%E9%87%91&amp;start_date=2026-02-01&amp;end_date=2026-02-28&amp;fiscal_year_id=970194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2" Type="http://schemas.openxmlformats.org/officeDocument/2006/relationships/hyperlink" Target="https://secure.freee.co.jp/reports/journals?start_date=2022-03-01&amp;end_date=2026-02-28&amp;name=%E9%A0%90%E8%A8%97%E9%87%91" TargetMode="External"/><Relationship Id="rId3" Type="http://schemas.openxmlformats.org/officeDocument/2006/relationships/hyperlink" Target="https://secure.freee.co.jp/reports/journals?start_date=2022-03-01&amp;end_date=2026-02-28&amp;name=%E9%A0%90%E8%A8%97%E9%87%91" TargetMode="External"/><Relationship Id="rId4" Type="http://schemas.openxmlformats.org/officeDocument/2006/relationships/hyperlink" Target="https://secure.freee.co.jp/reports/general_ledgers/show?name=%E6%9C%AA%E6%89%95%E9%87%91&amp;start_date=2026-02-01&amp;end_date=2026-02-28&amp;fiscal_year_id=970194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5" Type="http://schemas.openxmlformats.org/officeDocument/2006/relationships/hyperlink" Target="https://secure.freee.co.jp/reports/general_ledgers/show?name=%E5%A3%B2%E6%8E%9B%E9%87%91&amp;start_date=2026-02-01&amp;end_date=2026-02-28" TargetMode="External"/><Relationship Id="rId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journals?start_date=2025-03-01&amp;end_date=2026-02-28&amp;name=%E5%9C%B0%E4%BB%A3%E5%AE%B6%E8%B3%83" TargetMode="External"/><Relationship Id="rId1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2" Type="http://schemas.openxmlformats.org/officeDocument/2006/relationships/hyperlink" Target="https://secure.freee.co.jp/reports/journals?start_date=2025-03-01&amp;end_date=2026-02-28&amp;name=%E9%80%9A%E4%BF%A1%E8%B2%BB" TargetMode="External"/><Relationship Id="rId13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14" Type="http://schemas.openxmlformats.org/officeDocument/2006/relationships/hyperlink" Target="https://secure.freee.co.jp/reports/general_ledgers/show?name=%E4%BF%9D%E9%99%BA%E6%96%99&amp;start_date=2026-02-01&amp;end_date=2026-02-28" TargetMode="External"/><Relationship Id="rId15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6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7" Type="http://schemas.openxmlformats.org/officeDocument/2006/relationships/hyperlink" Target="https://secure.freee.co.jp/reports/general_ledgers/show?name=%E8%BB%8A%E4%B8%A1%E8%B2%BB&amp;start_date=2026-02-01&amp;end_date=2026-02-28" TargetMode="External"/><Relationship Id="rId18" Type="http://schemas.openxmlformats.org/officeDocument/2006/relationships/hyperlink" Target="https://secure.freee.co.jp/reports/journals?start_date=2025-03-01&amp;end_date=2026-02-28&amp;name=%E5%9C%B0%E4%BB%A3%E5%AE%B6%E8%B3%83" TargetMode="External"/><Relationship Id="rId19" Type="http://schemas.openxmlformats.org/officeDocument/2006/relationships/hyperlink" Target="https://secure.freee.co.jp/reports/journals?start_date=2025-03-01&amp;end_date=2026-02-28&amp;name=%E5%9C%B0%E4%BB%A3%E5%AE%B6%E8%B3%83" TargetMode="External"/><Relationship Id="rId20" Type="http://schemas.openxmlformats.org/officeDocument/2006/relationships/hyperlink" Target="https://secure.freee.co.jp/reports/journals?start_date=2025-03-01&amp;end_date=2026-02-28&amp;name=%E5%9C%B0%E4%BB%A3%E5%AE%B6%E8%B3%83" TargetMode="External"/><Relationship Id="rId2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2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3" Type="http://schemas.openxmlformats.org/officeDocument/2006/relationships/hyperlink" Target="https://secure.freee.co.jp/reports/journals?start_date=2025-03-01&amp;end_date=2026-02-28&amp;name=%E4%BF%9D%E9%99%BA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3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4%B8%89%E8%8F%B1%EF%BC%B5%EF%BC%A6%EF%BC%AA%EF%BC%88%E6%B3%95%E4%BA%BA%EF%BC%89%EF%BC%88API%EF%BC%89&amp;start_date=2025-03-01&amp;end_date=2026-02-28&amp;fiscal_year_id=9701941" TargetMode="External"/><Relationship Id="rId2" Type="http://schemas.openxmlformats.org/officeDocument/2006/relationships/hyperlink" Target="https://secure.freee.co.jp/reports/general_ledgers/show?name=%E5%A3%B2%E6%8E%9B%E9%87%91&amp;start_date=2025-03-01&amp;end_date=2026-02-28&amp;fiscal_year_id=9701941" TargetMode="External"/><Relationship Id="rId3" Type="http://schemas.openxmlformats.org/officeDocument/2006/relationships/hyperlink" Target="https://secure.freee.co.jp/reports/general_ledgers/show?name=%E5%89%8D%E6%89%95%E8%B2%BB%E7%94%A8&amp;start_date=2025-03-01&amp;end_date=2026-02-28&amp;fiscal_year_id=9701941" TargetMode="External"/><Relationship Id="rId4" Type="http://schemas.openxmlformats.org/officeDocument/2006/relationships/hyperlink" Target="https://secure.freee.co.jp/reports/journals?start_date=2023-03-01&amp;end_date=2026-02-28&amp;name=%E5%BD%B9%E5%93%A1%E8%B2%B8%E4%BB%98%E9%87%91" TargetMode="External"/><Relationship Id="rId5" Type="http://schemas.openxmlformats.org/officeDocument/2006/relationships/hyperlink" Target="https://secure.freee.co.jp/reports/general_ledgers/show?name=%E8%BB%8A%E4%B8%A1%E9%81%8B%E6%90%AC%E5%85%B7&amp;start_date=2025-03-01&amp;end_date=2026-02-28&amp;fiscal_year_id=9701941" TargetMode="External"/><Relationship Id="rId6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01941" TargetMode="External"/><Relationship Id="rId7" Type="http://schemas.openxmlformats.org/officeDocument/2006/relationships/hyperlink" Target="https://secure.freee.co.jp/reports/general_ledgers/show?name=%E5%96%B6%E6%A5%AD%E6%A8%A9&amp;start_date=2025-03-01&amp;end_date=2026-02-28&amp;fiscal_year_id=9701941" TargetMode="External"/><Relationship Id="rId8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01941" TargetMode="External"/><Relationship Id="rId9" Type="http://schemas.openxmlformats.org/officeDocument/2006/relationships/hyperlink" Target="https://secure.freee.co.jp/reports/journals?start_date=2022-03-01&amp;end_date=2026-02-28&amp;name=%E9%A0%90%E8%A8%97%E9%87%91" TargetMode="External"/><Relationship Id="rId10" Type="http://schemas.openxmlformats.org/officeDocument/2006/relationships/hyperlink" Target="https://secure.freee.co.jp/reports/journals?start_date=2022-03-01&amp;end_date=2026-02-28&amp;name=%E5%BD%B9%E5%93%A1%E5%80%9F%E5%85%A5%E9%87%91" TargetMode="External"/><Relationship Id="rId11" Type="http://schemas.openxmlformats.org/officeDocument/2006/relationships/hyperlink" Target="https://secure.freee.co.jp/reports/general_ledgers/show?name=%E7%AB%8B%E6%9B%BF%E7%B5%8C%E8%B2%BB%EF%BC%88%E5%A1%99%EF%BC%89&amp;start_date=2025-03-01&amp;end_date=2026-02-28&amp;fiscal_year_id=9701941" TargetMode="External"/><Relationship Id="rId12" Type="http://schemas.openxmlformats.org/officeDocument/2006/relationships/hyperlink" Target="https://secure.freee.co.jp/reports/general_ledgers/show?name=%E6%9C%AA%E6%89%95%E9%87%91&amp;start_date=2025-03-01&amp;end_date=2026-02-28&amp;fiscal_year_id=9701941" TargetMode="External"/><Relationship Id="rId13" Type="http://schemas.openxmlformats.org/officeDocument/2006/relationships/hyperlink" Target="https://secure.freee.co.jp/reports/general_ledgers/show?name=%E3%82%BB%E3%82%BE%E3%83%B3%E3%82%AB%E3%83%BC%E3%83%89&amp;start_date=2025-03-01&amp;end_date=2026-02-28&amp;fiscal_year_id=9701941" TargetMode="External"/><Relationship Id="rId14" Type="http://schemas.openxmlformats.org/officeDocument/2006/relationships/hyperlink" Target="https://secure.freee.co.jp/reports/general_ledgers/show?name=VIEW%E3%82%AB%E3%83%BC%E3%83%89&amp;start_date=2025-03-01&amp;end_date=2026-02-28&amp;fiscal_year_id=9701941" TargetMode="External"/><Relationship Id="rId15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6" Type="http://schemas.openxmlformats.org/officeDocument/2006/relationships/hyperlink" Target="https://secure.freee.co.jp/reports/general_ledgers/show?name=%E6%9C%AA%E6%89%95%E6%B6%88%E8%B2%BB%E7%A8%8E%E7%AD%89&amp;start_date=2025-03-01&amp;end_date=2026-02-28&amp;fiscal_year_id=9701941" TargetMode="External"/><Relationship Id="rId17" Type="http://schemas.openxmlformats.org/officeDocument/2006/relationships/hyperlink" Target="https://secure.freee.co.jp/reports/general_ledgers/show?name=%E9%A0%90%E3%82%8A%E9%87%91&amp;start_date=2025-03-01&amp;end_date=2026-02-28&amp;fiscal_year_id=9701941" TargetMode="External"/><Relationship Id="rId18" Type="http://schemas.openxmlformats.org/officeDocument/2006/relationships/hyperlink" Target="https://secure.freee.co.jp/reports/general_ledgers/show?name=%E9%95%B7%E6%9C%9F%E5%80%9F%E5%85%A5%E9%87%91&amp;start_date=2025-03-01&amp;end_date=2026-02-28&amp;fiscal_year_id=9701941" TargetMode="External"/><Relationship Id="rId19" Type="http://schemas.openxmlformats.org/officeDocument/2006/relationships/hyperlink" Target="https://secure.freee.co.jp/reports/general_ledgers/show?name=%E9%95%B7%E6%9C%9F%E6%9C%AA%E6%89%95%E9%87%91&amp;start_date=2025-03-01&amp;end_date=2026-02-28&amp;fiscal_year_id=9701941" TargetMode="External"/><Relationship Id="rId20" Type="http://schemas.openxmlformats.org/officeDocument/2006/relationships/hyperlink" Target="https://secure.freee.co.jp/reports/journals?start_date=2021-03-01&amp;end_date=2026-02-28&amp;name=%E8%B3%87%E6%9C%AC%E9%87%91" TargetMode="External"/><Relationship Id="rId2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01941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01941" TargetMode="External"/><Relationship Id="rId3" Type="http://schemas.openxmlformats.org/officeDocument/2006/relationships/hyperlink" Target="https://secure.freee.co.jp/reports/general_ledgers/show?name=%E6%B3%95%E5%AE%9A%E7%A6%8F%E5%88%A9%E8%B2%BB&amp;start_date=2025-03-01&amp;end_date=2026-02-28&amp;fiscal_year_id=9701941" TargetMode="External"/><Relationship Id="rId4" Type="http://schemas.openxmlformats.org/officeDocument/2006/relationships/hyperlink" Target="https://secure.freee.co.jp/reports/general_ledgers/show?name=%E5%A4%96%E6%B3%A8%E8%B2%BB&amp;start_date=2025-03-01&amp;end_date=2026-02-28&amp;fiscal_year_id=9701941" TargetMode="External"/><Relationship Id="rId5" Type="http://schemas.openxmlformats.org/officeDocument/2006/relationships/hyperlink" Target="https://secure.freee.co.jp/reports/general_ledgers/show?name=%E5%BA%83%E5%91%8A%E5%AE%A3%E4%BC%9D%E8%B2%BB&amp;start_date=2025-03-01&amp;end_date=2026-02-28&amp;fiscal_year_id=9701941" TargetMode="External"/><Relationship Id="rId6" Type="http://schemas.openxmlformats.org/officeDocument/2006/relationships/hyperlink" Target="https://secure.freee.co.jp/reports/general_ledgers/show?name=%E4%BA%A4%E9%9A%9B%E8%B2%BB&amp;start_date=2025-03-01&amp;end_date=2026-02-28&amp;fiscal_year_id=9701941" TargetMode="External"/><Relationship Id="rId7" Type="http://schemas.openxmlformats.org/officeDocument/2006/relationships/hyperlink" Target="https://secure.freee.co.jp/reports/general_ledgers/show?name=%E4%BC%9A%E8%AD%B0%E8%B2%BB&amp;start_date=2025-03-01&amp;end_date=2026-02-28&amp;fiscal_year_id=9701941" TargetMode="External"/><Relationship Id="rId8" Type="http://schemas.openxmlformats.org/officeDocument/2006/relationships/hyperlink" Target="https://secure.freee.co.jp/reports/general_ledgers/show?name=%E6%97%85%E8%B2%BB%E4%BA%A4%E9%80%9A%E8%B2%BB&amp;start_date=2025-03-01&amp;end_date=2026-02-28&amp;fiscal_year_id=9701941" TargetMode="External"/><Relationship Id="rId9" Type="http://schemas.openxmlformats.org/officeDocument/2006/relationships/hyperlink" Target="https://secure.freee.co.jp/reports/general_ledgers/show?name=%E9%80%9A%E4%BF%A1%E8%B2%BB&amp;start_date=2025-03-01&amp;end_date=2026-02-28&amp;fiscal_year_id=9701941" TargetMode="External"/><Relationship Id="rId10" Type="http://schemas.openxmlformats.org/officeDocument/2006/relationships/hyperlink" Target="https://secure.freee.co.jp/reports/general_ledgers/show?name=%E6%B6%88%E8%80%97%E5%93%81%E8%B2%BB&amp;start_date=2025-03-01&amp;end_date=2026-02-28&amp;fiscal_year_id=9701941" TargetMode="External"/><Relationship Id="rId11" Type="http://schemas.openxmlformats.org/officeDocument/2006/relationships/hyperlink" Target="https://secure.freee.co.jp/reports/general_ledgers/show?name=%E6%B0%B4%E9%81%93%E5%85%89%E7%86%B1%E8%B2%BB&amp;start_date=2025-03-01&amp;end_date=2026-02-28&amp;fiscal_year_id=9701941" TargetMode="External"/><Relationship Id="rId12" Type="http://schemas.openxmlformats.org/officeDocument/2006/relationships/hyperlink" Target="https://secure.freee.co.jp/reports/general_ledgers/show?name=%E6%96%B0%E8%81%9E%E5%9B%B3%E6%9B%B8%E8%B2%BB&amp;start_date=2025-03-01&amp;end_date=2026-02-28&amp;fiscal_year_id=9701941" TargetMode="External"/><Relationship Id="rId13" Type="http://schemas.openxmlformats.org/officeDocument/2006/relationships/hyperlink" Target="https://secure.freee.co.jp/reports/general_ledgers/show?name=%E8%AB%B8%E4%BC%9A%E8%B2%BB&amp;start_date=2025-03-01&amp;end_date=2026-02-28&amp;fiscal_year_id=9701941" TargetMode="External"/><Relationship Id="rId14" Type="http://schemas.openxmlformats.org/officeDocument/2006/relationships/hyperlink" Target="https://secure.freee.co.jp/reports/general_ledgers/show?name=%E6%94%AF%E6%89%95%E6%89%8B%E6%95%B0%E6%96%99&amp;start_date=2025-03-01&amp;end_date=2026-02-28&amp;fiscal_year_id=9701941" TargetMode="External"/><Relationship Id="rId15" Type="http://schemas.openxmlformats.org/officeDocument/2006/relationships/hyperlink" Target="https://secure.freee.co.jp/reports/general_ledgers/show?name=%E8%BB%8A%E4%B8%A1%E8%B2%BB&amp;start_date=2025-03-01&amp;end_date=2026-02-28&amp;fiscal_year_id=9701941" TargetMode="External"/><Relationship Id="rId16" Type="http://schemas.openxmlformats.org/officeDocument/2006/relationships/hyperlink" Target="https://secure.freee.co.jp/reports/general_ledgers/show?name=%E5%9C%B0%E4%BB%A3%E5%AE%B6%E8%B3%83&amp;start_date=2025-03-01&amp;end_date=2026-02-28&amp;fiscal_year_id=9701941" TargetMode="External"/><Relationship Id="rId17" Type="http://schemas.openxmlformats.org/officeDocument/2006/relationships/hyperlink" Target="https://secure.freee.co.jp/reports/general_ledgers/show?name=%E4%BF%9D%E9%99%BA%E6%96%99&amp;start_date=2025-03-01&amp;end_date=2026-02-28&amp;fiscal_year_id=9701941" TargetMode="External"/><Relationship Id="rId18" Type="http://schemas.openxmlformats.org/officeDocument/2006/relationships/hyperlink" Target="https://secure.freee.co.jp/reports/general_ledgers/show?name=%E7%A7%9F%E7%A8%8E%E5%85%AC%E8%AA%B2&amp;start_date=2025-03-01&amp;end_date=2026-02-28&amp;fiscal_year_id=9701941" TargetMode="External"/><Relationship Id="rId19" Type="http://schemas.openxmlformats.org/officeDocument/2006/relationships/hyperlink" Target="https://secure.freee.co.jp/reports/general_ledgers/show?name=%E6%B8%9B%E4%BE%A1%E5%84%9F%E5%8D%B4%E8%B2%BB&amp;start_date=2025-03-01&amp;end_date=2026-02-28&amp;fiscal_year_id=9701941" TargetMode="External"/><Relationship Id="rId20" Type="http://schemas.openxmlformats.org/officeDocument/2006/relationships/hyperlink" Target="https://secure.freee.co.jp/reports/general_ledgers/show?name=%E5%8F%97%E5%8F%96%E5%88%A9%E6%81%AF&amp;start_date=2025-03-01&amp;end_date=2026-02-28&amp;fiscal_year_id=9701941" TargetMode="External"/><Relationship Id="rId21" Type="http://schemas.openxmlformats.org/officeDocument/2006/relationships/hyperlink" Target="https://secure.freee.co.jp/reports/general_ledgers/show?name=%E9%9B%91%E5%8F%8E%E5%85%A5&amp;start_date=2025-03-01&amp;end_date=2026-02-28&amp;fiscal_year_id=9701941" TargetMode="External"/><Relationship Id="rId22" Type="http://schemas.openxmlformats.org/officeDocument/2006/relationships/hyperlink" Target="https://secure.freee.co.jp/reports/general_ledgers/show?name=%E6%94%AF%E6%89%95%E5%88%A9%E6%81%AF&amp;start_date=2025-03-01&amp;end_date=2026-02-28&amp;fiscal_year_id=9701941" TargetMode="External"/><Relationship Id="rId23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01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2</v>
      </c>
      <c r="C9" s="8">
        <v>24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 t="s">
        <v>18</v>
      </c>
      <c r="C15" s="11">
        <v>2</v>
      </c>
      <c r="D15" s="11" t="s">
        <v>18</v>
      </c>
      <c r="E15" s="11">
        <v>2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2</v>
      </c>
      <c r="D17" s="11" t="s">
        <v>18</v>
      </c>
      <c r="E17" s="11">
        <v>3</v>
      </c>
    </row>
    <row r="18" spans="1:5" x14ac:dyDescent="0.25">
      <c r="A18" s="10" t="s">
        <v>22</v>
      </c>
      <c r="B18" s="11" t="s">
        <v>18</v>
      </c>
      <c r="C18" s="11">
        <v>13</v>
      </c>
      <c r="D18" s="11">
        <v>11</v>
      </c>
      <c r="E18" s="11">
        <v>24</v>
      </c>
    </row>
    <row r="19" spans="1:5" x14ac:dyDescent="0.25">
      <c r="A19" s="10" t="s">
        <v>23</v>
      </c>
      <c r="B19" s="11">
        <v>1</v>
      </c>
      <c r="C19" s="11">
        <v>6</v>
      </c>
      <c r="D19" s="11">
        <v>2</v>
      </c>
      <c r="E19" s="11">
        <v>9</v>
      </c>
    </row>
    <row r="20" spans="1:5" x14ac:dyDescent="0.25">
      <c r="A20" s="12" t="s">
        <v>16</v>
      </c>
      <c r="B20" s="13">
        <v>2</v>
      </c>
      <c r="C20" s="13">
        <v>24</v>
      </c>
      <c r="D20" s="13">
        <v>13</v>
      </c>
      <c r="E20" s="13">
        <v>39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5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4" t="s">
        <v>52</v>
      </c>
      <c r="B36" s="14" t="s">
        <v>53</v>
      </c>
      <c r="C36" s="15" t="s">
        <v>30</v>
      </c>
      <c r="D36" s="15">
        <v>1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35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3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1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6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4" t="s">
        <v>156</v>
      </c>
      <c r="B88" s="14" t="s">
        <v>157</v>
      </c>
      <c r="C88" s="15" t="s">
        <v>30</v>
      </c>
      <c r="D88" s="15">
        <v>1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110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4" t="s">
        <v>14</v>
      </c>
      <c r="B4" s="14" t="s">
        <v>31</v>
      </c>
      <c r="C4" s="14" t="s">
        <v>176</v>
      </c>
      <c r="D4" s="19" t="s">
        <v>185</v>
      </c>
      <c r="E4" s="14" t="s">
        <v>186</v>
      </c>
      <c r="F4" s="19" t="s">
        <v>187</v>
      </c>
      <c r="G4" s="14" t="s">
        <v>6</v>
      </c>
    </row>
    <row r="5" spans="1:7" x14ac:dyDescent="0.25">
      <c r="A5" s="14" t="s">
        <v>14</v>
      </c>
      <c r="B5" s="14" t="s">
        <v>31</v>
      </c>
      <c r="C5" s="14" t="s">
        <v>176</v>
      </c>
      <c r="D5" s="19" t="s">
        <v>188</v>
      </c>
      <c r="E5" s="14" t="s">
        <v>189</v>
      </c>
      <c r="F5" s="19" t="s">
        <v>187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176</v>
      </c>
      <c r="D6" s="19" t="s">
        <v>190</v>
      </c>
      <c r="E6" s="14" t="s">
        <v>191</v>
      </c>
      <c r="F6" s="19" t="s">
        <v>187</v>
      </c>
      <c r="G6" s="14" t="s">
        <v>6</v>
      </c>
    </row>
    <row r="7" spans="1:7" x14ac:dyDescent="0.25">
      <c r="A7" s="14" t="s">
        <v>14</v>
      </c>
      <c r="B7" s="14" t="s">
        <v>31</v>
      </c>
      <c r="C7" s="14" t="s">
        <v>176</v>
      </c>
      <c r="D7" s="19" t="s">
        <v>192</v>
      </c>
      <c r="E7" s="14" t="s">
        <v>193</v>
      </c>
      <c r="F7" s="19" t="s">
        <v>187</v>
      </c>
      <c r="G7" s="14" t="s">
        <v>6</v>
      </c>
    </row>
    <row r="8" spans="1:7" x14ac:dyDescent="0.25">
      <c r="A8" s="14" t="s">
        <v>14</v>
      </c>
      <c r="B8" s="14" t="s">
        <v>31</v>
      </c>
      <c r="C8" s="14" t="s">
        <v>176</v>
      </c>
      <c r="D8" s="19" t="s">
        <v>194</v>
      </c>
      <c r="E8" s="14" t="s">
        <v>195</v>
      </c>
      <c r="F8" s="19" t="s">
        <v>187</v>
      </c>
      <c r="G8" s="14" t="s">
        <v>6</v>
      </c>
    </row>
    <row r="9" spans="1:7" x14ac:dyDescent="0.25">
      <c r="A9" s="14" t="s">
        <v>14</v>
      </c>
      <c r="B9" s="14" t="s">
        <v>52</v>
      </c>
      <c r="C9" s="14" t="s">
        <v>196</v>
      </c>
      <c r="D9" s="19" t="s">
        <v>197</v>
      </c>
      <c r="E9" s="14" t="s">
        <v>198</v>
      </c>
      <c r="F9" s="19" t="s">
        <v>199</v>
      </c>
      <c r="G9" s="20" t="s">
        <v>180</v>
      </c>
    </row>
    <row r="10" spans="1:7" x14ac:dyDescent="0.25">
      <c r="A10" s="14" t="s">
        <v>14</v>
      </c>
      <c r="B10" s="14" t="s">
        <v>78</v>
      </c>
      <c r="C10" s="14" t="s">
        <v>200</v>
      </c>
      <c r="D10" s="19" t="s">
        <v>201</v>
      </c>
      <c r="E10" s="14" t="s">
        <v>202</v>
      </c>
      <c r="F10" s="19" t="s">
        <v>203</v>
      </c>
      <c r="G10" s="20" t="s">
        <v>180</v>
      </c>
    </row>
    <row r="11" spans="1:7" x14ac:dyDescent="0.25">
      <c r="A11" s="14" t="s">
        <v>14</v>
      </c>
      <c r="B11" s="14" t="s">
        <v>86</v>
      </c>
      <c r="C11" s="14" t="s">
        <v>204</v>
      </c>
      <c r="D11" s="19" t="s">
        <v>205</v>
      </c>
      <c r="E11" s="14" t="s">
        <v>206</v>
      </c>
      <c r="F11" s="19" t="s">
        <v>207</v>
      </c>
      <c r="G11" s="20" t="s">
        <v>180</v>
      </c>
    </row>
    <row r="12" spans="1:7" x14ac:dyDescent="0.25">
      <c r="A12" s="14" t="s">
        <v>14</v>
      </c>
      <c r="B12" s="14" t="s">
        <v>92</v>
      </c>
      <c r="C12" s="14" t="s">
        <v>208</v>
      </c>
      <c r="D12" s="19" t="s">
        <v>209</v>
      </c>
      <c r="E12" s="14" t="s">
        <v>210</v>
      </c>
      <c r="F12" s="19" t="s">
        <v>211</v>
      </c>
      <c r="G12" s="20" t="s">
        <v>180</v>
      </c>
    </row>
    <row r="13" spans="1:7" x14ac:dyDescent="0.25">
      <c r="A13" s="14" t="s">
        <v>14</v>
      </c>
      <c r="B13" s="14" t="s">
        <v>92</v>
      </c>
      <c r="C13" s="14" t="s">
        <v>208</v>
      </c>
      <c r="D13" s="19" t="s">
        <v>212</v>
      </c>
      <c r="E13" s="14" t="s">
        <v>213</v>
      </c>
      <c r="F13" s="19" t="s">
        <v>214</v>
      </c>
      <c r="G13" s="20" t="s">
        <v>180</v>
      </c>
    </row>
    <row r="14" spans="1:7" x14ac:dyDescent="0.25">
      <c r="A14" s="14" t="s">
        <v>14</v>
      </c>
      <c r="B14" s="14" t="s">
        <v>96</v>
      </c>
      <c r="C14" s="14" t="s">
        <v>215</v>
      </c>
      <c r="D14" s="19" t="s">
        <v>216</v>
      </c>
      <c r="E14" s="14" t="s">
        <v>217</v>
      </c>
      <c r="F14" s="19" t="s">
        <v>218</v>
      </c>
      <c r="G14" s="14" t="s">
        <v>6</v>
      </c>
    </row>
    <row r="15" spans="1:7" x14ac:dyDescent="0.25">
      <c r="A15" s="14" t="s">
        <v>14</v>
      </c>
      <c r="B15" s="14" t="s">
        <v>98</v>
      </c>
      <c r="C15" s="14" t="s">
        <v>215</v>
      </c>
      <c r="D15" s="19" t="s">
        <v>219</v>
      </c>
      <c r="E15" s="14" t="s">
        <v>220</v>
      </c>
      <c r="F15" s="19" t="s">
        <v>221</v>
      </c>
      <c r="G15" s="20" t="s">
        <v>180</v>
      </c>
    </row>
    <row r="16" spans="1:7" x14ac:dyDescent="0.25">
      <c r="A16" s="14" t="s">
        <v>14</v>
      </c>
      <c r="B16" s="14" t="s">
        <v>98</v>
      </c>
      <c r="C16" s="14" t="s">
        <v>215</v>
      </c>
      <c r="D16" s="19" t="s">
        <v>222</v>
      </c>
      <c r="E16" s="14" t="s">
        <v>223</v>
      </c>
      <c r="F16" s="19" t="s">
        <v>221</v>
      </c>
      <c r="G16" s="20" t="s">
        <v>180</v>
      </c>
    </row>
    <row r="17" spans="1:7" x14ac:dyDescent="0.25">
      <c r="A17" s="14" t="s">
        <v>14</v>
      </c>
      <c r="B17" s="14" t="s">
        <v>98</v>
      </c>
      <c r="C17" s="14" t="s">
        <v>215</v>
      </c>
      <c r="D17" s="19" t="s">
        <v>224</v>
      </c>
      <c r="E17" s="14" t="s">
        <v>225</v>
      </c>
      <c r="F17" s="19" t="s">
        <v>221</v>
      </c>
      <c r="G17" s="20" t="s">
        <v>180</v>
      </c>
    </row>
    <row r="18" spans="1:7" x14ac:dyDescent="0.25">
      <c r="A18" s="14" t="s">
        <v>14</v>
      </c>
      <c r="B18" s="14" t="s">
        <v>102</v>
      </c>
      <c r="C18" s="14" t="s">
        <v>226</v>
      </c>
      <c r="D18" s="19" t="s">
        <v>227</v>
      </c>
      <c r="E18" s="14" t="s">
        <v>228</v>
      </c>
      <c r="F18" s="19" t="s">
        <v>229</v>
      </c>
      <c r="G18" s="20" t="s">
        <v>180</v>
      </c>
    </row>
    <row r="19" spans="1:7" x14ac:dyDescent="0.25">
      <c r="A19" s="14" t="s">
        <v>14</v>
      </c>
      <c r="B19" s="14" t="s">
        <v>104</v>
      </c>
      <c r="C19" s="14" t="s">
        <v>226</v>
      </c>
      <c r="D19" s="19" t="s">
        <v>230</v>
      </c>
      <c r="E19" s="14" t="s">
        <v>231</v>
      </c>
      <c r="F19" s="19" t="s">
        <v>232</v>
      </c>
      <c r="G19" s="20" t="s">
        <v>180</v>
      </c>
    </row>
    <row r="20" spans="1:7" x14ac:dyDescent="0.25">
      <c r="A20" s="14" t="s">
        <v>14</v>
      </c>
      <c r="B20" s="14" t="s">
        <v>112</v>
      </c>
      <c r="C20" s="14" t="s">
        <v>181</v>
      </c>
      <c r="D20" s="19" t="s">
        <v>233</v>
      </c>
      <c r="E20" s="14" t="s">
        <v>234</v>
      </c>
      <c r="F20" s="19" t="s">
        <v>235</v>
      </c>
      <c r="G20" s="20" t="s">
        <v>180</v>
      </c>
    </row>
    <row r="21" spans="1:7" x14ac:dyDescent="0.25">
      <c r="A21" s="21" t="s">
        <v>6</v>
      </c>
      <c r="B21" s="21" t="s">
        <v>6</v>
      </c>
      <c r="C21" s="21" t="s">
        <v>6</v>
      </c>
      <c r="D21" s="22" t="s">
        <v>236</v>
      </c>
      <c r="E21" s="21" t="s">
        <v>237</v>
      </c>
      <c r="F21" s="22" t="s">
        <v>6</v>
      </c>
      <c r="G21" s="23" t="s">
        <v>238</v>
      </c>
    </row>
    <row r="22" spans="1:7" x14ac:dyDescent="0.25">
      <c r="A22" s="14" t="s">
        <v>14</v>
      </c>
      <c r="B22" s="14" t="s">
        <v>116</v>
      </c>
      <c r="C22" s="14" t="s">
        <v>181</v>
      </c>
      <c r="D22" s="19" t="s">
        <v>239</v>
      </c>
      <c r="E22" s="14" t="s">
        <v>240</v>
      </c>
      <c r="F22" s="19" t="s">
        <v>241</v>
      </c>
      <c r="G22" s="20" t="s">
        <v>180</v>
      </c>
    </row>
    <row r="23" spans="1:7" x14ac:dyDescent="0.25">
      <c r="A23" s="14" t="s">
        <v>14</v>
      </c>
      <c r="B23" s="14" t="s">
        <v>126</v>
      </c>
      <c r="C23" s="14" t="s">
        <v>242</v>
      </c>
      <c r="D23" s="19" t="s">
        <v>243</v>
      </c>
      <c r="E23" s="14" t="s">
        <v>244</v>
      </c>
      <c r="F23" s="19" t="s">
        <v>245</v>
      </c>
      <c r="G23" s="20" t="s">
        <v>180</v>
      </c>
    </row>
    <row r="24" spans="1:7" x14ac:dyDescent="0.25">
      <c r="A24" s="14" t="s">
        <v>14</v>
      </c>
      <c r="B24" s="14" t="s">
        <v>126</v>
      </c>
      <c r="C24" s="14" t="s">
        <v>242</v>
      </c>
      <c r="D24" s="19" t="s">
        <v>246</v>
      </c>
      <c r="E24" s="14" t="s">
        <v>244</v>
      </c>
      <c r="F24" s="19" t="s">
        <v>247</v>
      </c>
      <c r="G24" s="20" t="s">
        <v>180</v>
      </c>
    </row>
    <row r="25" spans="1:7" x14ac:dyDescent="0.25">
      <c r="A25" s="14" t="s">
        <v>14</v>
      </c>
      <c r="B25" s="14" t="s">
        <v>126</v>
      </c>
      <c r="C25" s="14" t="s">
        <v>242</v>
      </c>
      <c r="D25" s="19" t="s">
        <v>248</v>
      </c>
      <c r="E25" s="14" t="s">
        <v>244</v>
      </c>
      <c r="F25" s="19" t="s">
        <v>249</v>
      </c>
      <c r="G25" s="20" t="s">
        <v>180</v>
      </c>
    </row>
    <row r="26" spans="1:7" x14ac:dyDescent="0.25">
      <c r="A26" s="14" t="s">
        <v>14</v>
      </c>
      <c r="B26" s="14" t="s">
        <v>146</v>
      </c>
      <c r="C26" s="14" t="s">
        <v>250</v>
      </c>
      <c r="D26" s="19" t="s">
        <v>251</v>
      </c>
      <c r="E26" s="14" t="s">
        <v>252</v>
      </c>
      <c r="F26" s="19" t="s">
        <v>253</v>
      </c>
      <c r="G26" s="20" t="s">
        <v>180</v>
      </c>
    </row>
    <row r="27" spans="1:7" x14ac:dyDescent="0.25">
      <c r="A27" s="21" t="s">
        <v>6</v>
      </c>
      <c r="B27" s="21" t="s">
        <v>6</v>
      </c>
      <c r="C27" s="21" t="s">
        <v>6</v>
      </c>
      <c r="D27" s="22" t="s">
        <v>254</v>
      </c>
      <c r="E27" s="21" t="s">
        <v>255</v>
      </c>
      <c r="F27" s="22" t="s">
        <v>6</v>
      </c>
      <c r="G27" s="23" t="s">
        <v>238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256</v>
      </c>
      <c r="E28" s="21" t="s">
        <v>257</v>
      </c>
      <c r="F28" s="22" t="s">
        <v>6</v>
      </c>
      <c r="G28" s="23" t="s">
        <v>238</v>
      </c>
    </row>
    <row r="29" spans="1:7" x14ac:dyDescent="0.25">
      <c r="A29" s="14" t="s">
        <v>14</v>
      </c>
      <c r="B29" s="14" t="s">
        <v>156</v>
      </c>
      <c r="C29" s="14" t="s">
        <v>258</v>
      </c>
      <c r="D29" s="19" t="s">
        <v>259</v>
      </c>
      <c r="E29" s="14" t="s">
        <v>260</v>
      </c>
      <c r="F29" s="19" t="s">
        <v>261</v>
      </c>
      <c r="G29" s="14" t="s">
        <v>6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262</v>
      </c>
      <c r="E30" s="21" t="s">
        <v>263</v>
      </c>
      <c r="F30" s="22" t="s">
        <v>264</v>
      </c>
      <c r="G30" s="23" t="s">
        <v>238</v>
      </c>
    </row>
    <row r="31" spans="1:7" x14ac:dyDescent="0.25">
      <c r="A31" s="21" t="s">
        <v>6</v>
      </c>
      <c r="B31" s="21" t="s">
        <v>6</v>
      </c>
      <c r="C31" s="21" t="s">
        <v>6</v>
      </c>
      <c r="D31" s="22" t="s">
        <v>265</v>
      </c>
      <c r="E31" s="21" t="s">
        <v>266</v>
      </c>
      <c r="F31" s="22" t="s">
        <v>267</v>
      </c>
      <c r="G31" s="23" t="s">
        <v>238</v>
      </c>
    </row>
    <row r="32" spans="1:7" x14ac:dyDescent="0.25">
      <c r="A32" s="21" t="s">
        <v>6</v>
      </c>
      <c r="B32" s="21" t="s">
        <v>6</v>
      </c>
      <c r="C32" s="21" t="s">
        <v>6</v>
      </c>
      <c r="D32" s="22" t="s">
        <v>268</v>
      </c>
      <c r="E32" s="21" t="s">
        <v>269</v>
      </c>
      <c r="F32" s="22" t="s">
        <v>270</v>
      </c>
      <c r="G32" s="23" t="s">
        <v>238</v>
      </c>
    </row>
    <row r="33" spans="1:7" x14ac:dyDescent="0.25">
      <c r="A33" s="14" t="s">
        <v>14</v>
      </c>
      <c r="B33" s="14" t="s">
        <v>158</v>
      </c>
      <c r="C33" s="14" t="s">
        <v>258</v>
      </c>
      <c r="D33" s="19" t="s">
        <v>271</v>
      </c>
      <c r="E33" s="14" t="s">
        <v>272</v>
      </c>
      <c r="F33" s="19" t="s">
        <v>273</v>
      </c>
      <c r="G33" s="20" t="s">
        <v>180</v>
      </c>
    </row>
    <row r="34" spans="1:7" x14ac:dyDescent="0.25">
      <c r="A34" s="24" t="s">
        <v>15</v>
      </c>
      <c r="B34" s="24" t="s">
        <v>54</v>
      </c>
      <c r="C34" s="24" t="s">
        <v>196</v>
      </c>
      <c r="D34" s="25" t="s">
        <v>274</v>
      </c>
      <c r="E34" s="24" t="s">
        <v>275</v>
      </c>
      <c r="F34" s="25" t="s">
        <v>276</v>
      </c>
      <c r="G34" s="26" t="s">
        <v>180</v>
      </c>
    </row>
    <row r="35" spans="1:7" x14ac:dyDescent="0.25">
      <c r="A35" s="24" t="s">
        <v>15</v>
      </c>
      <c r="B35" s="24" t="s">
        <v>56</v>
      </c>
      <c r="C35" s="24" t="s">
        <v>196</v>
      </c>
      <c r="D35" s="25" t="s">
        <v>277</v>
      </c>
      <c r="E35" s="24" t="s">
        <v>278</v>
      </c>
      <c r="F35" s="25" t="s">
        <v>279</v>
      </c>
      <c r="G35" s="24" t="s">
        <v>6</v>
      </c>
    </row>
    <row r="36" spans="1:7" x14ac:dyDescent="0.25">
      <c r="A36" s="24" t="s">
        <v>15</v>
      </c>
      <c r="B36" s="24" t="s">
        <v>108</v>
      </c>
      <c r="C36" s="24" t="s">
        <v>226</v>
      </c>
      <c r="D36" s="25" t="s">
        <v>280</v>
      </c>
      <c r="E36" s="24" t="s">
        <v>281</v>
      </c>
      <c r="F36" s="25" t="s">
        <v>282</v>
      </c>
      <c r="G36" s="26" t="s">
        <v>180</v>
      </c>
    </row>
    <row r="37" spans="1:7" x14ac:dyDescent="0.25">
      <c r="A37" s="24" t="s">
        <v>15</v>
      </c>
      <c r="B37" s="24" t="s">
        <v>108</v>
      </c>
      <c r="C37" s="24" t="s">
        <v>226</v>
      </c>
      <c r="D37" s="25" t="s">
        <v>283</v>
      </c>
      <c r="E37" s="24" t="s">
        <v>284</v>
      </c>
      <c r="F37" s="25" t="s">
        <v>282</v>
      </c>
      <c r="G37" s="26" t="s">
        <v>180</v>
      </c>
    </row>
    <row r="38" spans="1:7" x14ac:dyDescent="0.25">
      <c r="A38" s="24" t="s">
        <v>15</v>
      </c>
      <c r="B38" s="24" t="s">
        <v>108</v>
      </c>
      <c r="C38" s="24" t="s">
        <v>226</v>
      </c>
      <c r="D38" s="25" t="s">
        <v>285</v>
      </c>
      <c r="E38" s="24" t="s">
        <v>286</v>
      </c>
      <c r="F38" s="25" t="s">
        <v>282</v>
      </c>
      <c r="G38" s="26" t="s">
        <v>180</v>
      </c>
    </row>
    <row r="39" spans="1:7" x14ac:dyDescent="0.25">
      <c r="A39" s="24" t="s">
        <v>15</v>
      </c>
      <c r="B39" s="24" t="s">
        <v>108</v>
      </c>
      <c r="C39" s="24" t="s">
        <v>226</v>
      </c>
      <c r="D39" s="25" t="s">
        <v>287</v>
      </c>
      <c r="E39" s="24" t="s">
        <v>288</v>
      </c>
      <c r="F39" s="25" t="s">
        <v>282</v>
      </c>
      <c r="G39" s="26" t="s">
        <v>180</v>
      </c>
    </row>
    <row r="40" spans="1:7" x14ac:dyDescent="0.25">
      <c r="A40" s="24" t="s">
        <v>15</v>
      </c>
      <c r="B40" s="24" t="s">
        <v>108</v>
      </c>
      <c r="C40" s="24" t="s">
        <v>226</v>
      </c>
      <c r="D40" s="25" t="s">
        <v>289</v>
      </c>
      <c r="E40" s="24" t="s">
        <v>290</v>
      </c>
      <c r="F40" s="25" t="s">
        <v>282</v>
      </c>
      <c r="G40" s="26" t="s">
        <v>180</v>
      </c>
    </row>
    <row r="41" spans="1:7" x14ac:dyDescent="0.25">
      <c r="A41" s="24" t="s">
        <v>15</v>
      </c>
      <c r="B41" s="24" t="s">
        <v>128</v>
      </c>
      <c r="C41" s="24" t="s">
        <v>242</v>
      </c>
      <c r="D41" s="25" t="s">
        <v>291</v>
      </c>
      <c r="E41" s="24" t="s">
        <v>292</v>
      </c>
      <c r="F41" s="25" t="s">
        <v>293</v>
      </c>
      <c r="G41" s="26" t="s">
        <v>180</v>
      </c>
    </row>
    <row r="42" spans="1:7" x14ac:dyDescent="0.25">
      <c r="A42" s="24" t="s">
        <v>15</v>
      </c>
      <c r="B42" s="24" t="s">
        <v>128</v>
      </c>
      <c r="C42" s="24" t="s">
        <v>242</v>
      </c>
      <c r="D42" s="25" t="s">
        <v>294</v>
      </c>
      <c r="E42" s="24" t="s">
        <v>295</v>
      </c>
      <c r="F42" s="25" t="s">
        <v>293</v>
      </c>
      <c r="G42" s="26" t="s">
        <v>180</v>
      </c>
    </row>
    <row r="43" spans="1:7" x14ac:dyDescent="0.25">
      <c r="A43" s="24" t="s">
        <v>15</v>
      </c>
      <c r="B43" s="24" t="s">
        <v>128</v>
      </c>
      <c r="C43" s="24" t="s">
        <v>242</v>
      </c>
      <c r="D43" s="25" t="s">
        <v>296</v>
      </c>
      <c r="E43" s="24" t="s">
        <v>297</v>
      </c>
      <c r="F43" s="25" t="s">
        <v>293</v>
      </c>
      <c r="G43" s="26" t="s">
        <v>180</v>
      </c>
    </row>
    <row r="44" spans="1:7" x14ac:dyDescent="0.25">
      <c r="A44" s="24" t="s">
        <v>15</v>
      </c>
      <c r="B44" s="24" t="s">
        <v>128</v>
      </c>
      <c r="C44" s="24" t="s">
        <v>242</v>
      </c>
      <c r="D44" s="25" t="s">
        <v>298</v>
      </c>
      <c r="E44" s="24" t="s">
        <v>299</v>
      </c>
      <c r="F44" s="25" t="s">
        <v>293</v>
      </c>
      <c r="G44" s="26" t="s">
        <v>180</v>
      </c>
    </row>
    <row r="45" spans="1:7" x14ac:dyDescent="0.25">
      <c r="A45" s="24" t="s">
        <v>15</v>
      </c>
      <c r="B45" s="24" t="s">
        <v>128</v>
      </c>
      <c r="C45" s="24" t="s">
        <v>242</v>
      </c>
      <c r="D45" s="25" t="s">
        <v>300</v>
      </c>
      <c r="E45" s="24" t="s">
        <v>301</v>
      </c>
      <c r="F45" s="25" t="s">
        <v>293</v>
      </c>
      <c r="G45" s="26" t="s">
        <v>180</v>
      </c>
    </row>
    <row r="46" spans="1:7" x14ac:dyDescent="0.25">
      <c r="A46" s="24" t="s">
        <v>15</v>
      </c>
      <c r="B46" s="24" t="s">
        <v>128</v>
      </c>
      <c r="C46" s="24" t="s">
        <v>242</v>
      </c>
      <c r="D46" s="25" t="s">
        <v>302</v>
      </c>
      <c r="E46" s="24" t="s">
        <v>303</v>
      </c>
      <c r="F46" s="25" t="s">
        <v>293</v>
      </c>
      <c r="G46" s="26" t="s">
        <v>180</v>
      </c>
    </row>
  </sheetData>
  <autoFilter ref="A1:G46"/>
  <hyperlinks>
    <hyperlink ref="G2" r:id="rId1"/>
    <hyperlink ref="G3" r:id="rId2"/>
    <hyperlink ref="G9" r:id="rId3"/>
    <hyperlink ref="G10" r:id="rId4"/>
    <hyperlink ref="G11" r:id="rId5"/>
    <hyperlink ref="G12" r:id="rId6"/>
    <hyperlink ref="G13" r:id="rId7"/>
    <hyperlink ref="G15" r:id="rId8"/>
    <hyperlink ref="G16" r:id="rId9"/>
    <hyperlink ref="G17" r:id="rId10"/>
    <hyperlink ref="G18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  <hyperlink ref="G26" r:id="rId19"/>
    <hyperlink ref="G27" r:id="rId20"/>
    <hyperlink ref="G28" r:id="rId21"/>
    <hyperlink ref="G30" r:id="rId22"/>
    <hyperlink ref="G31" r:id="rId23"/>
    <hyperlink ref="G32" r:id="rId24"/>
    <hyperlink ref="G33" r:id="rId25"/>
    <hyperlink ref="G34" r:id="rId26"/>
    <hyperlink ref="G36" r:id="rId27"/>
    <hyperlink ref="G37" r:id="rId28"/>
    <hyperlink ref="G38" r:id="rId29"/>
    <hyperlink ref="G39" r:id="rId30"/>
    <hyperlink ref="G40" r:id="rId31"/>
    <hyperlink ref="G41" r:id="rId32"/>
    <hyperlink ref="G42" r:id="rId33"/>
    <hyperlink ref="G43" r:id="rId34"/>
    <hyperlink ref="G44" r:id="rId35"/>
    <hyperlink ref="G45" r:id="rId36"/>
    <hyperlink ref="G46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304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251</v>
      </c>
      <c r="D5" s="14" t="s">
        <v>252</v>
      </c>
      <c r="E5" s="19" t="s">
        <v>253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254</v>
      </c>
      <c r="D6" s="21" t="s">
        <v>255</v>
      </c>
      <c r="E6" s="22" t="s">
        <v>6</v>
      </c>
      <c r="F6" s="23" t="s">
        <v>238</v>
      </c>
    </row>
    <row r="7" spans="1:6" x14ac:dyDescent="0.25">
      <c r="A7" s="21" t="s">
        <v>6</v>
      </c>
      <c r="B7" s="21" t="s">
        <v>6</v>
      </c>
      <c r="C7" s="22" t="s">
        <v>256</v>
      </c>
      <c r="D7" s="21" t="s">
        <v>257</v>
      </c>
      <c r="E7" s="22" t="s">
        <v>6</v>
      </c>
      <c r="F7" s="23" t="s">
        <v>238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305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156</v>
      </c>
      <c r="C5" s="19" t="s">
        <v>259</v>
      </c>
      <c r="D5" s="14" t="s">
        <v>260</v>
      </c>
      <c r="E5" s="19" t="s">
        <v>261</v>
      </c>
      <c r="F5" s="14" t="s">
        <v>6</v>
      </c>
    </row>
    <row r="6" spans="1:6" x14ac:dyDescent="0.25">
      <c r="A6" s="21" t="s">
        <v>6</v>
      </c>
      <c r="B6" s="21" t="s">
        <v>6</v>
      </c>
      <c r="C6" s="22" t="s">
        <v>262</v>
      </c>
      <c r="D6" s="21" t="s">
        <v>263</v>
      </c>
      <c r="E6" s="22" t="s">
        <v>264</v>
      </c>
      <c r="F6" s="23" t="s">
        <v>238</v>
      </c>
    </row>
    <row r="7" spans="1:6" x14ac:dyDescent="0.25">
      <c r="A7" s="21" t="s">
        <v>6</v>
      </c>
      <c r="B7" s="21" t="s">
        <v>6</v>
      </c>
      <c r="C7" s="22" t="s">
        <v>265</v>
      </c>
      <c r="D7" s="21" t="s">
        <v>266</v>
      </c>
      <c r="E7" s="22" t="s">
        <v>267</v>
      </c>
      <c r="F7" s="23" t="s">
        <v>238</v>
      </c>
    </row>
    <row r="8" spans="1:6" x14ac:dyDescent="0.25">
      <c r="A8" s="21" t="s">
        <v>6</v>
      </c>
      <c r="B8" s="21" t="s">
        <v>6</v>
      </c>
      <c r="C8" s="22" t="s">
        <v>268</v>
      </c>
      <c r="D8" s="21" t="s">
        <v>269</v>
      </c>
      <c r="E8" s="22" t="s">
        <v>270</v>
      </c>
      <c r="F8" s="23" t="s">
        <v>238</v>
      </c>
    </row>
    <row r="9" spans="1:6" x14ac:dyDescent="0.25">
      <c r="A9" s="14" t="s">
        <v>14</v>
      </c>
      <c r="B9" s="14" t="s">
        <v>158</v>
      </c>
      <c r="C9" s="19" t="s">
        <v>271</v>
      </c>
      <c r="D9" s="14" t="s">
        <v>272</v>
      </c>
      <c r="E9" s="19" t="s">
        <v>273</v>
      </c>
      <c r="F9" s="20" t="s">
        <v>180</v>
      </c>
    </row>
  </sheetData>
  <autoFilter ref="A4:F9"/>
  <mergeCells count="1">
    <mergeCell ref="A1:F1"/>
  </mergeCells>
  <hyperlinks>
    <hyperlink ref="F6" r:id="rId1"/>
    <hyperlink ref="F7" r:id="rId2"/>
    <hyperlink ref="F8" r:id="rId3"/>
    <hyperlink ref="F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306</v>
      </c>
    </row>
    <row r="4" spans="1:1" x14ac:dyDescent="0.25">
      <c r="A4" s="29" t="s">
        <v>307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308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4" t="s">
        <v>14</v>
      </c>
      <c r="B6" s="14" t="s">
        <v>112</v>
      </c>
      <c r="C6" s="19" t="s">
        <v>233</v>
      </c>
      <c r="D6" s="14" t="s">
        <v>234</v>
      </c>
      <c r="E6" s="19" t="s">
        <v>235</v>
      </c>
      <c r="F6" s="20" t="s">
        <v>180</v>
      </c>
    </row>
    <row r="7" spans="1:6" x14ac:dyDescent="0.25">
      <c r="A7" s="21" t="s">
        <v>6</v>
      </c>
      <c r="B7" s="21" t="s">
        <v>6</v>
      </c>
      <c r="C7" s="22" t="s">
        <v>236</v>
      </c>
      <c r="D7" s="21" t="s">
        <v>237</v>
      </c>
      <c r="E7" s="22" t="s">
        <v>6</v>
      </c>
      <c r="F7" s="23" t="s">
        <v>238</v>
      </c>
    </row>
    <row r="8" spans="1:6" x14ac:dyDescent="0.25">
      <c r="A8" s="14" t="s">
        <v>14</v>
      </c>
      <c r="B8" s="14" t="s">
        <v>116</v>
      </c>
      <c r="C8" s="19" t="s">
        <v>239</v>
      </c>
      <c r="D8" s="14" t="s">
        <v>240</v>
      </c>
      <c r="E8" s="19" t="s">
        <v>241</v>
      </c>
      <c r="F8" s="20" t="s">
        <v>180</v>
      </c>
    </row>
  </sheetData>
  <autoFilter ref="A4:F8"/>
  <mergeCells count="1">
    <mergeCell ref="A1:F1"/>
  </mergeCells>
  <hyperlinks>
    <hyperlink ref="F5" r:id="rId1"/>
    <hyperlink ref="F6" r:id="rId2"/>
    <hyperlink ref="F7" r:id="rId3"/>
    <hyperlink ref="F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309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19" t="s">
        <v>201</v>
      </c>
      <c r="D5" s="14" t="s">
        <v>202</v>
      </c>
      <c r="E5" s="19" t="s">
        <v>203</v>
      </c>
      <c r="F5" s="20" t="s">
        <v>180</v>
      </c>
    </row>
    <row r="6" spans="1:6" x14ac:dyDescent="0.25">
      <c r="A6" s="14" t="s">
        <v>14</v>
      </c>
      <c r="B6" s="14" t="s">
        <v>86</v>
      </c>
      <c r="C6" s="19" t="s">
        <v>205</v>
      </c>
      <c r="D6" s="14" t="s">
        <v>206</v>
      </c>
      <c r="E6" s="19" t="s">
        <v>207</v>
      </c>
      <c r="F6" s="20" t="s">
        <v>180</v>
      </c>
    </row>
    <row r="7" spans="1:6" x14ac:dyDescent="0.25">
      <c r="A7" s="14" t="s">
        <v>14</v>
      </c>
      <c r="B7" s="14" t="s">
        <v>92</v>
      </c>
      <c r="C7" s="19" t="s">
        <v>209</v>
      </c>
      <c r="D7" s="14" t="s">
        <v>210</v>
      </c>
      <c r="E7" s="19" t="s">
        <v>211</v>
      </c>
      <c r="F7" s="20" t="s">
        <v>180</v>
      </c>
    </row>
    <row r="8" spans="1:6" x14ac:dyDescent="0.25">
      <c r="A8" s="14" t="s">
        <v>14</v>
      </c>
      <c r="B8" s="14" t="s">
        <v>92</v>
      </c>
      <c r="C8" s="19" t="s">
        <v>212</v>
      </c>
      <c r="D8" s="14" t="s">
        <v>213</v>
      </c>
      <c r="E8" s="19" t="s">
        <v>214</v>
      </c>
      <c r="F8" s="20" t="s">
        <v>180</v>
      </c>
    </row>
    <row r="9" spans="1:6" x14ac:dyDescent="0.25">
      <c r="A9" s="14" t="s">
        <v>14</v>
      </c>
      <c r="B9" s="14" t="s">
        <v>96</v>
      </c>
      <c r="C9" s="19" t="s">
        <v>216</v>
      </c>
      <c r="D9" s="14" t="s">
        <v>217</v>
      </c>
      <c r="E9" s="19" t="s">
        <v>218</v>
      </c>
      <c r="F9" s="14" t="s">
        <v>6</v>
      </c>
    </row>
    <row r="10" spans="1:6" x14ac:dyDescent="0.25">
      <c r="A10" s="14" t="s">
        <v>14</v>
      </c>
      <c r="B10" s="14" t="s">
        <v>98</v>
      </c>
      <c r="C10" s="19" t="s">
        <v>219</v>
      </c>
      <c r="D10" s="14" t="s">
        <v>220</v>
      </c>
      <c r="E10" s="19" t="s">
        <v>221</v>
      </c>
      <c r="F10" s="20" t="s">
        <v>180</v>
      </c>
    </row>
    <row r="11" spans="1:6" x14ac:dyDescent="0.25">
      <c r="A11" s="14" t="s">
        <v>14</v>
      </c>
      <c r="B11" s="14" t="s">
        <v>98</v>
      </c>
      <c r="C11" s="19" t="s">
        <v>222</v>
      </c>
      <c r="D11" s="14" t="s">
        <v>223</v>
      </c>
      <c r="E11" s="19" t="s">
        <v>221</v>
      </c>
      <c r="F11" s="20" t="s">
        <v>180</v>
      </c>
    </row>
    <row r="12" spans="1:6" x14ac:dyDescent="0.25">
      <c r="A12" s="14" t="s">
        <v>14</v>
      </c>
      <c r="B12" s="14" t="s">
        <v>98</v>
      </c>
      <c r="C12" s="19" t="s">
        <v>224</v>
      </c>
      <c r="D12" s="14" t="s">
        <v>225</v>
      </c>
      <c r="E12" s="19" t="s">
        <v>221</v>
      </c>
      <c r="F12" s="20" t="s">
        <v>180</v>
      </c>
    </row>
    <row r="13" spans="1:6" x14ac:dyDescent="0.25">
      <c r="A13" s="14" t="s">
        <v>14</v>
      </c>
      <c r="B13" s="14" t="s">
        <v>102</v>
      </c>
      <c r="C13" s="19" t="s">
        <v>227</v>
      </c>
      <c r="D13" s="14" t="s">
        <v>228</v>
      </c>
      <c r="E13" s="19" t="s">
        <v>229</v>
      </c>
      <c r="F13" s="20" t="s">
        <v>180</v>
      </c>
    </row>
    <row r="14" spans="1:6" x14ac:dyDescent="0.25">
      <c r="A14" s="14" t="s">
        <v>14</v>
      </c>
      <c r="B14" s="14" t="s">
        <v>104</v>
      </c>
      <c r="C14" s="19" t="s">
        <v>230</v>
      </c>
      <c r="D14" s="14" t="s">
        <v>231</v>
      </c>
      <c r="E14" s="19" t="s">
        <v>232</v>
      </c>
      <c r="F14" s="20" t="s">
        <v>180</v>
      </c>
    </row>
    <row r="15" spans="1:6" x14ac:dyDescent="0.25">
      <c r="A15" s="14" t="s">
        <v>14</v>
      </c>
      <c r="B15" s="14" t="s">
        <v>126</v>
      </c>
      <c r="C15" s="19" t="s">
        <v>243</v>
      </c>
      <c r="D15" s="14" t="s">
        <v>244</v>
      </c>
      <c r="E15" s="19" t="s">
        <v>245</v>
      </c>
      <c r="F15" s="20" t="s">
        <v>180</v>
      </c>
    </row>
    <row r="16" spans="1:6" x14ac:dyDescent="0.25">
      <c r="A16" s="14" t="s">
        <v>14</v>
      </c>
      <c r="B16" s="14" t="s">
        <v>126</v>
      </c>
      <c r="C16" s="19" t="s">
        <v>246</v>
      </c>
      <c r="D16" s="14" t="s">
        <v>244</v>
      </c>
      <c r="E16" s="19" t="s">
        <v>247</v>
      </c>
      <c r="F16" s="20" t="s">
        <v>180</v>
      </c>
    </row>
    <row r="17" spans="1:6" x14ac:dyDescent="0.25">
      <c r="A17" s="14" t="s">
        <v>14</v>
      </c>
      <c r="B17" s="14" t="s">
        <v>126</v>
      </c>
      <c r="C17" s="19" t="s">
        <v>248</v>
      </c>
      <c r="D17" s="14" t="s">
        <v>244</v>
      </c>
      <c r="E17" s="19" t="s">
        <v>249</v>
      </c>
      <c r="F17" s="20" t="s">
        <v>180</v>
      </c>
    </row>
    <row r="18" spans="1:6" x14ac:dyDescent="0.25">
      <c r="A18" s="24" t="s">
        <v>15</v>
      </c>
      <c r="B18" s="24" t="s">
        <v>108</v>
      </c>
      <c r="C18" s="25" t="s">
        <v>280</v>
      </c>
      <c r="D18" s="24" t="s">
        <v>281</v>
      </c>
      <c r="E18" s="25" t="s">
        <v>282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283</v>
      </c>
      <c r="D19" s="24" t="s">
        <v>284</v>
      </c>
      <c r="E19" s="25" t="s">
        <v>282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285</v>
      </c>
      <c r="D20" s="24" t="s">
        <v>286</v>
      </c>
      <c r="E20" s="25" t="s">
        <v>282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287</v>
      </c>
      <c r="D21" s="24" t="s">
        <v>288</v>
      </c>
      <c r="E21" s="25" t="s">
        <v>282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289</v>
      </c>
      <c r="D22" s="24" t="s">
        <v>290</v>
      </c>
      <c r="E22" s="25" t="s">
        <v>282</v>
      </c>
      <c r="F22" s="26" t="s">
        <v>180</v>
      </c>
    </row>
    <row r="23" spans="1:6" x14ac:dyDescent="0.25">
      <c r="A23" s="24" t="s">
        <v>15</v>
      </c>
      <c r="B23" s="24" t="s">
        <v>128</v>
      </c>
      <c r="C23" s="25" t="s">
        <v>291</v>
      </c>
      <c r="D23" s="24" t="s">
        <v>292</v>
      </c>
      <c r="E23" s="25" t="s">
        <v>293</v>
      </c>
      <c r="F23" s="26" t="s">
        <v>180</v>
      </c>
    </row>
    <row r="24" spans="1:6" x14ac:dyDescent="0.25">
      <c r="A24" s="24" t="s">
        <v>15</v>
      </c>
      <c r="B24" s="24" t="s">
        <v>128</v>
      </c>
      <c r="C24" s="25" t="s">
        <v>294</v>
      </c>
      <c r="D24" s="24" t="s">
        <v>295</v>
      </c>
      <c r="E24" s="25" t="s">
        <v>293</v>
      </c>
      <c r="F24" s="26" t="s">
        <v>180</v>
      </c>
    </row>
    <row r="25" spans="1:6" x14ac:dyDescent="0.25">
      <c r="A25" s="24" t="s">
        <v>15</v>
      </c>
      <c r="B25" s="24" t="s">
        <v>128</v>
      </c>
      <c r="C25" s="25" t="s">
        <v>296</v>
      </c>
      <c r="D25" s="24" t="s">
        <v>297</v>
      </c>
      <c r="E25" s="25" t="s">
        <v>293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298</v>
      </c>
      <c r="D26" s="24" t="s">
        <v>299</v>
      </c>
      <c r="E26" s="25" t="s">
        <v>293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300</v>
      </c>
      <c r="D27" s="24" t="s">
        <v>301</v>
      </c>
      <c r="E27" s="25" t="s">
        <v>293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302</v>
      </c>
      <c r="D28" s="24" t="s">
        <v>303</v>
      </c>
      <c r="E28" s="25" t="s">
        <v>293</v>
      </c>
      <c r="F28" s="26" t="s">
        <v>180</v>
      </c>
    </row>
  </sheetData>
  <autoFilter ref="A4:F28"/>
  <mergeCells count="1">
    <mergeCell ref="A1:F1"/>
  </mergeCells>
  <hyperlinks>
    <hyperlink ref="F5" r:id="rId1"/>
    <hyperlink ref="F6" r:id="rId2"/>
    <hyperlink ref="F7" r:id="rId3"/>
    <hyperlink ref="F8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310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19" t="s">
        <v>185</v>
      </c>
      <c r="D6" s="14" t="s">
        <v>186</v>
      </c>
      <c r="E6" s="19" t="s">
        <v>187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188</v>
      </c>
      <c r="D7" s="14" t="s">
        <v>189</v>
      </c>
      <c r="E7" s="19" t="s">
        <v>187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190</v>
      </c>
      <c r="D8" s="14" t="s">
        <v>191</v>
      </c>
      <c r="E8" s="19" t="s">
        <v>187</v>
      </c>
      <c r="F8" s="14" t="s">
        <v>6</v>
      </c>
    </row>
    <row r="9" spans="1:6" x14ac:dyDescent="0.25">
      <c r="A9" s="14" t="s">
        <v>14</v>
      </c>
      <c r="B9" s="14" t="s">
        <v>31</v>
      </c>
      <c r="C9" s="19" t="s">
        <v>192</v>
      </c>
      <c r="D9" s="14" t="s">
        <v>193</v>
      </c>
      <c r="E9" s="19" t="s">
        <v>187</v>
      </c>
      <c r="F9" s="14" t="s">
        <v>6</v>
      </c>
    </row>
    <row r="10" spans="1:6" x14ac:dyDescent="0.25">
      <c r="A10" s="14" t="s">
        <v>14</v>
      </c>
      <c r="B10" s="14" t="s">
        <v>31</v>
      </c>
      <c r="C10" s="19" t="s">
        <v>194</v>
      </c>
      <c r="D10" s="14" t="s">
        <v>195</v>
      </c>
      <c r="E10" s="19" t="s">
        <v>187</v>
      </c>
      <c r="F10" s="14" t="s">
        <v>6</v>
      </c>
    </row>
    <row r="11" spans="1:6" x14ac:dyDescent="0.25">
      <c r="A11" s="14" t="s">
        <v>14</v>
      </c>
      <c r="B11" s="14" t="s">
        <v>52</v>
      </c>
      <c r="C11" s="19" t="s">
        <v>197</v>
      </c>
      <c r="D11" s="14" t="s">
        <v>198</v>
      </c>
      <c r="E11" s="19" t="s">
        <v>199</v>
      </c>
      <c r="F11" s="20" t="s">
        <v>180</v>
      </c>
    </row>
    <row r="12" spans="1:6" x14ac:dyDescent="0.25">
      <c r="A12" s="24" t="s">
        <v>15</v>
      </c>
      <c r="B12" s="24" t="s">
        <v>54</v>
      </c>
      <c r="C12" s="25" t="s">
        <v>274</v>
      </c>
      <c r="D12" s="24" t="s">
        <v>275</v>
      </c>
      <c r="E12" s="25" t="s">
        <v>276</v>
      </c>
      <c r="F12" s="26" t="s">
        <v>180</v>
      </c>
    </row>
    <row r="13" spans="1:6" x14ac:dyDescent="0.25">
      <c r="A13" s="24" t="s">
        <v>15</v>
      </c>
      <c r="B13" s="24" t="s">
        <v>56</v>
      </c>
      <c r="C13" s="25" t="s">
        <v>277</v>
      </c>
      <c r="D13" s="24" t="s">
        <v>278</v>
      </c>
      <c r="E13" s="25" t="s">
        <v>279</v>
      </c>
      <c r="F13" s="24" t="s">
        <v>6</v>
      </c>
    </row>
  </sheetData>
  <autoFilter ref="A4:F13"/>
  <mergeCells count="1">
    <mergeCell ref="A1:F1"/>
  </mergeCells>
  <hyperlinks>
    <hyperlink ref="F5" r:id="rId1"/>
    <hyperlink ref="F11" r:id="rId2"/>
    <hyperlink ref="F12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311</v>
      </c>
      <c r="B1" s="5" t="s">
        <v>312</v>
      </c>
      <c r="C1" s="5" t="s">
        <v>313</v>
      </c>
      <c r="D1" s="5" t="s">
        <v>314</v>
      </c>
      <c r="E1" s="5" t="s">
        <v>315</v>
      </c>
      <c r="F1" s="5" t="s">
        <v>316</v>
      </c>
      <c r="G1" s="5" t="s">
        <v>317</v>
      </c>
    </row>
    <row r="2" spans="1:7" x14ac:dyDescent="0.25">
      <c r="A2" s="10" t="s">
        <v>318</v>
      </c>
      <c r="B2" s="30">
        <v>12077685</v>
      </c>
      <c r="C2" s="30">
        <v>12697221</v>
      </c>
      <c r="D2" s="30">
        <v>-619536</v>
      </c>
      <c r="E2" s="31" t="s">
        <v>319</v>
      </c>
      <c r="F2" s="10" t="s">
        <v>6</v>
      </c>
      <c r="G2" s="32" t="s">
        <v>320</v>
      </c>
    </row>
    <row r="3" spans="1:7" x14ac:dyDescent="0.25">
      <c r="A3" s="10" t="s">
        <v>321</v>
      </c>
      <c r="B3" s="30">
        <v>2788500</v>
      </c>
      <c r="C3" s="30">
        <v>2601500</v>
      </c>
      <c r="D3" s="30">
        <v>187000</v>
      </c>
      <c r="E3" s="31" t="s">
        <v>322</v>
      </c>
      <c r="F3" s="10" t="s">
        <v>6</v>
      </c>
      <c r="G3" s="32" t="s">
        <v>320</v>
      </c>
    </row>
    <row r="4" spans="1:7" x14ac:dyDescent="0.25">
      <c r="A4" s="10" t="s">
        <v>323</v>
      </c>
      <c r="B4" s="30">
        <v>77593</v>
      </c>
      <c r="C4" s="30">
        <v>30000</v>
      </c>
      <c r="D4" s="33">
        <v>47593</v>
      </c>
      <c r="E4" s="31" t="s">
        <v>324</v>
      </c>
      <c r="F4" s="10" t="s">
        <v>325</v>
      </c>
      <c r="G4" s="32" t="s">
        <v>320</v>
      </c>
    </row>
    <row r="5" spans="1:7" x14ac:dyDescent="0.25">
      <c r="A5" s="10" t="s">
        <v>326</v>
      </c>
      <c r="B5" s="30">
        <v>0</v>
      </c>
      <c r="C5" s="30">
        <v>0</v>
      </c>
      <c r="D5" s="30">
        <v>0</v>
      </c>
      <c r="E5" s="31" t="s">
        <v>6</v>
      </c>
      <c r="F5" s="10" t="s">
        <v>6</v>
      </c>
      <c r="G5" s="32" t="s">
        <v>320</v>
      </c>
    </row>
    <row r="6" spans="1:7" x14ac:dyDescent="0.25">
      <c r="A6" s="10" t="s">
        <v>327</v>
      </c>
      <c r="B6" s="30">
        <v>376684</v>
      </c>
      <c r="C6" s="30">
        <v>439568</v>
      </c>
      <c r="D6" s="30">
        <v>-62884</v>
      </c>
      <c r="E6" s="31" t="s">
        <v>328</v>
      </c>
      <c r="F6" s="10" t="s">
        <v>6</v>
      </c>
      <c r="G6" s="32" t="s">
        <v>320</v>
      </c>
    </row>
    <row r="7" spans="1:7" x14ac:dyDescent="0.25">
      <c r="A7" s="10" t="s">
        <v>329</v>
      </c>
      <c r="B7" s="30">
        <v>0</v>
      </c>
      <c r="C7" s="30">
        <v>82500</v>
      </c>
      <c r="D7" s="33">
        <v>-82500</v>
      </c>
      <c r="E7" s="31" t="s">
        <v>330</v>
      </c>
      <c r="F7" s="10" t="s">
        <v>325</v>
      </c>
      <c r="G7" s="32" t="s">
        <v>320</v>
      </c>
    </row>
    <row r="8" spans="1:7" x14ac:dyDescent="0.25">
      <c r="A8" s="10" t="s">
        <v>331</v>
      </c>
      <c r="B8" s="30">
        <v>1466705</v>
      </c>
      <c r="C8" s="30">
        <v>1558384</v>
      </c>
      <c r="D8" s="30">
        <v>-91679</v>
      </c>
      <c r="E8" s="31" t="s">
        <v>332</v>
      </c>
      <c r="F8" s="10" t="s">
        <v>6</v>
      </c>
      <c r="G8" s="32" t="s">
        <v>320</v>
      </c>
    </row>
    <row r="9" spans="1:7" x14ac:dyDescent="0.25">
      <c r="A9" s="10" t="s">
        <v>333</v>
      </c>
      <c r="B9" s="30">
        <v>207372</v>
      </c>
      <c r="C9" s="30">
        <v>214530</v>
      </c>
      <c r="D9" s="30">
        <v>-7158</v>
      </c>
      <c r="E9" s="31" t="s">
        <v>334</v>
      </c>
      <c r="F9" s="10" t="s">
        <v>6</v>
      </c>
      <c r="G9" s="32" t="s">
        <v>320</v>
      </c>
    </row>
    <row r="10" spans="1:7" x14ac:dyDescent="0.25">
      <c r="A10" s="10" t="s">
        <v>335</v>
      </c>
      <c r="B10" s="30">
        <v>17640</v>
      </c>
      <c r="C10" s="30">
        <v>17640</v>
      </c>
      <c r="D10" s="30">
        <v>0</v>
      </c>
      <c r="E10" s="31" t="s">
        <v>336</v>
      </c>
      <c r="F10" s="10" t="s">
        <v>6</v>
      </c>
      <c r="G10" s="32" t="s">
        <v>320</v>
      </c>
    </row>
    <row r="11" spans="1:7" x14ac:dyDescent="0.25">
      <c r="A11" s="10" t="s">
        <v>337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320</v>
      </c>
    </row>
    <row r="12" spans="1:7" x14ac:dyDescent="0.25">
      <c r="A12" s="10" t="s">
        <v>338</v>
      </c>
      <c r="B12" s="30">
        <v>6443728</v>
      </c>
      <c r="C12" s="30">
        <v>6491642</v>
      </c>
      <c r="D12" s="30">
        <v>-47914</v>
      </c>
      <c r="E12" s="31" t="s">
        <v>339</v>
      </c>
      <c r="F12" s="10" t="s">
        <v>6</v>
      </c>
      <c r="G12" s="32" t="s">
        <v>320</v>
      </c>
    </row>
    <row r="13" spans="1:7" x14ac:dyDescent="0.25">
      <c r="A13" s="10" t="s">
        <v>340</v>
      </c>
      <c r="B13" s="30">
        <v>1904589</v>
      </c>
      <c r="C13" s="30">
        <v>767075</v>
      </c>
      <c r="D13" s="33">
        <v>1137514</v>
      </c>
      <c r="E13" s="31" t="s">
        <v>341</v>
      </c>
      <c r="F13" s="10" t="s">
        <v>325</v>
      </c>
      <c r="G13" s="32" t="s">
        <v>320</v>
      </c>
    </row>
    <row r="14" spans="1:7" x14ac:dyDescent="0.25">
      <c r="A14" s="10" t="s">
        <v>342</v>
      </c>
      <c r="B14" s="30">
        <v>1508388</v>
      </c>
      <c r="C14" s="30">
        <v>1618409</v>
      </c>
      <c r="D14" s="30">
        <v>-110021</v>
      </c>
      <c r="E14" s="31" t="s">
        <v>343</v>
      </c>
      <c r="F14" s="10" t="s">
        <v>6</v>
      </c>
      <c r="G14" s="32" t="s">
        <v>320</v>
      </c>
    </row>
    <row r="15" spans="1:7" x14ac:dyDescent="0.25">
      <c r="A15" s="10" t="s">
        <v>344</v>
      </c>
      <c r="B15" s="30">
        <v>5000</v>
      </c>
      <c r="C15" s="30">
        <v>524</v>
      </c>
      <c r="D15" s="33">
        <v>4476</v>
      </c>
      <c r="E15" s="31" t="s">
        <v>345</v>
      </c>
      <c r="F15" s="10" t="s">
        <v>325</v>
      </c>
      <c r="G15" s="32" t="s">
        <v>320</v>
      </c>
    </row>
    <row r="16" spans="1:7" x14ac:dyDescent="0.25">
      <c r="A16" s="10" t="s">
        <v>346</v>
      </c>
      <c r="B16" s="30">
        <v>0</v>
      </c>
      <c r="C16" s="30">
        <v>0</v>
      </c>
      <c r="D16" s="30">
        <v>0</v>
      </c>
      <c r="E16" s="31" t="s">
        <v>6</v>
      </c>
      <c r="F16" s="10" t="s">
        <v>6</v>
      </c>
      <c r="G16" s="32" t="s">
        <v>320</v>
      </c>
    </row>
    <row r="17" spans="1:7" x14ac:dyDescent="0.25">
      <c r="A17" s="10" t="s">
        <v>347</v>
      </c>
      <c r="B17" s="30">
        <v>982500</v>
      </c>
      <c r="C17" s="30">
        <v>842800</v>
      </c>
      <c r="D17" s="30">
        <v>139700</v>
      </c>
      <c r="E17" s="31" t="s">
        <v>348</v>
      </c>
      <c r="F17" s="10" t="s">
        <v>6</v>
      </c>
      <c r="G17" s="32" t="s">
        <v>320</v>
      </c>
    </row>
    <row r="18" spans="1:7" x14ac:dyDescent="0.25">
      <c r="A18" s="10" t="s">
        <v>349</v>
      </c>
      <c r="B18" s="30">
        <v>191882</v>
      </c>
      <c r="C18" s="30">
        <v>45899</v>
      </c>
      <c r="D18" s="33">
        <v>145983</v>
      </c>
      <c r="E18" s="31" t="s">
        <v>350</v>
      </c>
      <c r="F18" s="10" t="s">
        <v>325</v>
      </c>
      <c r="G18" s="32" t="s">
        <v>320</v>
      </c>
    </row>
    <row r="19" spans="1:7" x14ac:dyDescent="0.25">
      <c r="A19" s="10" t="s">
        <v>351</v>
      </c>
      <c r="B19" s="30">
        <v>6250000</v>
      </c>
      <c r="C19" s="30">
        <v>6526600</v>
      </c>
      <c r="D19" s="30">
        <v>-276600</v>
      </c>
      <c r="E19" s="31" t="s">
        <v>352</v>
      </c>
      <c r="F19" s="10" t="s">
        <v>6</v>
      </c>
      <c r="G19" s="32" t="s">
        <v>320</v>
      </c>
    </row>
    <row r="20" spans="1:7" x14ac:dyDescent="0.25">
      <c r="A20" s="10" t="s">
        <v>353</v>
      </c>
      <c r="B20" s="30">
        <v>1580258</v>
      </c>
      <c r="C20" s="30">
        <v>1672671</v>
      </c>
      <c r="D20" s="30">
        <v>-92413</v>
      </c>
      <c r="E20" s="31" t="s">
        <v>354</v>
      </c>
      <c r="F20" s="10" t="s">
        <v>6</v>
      </c>
      <c r="G20" s="32" t="s">
        <v>320</v>
      </c>
    </row>
    <row r="21" spans="1:7" x14ac:dyDescent="0.25">
      <c r="A21" s="10" t="s">
        <v>355</v>
      </c>
      <c r="B21" s="30">
        <v>1000000</v>
      </c>
      <c r="C21" s="30">
        <v>1000000</v>
      </c>
      <c r="D21" s="30">
        <v>0</v>
      </c>
      <c r="E21" s="31" t="s">
        <v>336</v>
      </c>
      <c r="F21" s="10" t="s">
        <v>6</v>
      </c>
      <c r="G21" s="32" t="s">
        <v>320</v>
      </c>
    </row>
    <row r="22" spans="1:7" x14ac:dyDescent="0.25">
      <c r="A22" s="10" t="s">
        <v>356</v>
      </c>
      <c r="B22" s="34">
        <v>-4287476</v>
      </c>
      <c r="C22" s="30">
        <v>-4287476</v>
      </c>
      <c r="D22" s="30">
        <v>0</v>
      </c>
      <c r="E22" s="31" t="s">
        <v>336</v>
      </c>
      <c r="F22" s="10" t="s">
        <v>30</v>
      </c>
      <c r="G22" s="32" t="s">
        <v>320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311</v>
      </c>
      <c r="B3" s="5" t="s">
        <v>358</v>
      </c>
      <c r="C3" s="5" t="s">
        <v>359</v>
      </c>
      <c r="D3" s="5" t="s">
        <v>360</v>
      </c>
      <c r="E3" s="5" t="s">
        <v>361</v>
      </c>
      <c r="F3" s="5" t="s">
        <v>362</v>
      </c>
      <c r="G3" s="5" t="s">
        <v>363</v>
      </c>
      <c r="H3" s="5" t="s">
        <v>364</v>
      </c>
      <c r="I3" s="5" t="s">
        <v>365</v>
      </c>
      <c r="J3" s="5" t="s">
        <v>366</v>
      </c>
      <c r="K3" s="5" t="s">
        <v>367</v>
      </c>
      <c r="L3" s="5" t="s">
        <v>368</v>
      </c>
      <c r="M3" s="36" t="s">
        <v>369</v>
      </c>
      <c r="N3" s="5" t="s">
        <v>370</v>
      </c>
      <c r="O3" s="5" t="s">
        <v>317</v>
      </c>
    </row>
    <row r="4" spans="1:15" x14ac:dyDescent="0.25">
      <c r="A4" s="10" t="s">
        <v>371</v>
      </c>
      <c r="B4" s="30">
        <v>2518626</v>
      </c>
      <c r="C4" s="30">
        <v>2515822</v>
      </c>
      <c r="D4" s="30">
        <v>2520364</v>
      </c>
      <c r="E4" s="30">
        <v>2576618</v>
      </c>
      <c r="F4" s="30">
        <v>2205500</v>
      </c>
      <c r="G4" s="30">
        <v>2196853</v>
      </c>
      <c r="H4" s="30">
        <v>2857804</v>
      </c>
      <c r="I4" s="30">
        <v>2607000</v>
      </c>
      <c r="J4" s="30">
        <v>2552000</v>
      </c>
      <c r="K4" s="30">
        <v>2684274</v>
      </c>
      <c r="L4" s="30">
        <v>2601500</v>
      </c>
      <c r="M4" s="37">
        <v>2788500</v>
      </c>
      <c r="N4" s="38">
        <f>SUM(B4:M4)</f>
        <v>30624861</v>
      </c>
      <c r="O4" s="39"/>
    </row>
    <row r="5" spans="1:15" x14ac:dyDescent="0.25">
      <c r="A5" s="10" t="s">
        <v>372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1">
        <v>0</v>
      </c>
      <c r="N5" s="38">
        <f>SUM(B5:M5)</f>
        <v>0</v>
      </c>
      <c r="O5" s="39"/>
    </row>
    <row r="6" spans="1:15" x14ac:dyDescent="0.25">
      <c r="A6" s="42" t="s">
        <v>373</v>
      </c>
      <c r="B6" s="43">
        <v>2518626</v>
      </c>
      <c r="C6" s="43">
        <v>2515822</v>
      </c>
      <c r="D6" s="43">
        <v>2520364</v>
      </c>
      <c r="E6" s="43">
        <v>2576618</v>
      </c>
      <c r="F6" s="43">
        <v>2205500</v>
      </c>
      <c r="G6" s="43">
        <v>2196853</v>
      </c>
      <c r="H6" s="43">
        <v>2857804</v>
      </c>
      <c r="I6" s="43">
        <v>2607000</v>
      </c>
      <c r="J6" s="43">
        <v>2552000</v>
      </c>
      <c r="K6" s="43">
        <v>2684274</v>
      </c>
      <c r="L6" s="43">
        <v>2601500</v>
      </c>
      <c r="M6" s="43">
        <v>2788500</v>
      </c>
      <c r="N6" s="43">
        <f>SUM(B6:M6)</f>
        <v>30624861</v>
      </c>
      <c r="O6" s="44"/>
    </row>
    <row r="7" spans="1:15" x14ac:dyDescent="0.25">
      <c r="A7" s="10" t="s">
        <v>374</v>
      </c>
      <c r="B7" s="30">
        <f>HYPERLINK("https://secure.freee.co.jp/reports/general_ledgers/show?name=%E5%BD%B9%E5%93%A1%E5%A0%B1%E9%85%AC&amp;start_date=2025-03-01&amp;end_date=2025-03-31&amp;fiscal_year_id=9701941",500000)</f>
        <v>500000</v>
      </c>
      <c r="C7" s="30">
        <f>HYPERLINK("https://secure.freee.co.jp/reports/general_ledgers/show?name=%E5%BD%B9%E5%93%A1%E5%A0%B1%E9%85%AC&amp;start_date=2025-04-01&amp;end_date=2025-04-30&amp;fiscal_year_id=9701941",500000)</f>
        <v>500000</v>
      </c>
      <c r="D7" s="30">
        <f>HYPERLINK("https://secure.freee.co.jp/reports/general_ledgers/show?name=%E5%BD%B9%E5%93%A1%E5%A0%B1%E9%85%AC&amp;start_date=2025-05-01&amp;end_date=2025-05-31&amp;fiscal_year_id=9701941",500000)</f>
        <v>500000</v>
      </c>
      <c r="E7" s="30">
        <f>HYPERLINK("https://secure.freee.co.jp/reports/general_ledgers/show?name=%E5%BD%B9%E5%93%A1%E5%A0%B1%E9%85%AC&amp;start_date=2025-06-01&amp;end_date=2025-06-30&amp;fiscal_year_id=9701941",500000)</f>
        <v>500000</v>
      </c>
      <c r="F7" s="30">
        <f>HYPERLINK("https://secure.freee.co.jp/reports/general_ledgers/show?name=%E5%BD%B9%E5%93%A1%E5%A0%B1%E9%85%AC&amp;start_date=2025-07-01&amp;end_date=2025-07-31&amp;fiscal_year_id=9701941",500000)</f>
        <v>500000</v>
      </c>
      <c r="G7" s="30">
        <f>HYPERLINK("https://secure.freee.co.jp/reports/general_ledgers/show?name=%E5%BD%B9%E5%93%A1%E5%A0%B1%E9%85%AC&amp;start_date=2025-08-01&amp;end_date=2025-08-31&amp;fiscal_year_id=9701941",500000)</f>
        <v>500000</v>
      </c>
      <c r="H7" s="30">
        <f>HYPERLINK("https://secure.freee.co.jp/reports/general_ledgers/show?name=%E5%BD%B9%E5%93%A1%E5%A0%B1%E9%85%AC&amp;start_date=2025-09-01&amp;end_date=2025-09-30&amp;fiscal_year_id=9701941",500000)</f>
        <v>500000</v>
      </c>
      <c r="I7" s="30">
        <f>HYPERLINK("https://secure.freee.co.jp/reports/general_ledgers/show?name=%E5%BD%B9%E5%93%A1%E5%A0%B1%E9%85%AC&amp;start_date=2025-10-01&amp;end_date=2025-10-31&amp;fiscal_year_id=9701941",500000)</f>
        <v>500000</v>
      </c>
      <c r="J7" s="30">
        <f>HYPERLINK("https://secure.freee.co.jp/reports/general_ledgers/show?name=%E5%BD%B9%E5%93%A1%E5%A0%B1%E9%85%AC&amp;start_date=2025-11-01&amp;end_date=2025-11-30&amp;fiscal_year_id=9701941",500000)</f>
        <v>500000</v>
      </c>
      <c r="K7" s="30">
        <f>HYPERLINK("https://secure.freee.co.jp/reports/general_ledgers/show?name=%E5%BD%B9%E5%93%A1%E5%A0%B1%E9%85%AC&amp;start_date=2025-12-01&amp;end_date=2025-12-31&amp;fiscal_year_id=9701941",500000)</f>
        <v>500000</v>
      </c>
      <c r="L7" s="30">
        <f>HYPERLINK("https://secure.freee.co.jp/reports/general_ledgers/show?name=%E5%BD%B9%E5%93%A1%E5%A0%B1%E9%85%AC&amp;start_date=2026-01-01&amp;end_date=2026-01-31&amp;fiscal_year_id=9701941",500000)</f>
        <v>500000</v>
      </c>
      <c r="M7" s="37">
        <f>HYPERLINK("https://secure.freee.co.jp/reports/general_ledgers/show?name=%E5%BD%B9%E5%93%A1%E5%A0%B1%E9%85%AC&amp;start_date=2026-02-01&amp;end_date=2026-02-28&amp;fiscal_year_id=9701941",500000)</f>
        <v>500000</v>
      </c>
      <c r="N7" s="38">
        <f>SUM(B7:M7)</f>
        <v>6000000</v>
      </c>
      <c r="O7" s="32" t="s">
        <v>317</v>
      </c>
    </row>
    <row r="8" spans="1:15" x14ac:dyDescent="0.25">
      <c r="A8" s="10" t="s">
        <v>375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37">
        <f>HYPERLINK("https://secure.freee.co.jp/reports/general_ledgers/show?name=%E5%BD%B9%E5%93%A1%E8%B3%9E%E4%B8%8E&amp;start_date=2026-02-01&amp;end_date=2026-02-28&amp;fiscal_year_id=9701941",1000000)</f>
        <v>1000000</v>
      </c>
      <c r="N8" s="38">
        <f>SUM(B8:M8)</f>
        <v>1000000</v>
      </c>
      <c r="O8" s="32" t="s">
        <v>317</v>
      </c>
    </row>
    <row r="9" spans="1:15" x14ac:dyDescent="0.25">
      <c r="A9" s="10" t="s">
        <v>376</v>
      </c>
      <c r="B9" s="30">
        <f>HYPERLINK("https://secure.freee.co.jp/reports/general_ledgers/show?name=%E6%B3%95%E5%AE%9A%E7%A6%8F%E5%88%A9%E8%B2%BB&amp;start_date=2025-03-01&amp;end_date=2025-03-31&amp;fiscal_year_id=9701941",72325)</f>
        <v>72325</v>
      </c>
      <c r="C9" s="30">
        <f>HYPERLINK("https://secure.freee.co.jp/reports/general_ledgers/show?name=%E6%B3%95%E5%AE%9A%E7%A6%8F%E5%88%A9%E8%B2%BB&amp;start_date=2025-04-01&amp;end_date=2025-04-30&amp;fiscal_year_id=9701941",72325)</f>
        <v>72325</v>
      </c>
      <c r="D9" s="30">
        <f>HYPERLINK("https://secure.freee.co.jp/reports/general_ledgers/show?name=%E6%B3%95%E5%AE%9A%E7%A6%8F%E5%88%A9%E8%B2%BB&amp;start_date=2025-05-01&amp;end_date=2025-05-31&amp;fiscal_year_id=9701941",72325)</f>
        <v>72325</v>
      </c>
      <c r="E9" s="30">
        <f>HYPERLINK("https://secure.freee.co.jp/reports/general_ledgers/show?name=%E6%B3%95%E5%AE%9A%E7%A6%8F%E5%88%A9%E8%B2%BB&amp;start_date=2025-06-01&amp;end_date=2025-06-30&amp;fiscal_year_id=9701941",72325)</f>
        <v>72325</v>
      </c>
      <c r="F9" s="30">
        <f>HYPERLINK("https://secure.freee.co.jp/reports/general_ledgers/show?name=%E6%B3%95%E5%AE%9A%E7%A6%8F%E5%88%A9%E8%B2%BB&amp;start_date=2025-07-01&amp;end_date=2025-07-31&amp;fiscal_year_id=9701941",72325)</f>
        <v>72325</v>
      </c>
      <c r="G9" s="30">
        <f>HYPERLINK("https://secure.freee.co.jp/reports/general_ledgers/show?name=%E6%B3%95%E5%AE%9A%E7%A6%8F%E5%88%A9%E8%B2%BB&amp;start_date=2025-08-01&amp;end_date=2025-08-31&amp;fiscal_year_id=9701941",72325)</f>
        <v>72325</v>
      </c>
      <c r="H9" s="30">
        <f>HYPERLINK("https://secure.freee.co.jp/reports/general_ledgers/show?name=%E6%B3%95%E5%AE%9A%E7%A6%8F%E5%88%A9%E8%B2%BB&amp;start_date=2025-09-01&amp;end_date=2025-09-30&amp;fiscal_year_id=9701941",72325)</f>
        <v>72325</v>
      </c>
      <c r="I9" s="30">
        <f>HYPERLINK("https://secure.freee.co.jp/reports/general_ledgers/show?name=%E6%B3%95%E5%AE%9A%E7%A6%8F%E5%88%A9%E8%B2%BB&amp;start_date=2025-10-01&amp;end_date=2025-10-31&amp;fiscal_year_id=9701941",72325)</f>
        <v>72325</v>
      </c>
      <c r="J9" s="30">
        <f>HYPERLINK("https://secure.freee.co.jp/reports/general_ledgers/show?name=%E6%B3%95%E5%AE%9A%E7%A6%8F%E5%88%A9%E8%B2%BB&amp;start_date=2025-11-01&amp;end_date=2025-11-30&amp;fiscal_year_id=9701941",72325)</f>
        <v>72325</v>
      </c>
      <c r="K9" s="30">
        <f>HYPERLINK("https://secure.freee.co.jp/reports/general_ledgers/show?name=%E6%B3%95%E5%AE%9A%E7%A6%8F%E5%88%A9%E8%B2%BB&amp;start_date=2025-12-01&amp;end_date=2025-12-31&amp;fiscal_year_id=9701941",72325)</f>
        <v>72325</v>
      </c>
      <c r="L9" s="30">
        <f>HYPERLINK("https://secure.freee.co.jp/reports/general_ledgers/show?name=%E6%B3%95%E5%AE%9A%E7%A6%8F%E5%88%A9%E8%B2%BB&amp;start_date=2026-01-01&amp;end_date=2026-01-31&amp;fiscal_year_id=9701941",72325)</f>
        <v>72325</v>
      </c>
      <c r="M9" s="33">
        <f>HYPERLINK("https://secure.freee.co.jp/reports/general_ledgers/show?name=%E6%B3%95%E5%AE%9A%E7%A6%8F%E5%88%A9%E8%B2%BB&amp;start_date=2026-02-01&amp;end_date=2026-02-28&amp;fiscal_year_id=9701941",216975)</f>
        <v>216975</v>
      </c>
      <c r="N9" s="38">
        <f>SUM(B9:M9)</f>
        <v>1012550</v>
      </c>
      <c r="O9" s="32" t="s">
        <v>317</v>
      </c>
    </row>
    <row r="10" spans="1:15" x14ac:dyDescent="0.25">
      <c r="A10" s="10" t="s">
        <v>377</v>
      </c>
      <c r="B10" s="30">
        <f>HYPERLINK("https://secure.freee.co.jp/reports/general_ledgers/show?name=%E5%A4%96%E6%B3%A8%E8%B2%BB&amp;start_date=2025-03-01&amp;end_date=2025-03-31&amp;fiscal_year_id=9701941",1160000)</f>
        <v>1160000</v>
      </c>
      <c r="C10" s="30">
        <f>HYPERLINK("https://secure.freee.co.jp/reports/general_ledgers/show?name=%E5%A4%96%E6%B3%A8%E8%B2%BB&amp;start_date=2025-04-01&amp;end_date=2025-04-30&amp;fiscal_year_id=9701941",696500)</f>
        <v>696500</v>
      </c>
      <c r="D10" s="30">
        <f>HYPERLINK("https://secure.freee.co.jp/reports/general_ledgers/show?name=%E5%A4%96%E6%B3%A8%E8%B2%BB&amp;start_date=2025-05-01&amp;end_date=2025-05-31&amp;fiscal_year_id=9701941",642000)</f>
        <v>642000</v>
      </c>
      <c r="E10" s="30">
        <f>HYPERLINK("https://secure.freee.co.jp/reports/general_ledgers/show?name=%E5%A4%96%E6%B3%A8%E8%B2%BB&amp;start_date=2025-06-01&amp;end_date=2025-06-30&amp;fiscal_year_id=9701941",736000)</f>
        <v>736000</v>
      </c>
      <c r="F10" s="30">
        <f>HYPERLINK("https://secure.freee.co.jp/reports/general_ledgers/show?name=%E5%A4%96%E6%B3%A8%E8%B2%BB&amp;start_date=2025-07-01&amp;end_date=2025-07-31&amp;fiscal_year_id=9701941",1036000)</f>
        <v>1036000</v>
      </c>
      <c r="G10" s="30">
        <f>HYPERLINK("https://secure.freee.co.jp/reports/general_ledgers/show?name=%E5%A4%96%E6%B3%A8%E8%B2%BB&amp;start_date=2025-08-01&amp;end_date=2025-08-31&amp;fiscal_year_id=9701941",795000)</f>
        <v>795000</v>
      </c>
      <c r="H10" s="30">
        <f>HYPERLINK("https://secure.freee.co.jp/reports/general_ledgers/show?name=%E5%A4%96%E6%B3%A8%E8%B2%BB&amp;start_date=2025-09-01&amp;end_date=2025-09-30&amp;fiscal_year_id=9701941",673300)</f>
        <v>673300</v>
      </c>
      <c r="I10" s="30">
        <f>HYPERLINK("https://secure.freee.co.jp/reports/general_ledgers/show?name=%E5%A4%96%E6%B3%A8%E8%B2%BB&amp;start_date=2025-10-01&amp;end_date=2025-10-31&amp;fiscal_year_id=9701941",763000)</f>
        <v>763000</v>
      </c>
      <c r="J10" s="30">
        <f>HYPERLINK("https://secure.freee.co.jp/reports/general_ledgers/show?name=%E5%A4%96%E6%B3%A8%E8%B2%BB&amp;start_date=2025-11-01&amp;end_date=2025-11-30&amp;fiscal_year_id=9701941",757500)</f>
        <v>757500</v>
      </c>
      <c r="K10" s="30">
        <f>HYPERLINK("https://secure.freee.co.jp/reports/general_ledgers/show?name=%E5%A4%96%E6%B3%A8%E8%B2%BB&amp;start_date=2025-12-01&amp;end_date=2025-12-31&amp;fiscal_year_id=9701941",721500)</f>
        <v>721500</v>
      </c>
      <c r="L10" s="30">
        <f>HYPERLINK("https://secure.freee.co.jp/reports/general_ledgers/show?name=%E5%A4%96%E6%B3%A8%E8%B2%BB&amp;start_date=2026-01-01&amp;end_date=2026-01-31&amp;fiscal_year_id=9701941",781250)</f>
        <v>781250</v>
      </c>
      <c r="M10" s="33">
        <f>HYPERLINK("https://secure.freee.co.jp/reports/general_ledgers/show?name=%E5%A4%96%E6%B3%A8%E8%B2%BB&amp;start_date=2026-02-01&amp;end_date=2026-02-28&amp;fiscal_year_id=9701941",1413000)</f>
        <v>1413000</v>
      </c>
      <c r="N10" s="38">
        <f>SUM(B10:M10)</f>
        <v>10175050</v>
      </c>
      <c r="O10" s="32" t="s">
        <v>317</v>
      </c>
    </row>
    <row r="11" spans="1:15" x14ac:dyDescent="0.25">
      <c r="A11" s="10" t="s">
        <v>378</v>
      </c>
      <c r="B11" s="30">
        <f>HYPERLINK("https://secure.freee.co.jp/reports/general_ledgers/show?name=%E5%BA%83%E5%91%8A%E5%AE%A3%E4%BC%9D%E8%B2%BB&amp;start_date=2025-03-01&amp;end_date=2025-03-31&amp;fiscal_year_id=9701941",4400)</f>
        <v>4400</v>
      </c>
      <c r="C11" s="33">
        <f>HYPERLINK("https://secure.freee.co.jp/reports/general_ledgers/show?name=%E5%BA%83%E5%91%8A%E5%AE%A3%E4%BC%9D%E8%B2%BB&amp;start_date=2025-04-01&amp;end_date=2025-04-30&amp;fiscal_year_id=9701941",31500)</f>
        <v>31500</v>
      </c>
      <c r="D11" s="33">
        <f>HYPERLINK("https://secure.freee.co.jp/reports/general_ledgers/show?name=%E5%BA%83%E5%91%8A%E5%AE%A3%E4%BC%9D%E8%B2%BB&amp;start_date=2025-05-01&amp;end_date=2025-05-31&amp;fiscal_year_id=9701941",4950)</f>
        <v>4950</v>
      </c>
      <c r="E11" s="33">
        <f>HYPERLINK("https://secure.freee.co.jp/reports/general_ledgers/show?name=%E5%BA%83%E5%91%8A%E5%AE%A3%E4%BC%9D%E8%B2%BB&amp;start_date=2025-06-01&amp;end_date=2025-06-30&amp;fiscal_year_id=9701941",8300)</f>
        <v>8300</v>
      </c>
      <c r="F11" s="33">
        <f>HYPERLINK("https://secure.freee.co.jp/reports/general_ledgers/show?name=%E5%BA%83%E5%91%8A%E5%AE%A3%E4%BC%9D%E8%B2%BB&amp;start_date=2025-07-01&amp;end_date=2025-07-31&amp;fiscal_year_id=9701941",17050)</f>
        <v>17050</v>
      </c>
      <c r="G11" s="30">
        <f>HYPERLINK("https://secure.freee.co.jp/reports/general_ledgers/show?name=%E5%BA%83%E5%91%8A%E5%AE%A3%E4%BC%9D%E8%B2%BB&amp;start_date=2025-08-01&amp;end_date=2025-08-31&amp;fiscal_year_id=9701941",17050)</f>
        <v>17050</v>
      </c>
      <c r="H11" s="30">
        <f>HYPERLINK("https://secure.freee.co.jp/reports/general_ledgers/show?name=%E5%BA%83%E5%91%8A%E5%AE%A3%E4%BC%9D%E8%B2%BB&amp;start_date=2025-09-01&amp;end_date=2025-09-30&amp;fiscal_year_id=9701941",16500)</f>
        <v>16500</v>
      </c>
      <c r="I11" s="30">
        <f>HYPERLINK("https://secure.freee.co.jp/reports/general_ledgers/show?name=%E5%BA%83%E5%91%8A%E5%AE%A3%E4%BC%9D%E8%B2%BB&amp;start_date=2025-10-01&amp;end_date=2025-10-31&amp;fiscal_year_id=9701941",20350)</f>
        <v>20350</v>
      </c>
      <c r="J11" s="33">
        <f>HYPERLINK("https://secure.freee.co.jp/reports/general_ledgers/show?name=%E5%BA%83%E5%91%8A%E5%AE%A3%E4%BC%9D%E8%B2%BB&amp;start_date=2025-11-01&amp;end_date=2025-11-30&amp;fiscal_year_id=9701941",158950)</f>
        <v>158950</v>
      </c>
      <c r="K11" s="33">
        <f>HYPERLINK("https://secure.freee.co.jp/reports/general_ledgers/show?name=%E5%BA%83%E5%91%8A%E5%AE%A3%E4%BC%9D%E8%B2%BB&amp;start_date=2025-12-01&amp;end_date=2025-12-31&amp;fiscal_year_id=9701941",26950)</f>
        <v>26950</v>
      </c>
      <c r="L11" s="33">
        <f>HYPERLINK("https://secure.freee.co.jp/reports/general_ledgers/show?name=%E5%BA%83%E5%91%8A%E5%AE%A3%E4%BC%9D%E8%B2%BB&amp;start_date=2026-01-01&amp;end_date=2026-01-31&amp;fiscal_year_id=9701941",263698)</f>
        <v>263698</v>
      </c>
      <c r="M11" s="33">
        <f>HYPERLINK("https://secure.freee.co.jp/reports/general_ledgers/show?name=%E5%BA%83%E5%91%8A%E5%AE%A3%E4%BC%9D%E8%B2%BB&amp;start_date=2026-02-01&amp;end_date=2026-02-28&amp;fiscal_year_id=9701941",28435)</f>
        <v>28435</v>
      </c>
      <c r="N11" s="38">
        <f>SUM(B11:M11)</f>
        <v>598133</v>
      </c>
      <c r="O11" s="32" t="s">
        <v>317</v>
      </c>
    </row>
    <row r="12" spans="1:15" x14ac:dyDescent="0.25">
      <c r="A12" s="10" t="s">
        <v>379</v>
      </c>
      <c r="B12" s="40">
        <v>0</v>
      </c>
      <c r="C12" s="40">
        <v>0</v>
      </c>
      <c r="D12" s="40">
        <v>0</v>
      </c>
      <c r="E12" s="30">
        <f>HYPERLINK("https://secure.freee.co.jp/reports/general_ledgers/show?name=%E4%BA%A4%E9%9A%9B%E8%B2%BB&amp;start_date=2025-06-01&amp;end_date=2025-06-30&amp;fiscal_year_id=9701941",49004)</f>
        <v>49004</v>
      </c>
      <c r="F12" s="30">
        <f>HYPERLINK("https://secure.freee.co.jp/reports/general_ledgers/show?name=%E4%BA%A4%E9%9A%9B%E8%B2%BB&amp;start_date=2025-07-01&amp;end_date=2025-07-31&amp;fiscal_year_id=9701941",31628)</f>
        <v>31628</v>
      </c>
      <c r="G12" s="30">
        <f>HYPERLINK("https://secure.freee.co.jp/reports/general_ledgers/show?name=%E4%BA%A4%E9%9A%9B%E8%B2%BB&amp;start_date=2025-08-01&amp;end_date=2025-08-31&amp;fiscal_year_id=9701941",26477)</f>
        <v>26477</v>
      </c>
      <c r="H12" s="45">
        <v>0</v>
      </c>
      <c r="I12" s="30">
        <f>HYPERLINK("https://secure.freee.co.jp/reports/general_ledgers/show?name=%E4%BA%A4%E9%9A%9B%E8%B2%BB&amp;start_date=2025-10-01&amp;end_date=2025-10-31&amp;fiscal_year_id=9701941",40110)</f>
        <v>40110</v>
      </c>
      <c r="J12" s="33">
        <f>HYPERLINK("https://secure.freee.co.jp/reports/general_ledgers/show?name=%E4%BA%A4%E9%9A%9B%E8%B2%BB&amp;start_date=2025-11-01&amp;end_date=2025-11-30&amp;fiscal_year_id=9701941",69993)</f>
        <v>69993</v>
      </c>
      <c r="K12" s="33">
        <f>HYPERLINK("https://secure.freee.co.jp/reports/general_ledgers/show?name=%E4%BA%A4%E9%9A%9B%E8%B2%BB&amp;start_date=2025-12-01&amp;end_date=2025-12-31&amp;fiscal_year_id=9701941",232358)</f>
        <v>232358</v>
      </c>
      <c r="L12" s="30">
        <f>HYPERLINK("https://secure.freee.co.jp/reports/general_ledgers/show?name=%E4%BA%A4%E9%9A%9B%E8%B2%BB&amp;start_date=2026-01-01&amp;end_date=2026-01-31&amp;fiscal_year_id=9701941",117345)</f>
        <v>117345</v>
      </c>
      <c r="M12" s="33">
        <f>HYPERLINK("https://secure.freee.co.jp/reports/general_ledgers/show?name=%E4%BA%A4%E9%9A%9B%E8%B2%BB&amp;start_date=2026-02-01&amp;end_date=2026-02-28&amp;fiscal_year_id=9701941",238442)</f>
        <v>238442</v>
      </c>
      <c r="N12" s="38">
        <f>SUM(B12:M12)</f>
        <v>805357</v>
      </c>
      <c r="O12" s="32" t="s">
        <v>317</v>
      </c>
    </row>
    <row r="13" spans="1:15" x14ac:dyDescent="0.25">
      <c r="A13" s="10" t="s">
        <v>380</v>
      </c>
      <c r="B13" s="30">
        <f>HYPERLINK("https://secure.freee.co.jp/reports/general_ledgers/show?name=%E4%BC%9A%E8%AD%B0%E8%B2%BB&amp;start_date=2025-03-01&amp;end_date=2025-03-31&amp;fiscal_year_id=9701941",39224)</f>
        <v>39224</v>
      </c>
      <c r="C13" s="33">
        <f>HYPERLINK("https://secure.freee.co.jp/reports/general_ledgers/show?name=%E4%BC%9A%E8%AD%B0%E8%B2%BB&amp;start_date=2025-04-01&amp;end_date=2025-04-30&amp;fiscal_year_id=9701941",63316)</f>
        <v>63316</v>
      </c>
      <c r="D13" s="33">
        <f>HYPERLINK("https://secure.freee.co.jp/reports/general_ledgers/show?name=%E4%BC%9A%E8%AD%B0%E8%B2%BB&amp;start_date=2025-05-01&amp;end_date=2025-05-31&amp;fiscal_year_id=9701941",21993)</f>
        <v>21993</v>
      </c>
      <c r="E13" s="30">
        <f>HYPERLINK("https://secure.freee.co.jp/reports/general_ledgers/show?name=%E4%BC%9A%E8%AD%B0%E8%B2%BB&amp;start_date=2025-06-01&amp;end_date=2025-06-30&amp;fiscal_year_id=9701941",32022)</f>
        <v>32022</v>
      </c>
      <c r="F13" s="33">
        <f>HYPERLINK("https://secure.freee.co.jp/reports/general_ledgers/show?name=%E4%BC%9A%E8%AD%B0%E8%B2%BB&amp;start_date=2025-07-01&amp;end_date=2025-07-31&amp;fiscal_year_id=9701941",69658)</f>
        <v>69658</v>
      </c>
      <c r="G13" s="30">
        <f>HYPERLINK("https://secure.freee.co.jp/reports/general_ledgers/show?name=%E4%BC%9A%E8%AD%B0%E8%B2%BB&amp;start_date=2025-08-01&amp;end_date=2025-08-31&amp;fiscal_year_id=9701941",38108)</f>
        <v>38108</v>
      </c>
      <c r="H13" s="33">
        <f>HYPERLINK("https://secure.freee.co.jp/reports/general_ledgers/show?name=%E4%BC%9A%E8%AD%B0%E8%B2%BB&amp;start_date=2025-09-01&amp;end_date=2025-09-30&amp;fiscal_year_id=9701941",134590)</f>
        <v>134590</v>
      </c>
      <c r="I13" s="33">
        <f>HYPERLINK("https://secure.freee.co.jp/reports/general_ledgers/show?name=%E4%BC%9A%E8%AD%B0%E8%B2%BB&amp;start_date=2025-10-01&amp;end_date=2025-10-31&amp;fiscal_year_id=9701941",311034)</f>
        <v>311034</v>
      </c>
      <c r="J13" s="33">
        <f>HYPERLINK("https://secure.freee.co.jp/reports/general_ledgers/show?name=%E4%BC%9A%E8%AD%B0%E8%B2%BB&amp;start_date=2025-11-01&amp;end_date=2025-11-30&amp;fiscal_year_id=9701941",148914)</f>
        <v>148914</v>
      </c>
      <c r="K13" s="30">
        <f>HYPERLINK("https://secure.freee.co.jp/reports/general_ledgers/show?name=%E4%BC%9A%E8%AD%B0%E8%B2%BB&amp;start_date=2025-12-01&amp;end_date=2025-12-31&amp;fiscal_year_id=9701941",99362)</f>
        <v>99362</v>
      </c>
      <c r="L13" s="30">
        <f>HYPERLINK("https://secure.freee.co.jp/reports/general_ledgers/show?name=%E4%BC%9A%E8%AD%B0%E8%B2%BB&amp;start_date=2026-01-01&amp;end_date=2026-01-31&amp;fiscal_year_id=9701941",116779)</f>
        <v>116779</v>
      </c>
      <c r="M13" s="37">
        <f>HYPERLINK("https://secure.freee.co.jp/reports/general_ledgers/show?name=%E4%BC%9A%E8%AD%B0%E8%B2%BB&amp;start_date=2026-02-01&amp;end_date=2026-02-28&amp;fiscal_year_id=9701941",126668)</f>
        <v>126668</v>
      </c>
      <c r="N13" s="38">
        <f>SUM(B13:M13)</f>
        <v>1201668</v>
      </c>
      <c r="O13" s="32" t="s">
        <v>317</v>
      </c>
    </row>
    <row r="14" spans="1:15" x14ac:dyDescent="0.25">
      <c r="A14" s="10" t="s">
        <v>381</v>
      </c>
      <c r="B14" s="30">
        <f>HYPERLINK("https://secure.freee.co.jp/reports/general_ledgers/show?name=%E6%97%85%E8%B2%BB%E4%BA%A4%E9%80%9A%E8%B2%BB&amp;start_date=2025-03-01&amp;end_date=2025-03-31&amp;fiscal_year_id=9701941",66840)</f>
        <v>66840</v>
      </c>
      <c r="C14" s="33">
        <f>HYPERLINK("https://secure.freee.co.jp/reports/general_ledgers/show?name=%E6%97%85%E8%B2%BB%E4%BA%A4%E9%80%9A%E8%B2%BB&amp;start_date=2025-04-01&amp;end_date=2025-04-30&amp;fiscal_year_id=9701941",11820)</f>
        <v>11820</v>
      </c>
      <c r="D14" s="33">
        <f>HYPERLINK("https://secure.freee.co.jp/reports/general_ledgers/show?name=%E6%97%85%E8%B2%BB%E4%BA%A4%E9%80%9A%E8%B2%BB&amp;start_date=2025-05-01&amp;end_date=2025-05-31&amp;fiscal_year_id=9701941",41300)</f>
        <v>41300</v>
      </c>
      <c r="E14" s="30">
        <f>HYPERLINK("https://secure.freee.co.jp/reports/general_ledgers/show?name=%E6%97%85%E8%B2%BB%E4%BA%A4%E9%80%9A%E8%B2%BB&amp;start_date=2025-06-01&amp;end_date=2025-06-30&amp;fiscal_year_id=9701941",23350)</f>
        <v>23350</v>
      </c>
      <c r="F14" s="33">
        <f>HYPERLINK("https://secure.freee.co.jp/reports/general_ledgers/show?name=%E6%97%85%E8%B2%BB%E4%BA%A4%E9%80%9A%E8%B2%BB&amp;start_date=2025-07-01&amp;end_date=2025-07-31&amp;fiscal_year_id=9701941",9280)</f>
        <v>9280</v>
      </c>
      <c r="G14" s="33">
        <f>HYPERLINK("https://secure.freee.co.jp/reports/general_ledgers/show?name=%E6%97%85%E8%B2%BB%E4%BA%A4%E9%80%9A%E8%B2%BB&amp;start_date=2025-08-01&amp;end_date=2025-08-31&amp;fiscal_year_id=9701941",31310)</f>
        <v>31310</v>
      </c>
      <c r="H14" s="33">
        <f>HYPERLINK("https://secure.freee.co.jp/reports/general_ledgers/show?name=%E6%97%85%E8%B2%BB%E4%BA%A4%E9%80%9A%E8%B2%BB&amp;start_date=2025-09-01&amp;end_date=2025-09-30&amp;fiscal_year_id=9701941",59980)</f>
        <v>59980</v>
      </c>
      <c r="I14" s="33">
        <f>HYPERLINK("https://secure.freee.co.jp/reports/general_ledgers/show?name=%E6%97%85%E8%B2%BB%E4%BA%A4%E9%80%9A%E8%B2%BB&amp;start_date=2025-10-01&amp;end_date=2025-10-31&amp;fiscal_year_id=9701941",126850)</f>
        <v>126850</v>
      </c>
      <c r="J14" s="30">
        <f>HYPERLINK("https://secure.freee.co.jp/reports/general_ledgers/show?name=%E6%97%85%E8%B2%BB%E4%BA%A4%E9%80%9A%E8%B2%BB&amp;start_date=2025-11-01&amp;end_date=2025-11-30&amp;fiscal_year_id=9701941",149662)</f>
        <v>149662</v>
      </c>
      <c r="K14" s="33">
        <f>HYPERLINK("https://secure.freee.co.jp/reports/general_ledgers/show?name=%E6%97%85%E8%B2%BB%E4%BA%A4%E9%80%9A%E8%B2%BB&amp;start_date=2025-12-01&amp;end_date=2025-12-31&amp;fiscal_year_id=9701941",19500)</f>
        <v>19500</v>
      </c>
      <c r="L14" s="33">
        <f>HYPERLINK("https://secure.freee.co.jp/reports/general_ledgers/show?name=%E6%97%85%E8%B2%BB%E4%BA%A4%E9%80%9A%E8%B2%BB&amp;start_date=2026-01-01&amp;end_date=2026-01-31&amp;fiscal_year_id=9701941",45822)</f>
        <v>45822</v>
      </c>
      <c r="M14" s="33">
        <f>HYPERLINK("https://secure.freee.co.jp/reports/general_ledgers/show?name=%E6%97%85%E8%B2%BB%E4%BA%A4%E9%80%9A%E8%B2%BB&amp;start_date=2026-02-01&amp;end_date=2026-02-28&amp;fiscal_year_id=9701941",20350)</f>
        <v>20350</v>
      </c>
      <c r="N14" s="38">
        <f>SUM(B14:M14)</f>
        <v>606064</v>
      </c>
      <c r="O14" s="32" t="s">
        <v>317</v>
      </c>
    </row>
    <row r="15" spans="1:15" x14ac:dyDescent="0.25">
      <c r="A15" s="10" t="s">
        <v>382</v>
      </c>
      <c r="B15" s="30">
        <f>HYPERLINK("https://secure.freee.co.jp/reports/general_ledgers/show?name=%E9%80%9A%E4%BF%A1%E8%B2%BB&amp;start_date=2025-03-01&amp;end_date=2025-03-31&amp;fiscal_year_id=9701941",40454)</f>
        <v>40454</v>
      </c>
      <c r="C15" s="30">
        <f>HYPERLINK("https://secure.freee.co.jp/reports/general_ledgers/show?name=%E9%80%9A%E4%BF%A1%E8%B2%BB&amp;start_date=2025-04-01&amp;end_date=2025-04-30&amp;fiscal_year_id=9701941",49410)</f>
        <v>49410</v>
      </c>
      <c r="D15" s="30">
        <f>HYPERLINK("https://secure.freee.co.jp/reports/general_ledgers/show?name=%E9%80%9A%E4%BF%A1%E8%B2%BB&amp;start_date=2025-05-01&amp;end_date=2025-05-31&amp;fiscal_year_id=9701941",35319)</f>
        <v>35319</v>
      </c>
      <c r="E15" s="30">
        <f>HYPERLINK("https://secure.freee.co.jp/reports/general_ledgers/show?name=%E9%80%9A%E4%BF%A1%E8%B2%BB&amp;start_date=2025-06-01&amp;end_date=2025-06-30&amp;fiscal_year_id=9701941",35392)</f>
        <v>35392</v>
      </c>
      <c r="F15" s="30">
        <f>HYPERLINK("https://secure.freee.co.jp/reports/general_ledgers/show?name=%E9%80%9A%E4%BF%A1%E8%B2%BB&amp;start_date=2025-07-01&amp;end_date=2025-07-31&amp;fiscal_year_id=9701941",40249)</f>
        <v>40249</v>
      </c>
      <c r="G15" s="30">
        <f>HYPERLINK("https://secure.freee.co.jp/reports/general_ledgers/show?name=%E9%80%9A%E4%BF%A1%E8%B2%BB&amp;start_date=2025-08-01&amp;end_date=2025-08-31&amp;fiscal_year_id=9701941",27683)</f>
        <v>27683</v>
      </c>
      <c r="H15" s="30">
        <f>HYPERLINK("https://secure.freee.co.jp/reports/general_ledgers/show?name=%E9%80%9A%E4%BF%A1%E8%B2%BB&amp;start_date=2025-09-01&amp;end_date=2025-09-30&amp;fiscal_year_id=9701941",17985)</f>
        <v>17985</v>
      </c>
      <c r="I15" s="30">
        <f>HYPERLINK("https://secure.freee.co.jp/reports/general_ledgers/show?name=%E9%80%9A%E4%BF%A1%E8%B2%BB&amp;start_date=2025-10-01&amp;end_date=2025-10-31&amp;fiscal_year_id=9701941",17043)</f>
        <v>17043</v>
      </c>
      <c r="J15" s="30">
        <f>HYPERLINK("https://secure.freee.co.jp/reports/general_ledgers/show?name=%E9%80%9A%E4%BF%A1%E8%B2%BB&amp;start_date=2025-11-01&amp;end_date=2025-11-30&amp;fiscal_year_id=9701941",14020)</f>
        <v>14020</v>
      </c>
      <c r="K15" s="33">
        <f>HYPERLINK("https://secure.freee.co.jp/reports/general_ledgers/show?name=%E9%80%9A%E4%BF%A1%E8%B2%BB&amp;start_date=2025-12-01&amp;end_date=2025-12-31&amp;fiscal_year_id=9701941",93317)</f>
        <v>93317</v>
      </c>
      <c r="L15" s="30">
        <f>HYPERLINK("https://secure.freee.co.jp/reports/general_ledgers/show?name=%E9%80%9A%E4%BF%A1%E8%B2%BB&amp;start_date=2026-01-01&amp;end_date=2026-01-31&amp;fiscal_year_id=9701941",69076)</f>
        <v>69076</v>
      </c>
      <c r="M15" s="37">
        <f>HYPERLINK("https://secure.freee.co.jp/reports/general_ledgers/show?name=%E9%80%9A%E4%BF%A1%E8%B2%BB&amp;start_date=2026-02-01&amp;end_date=2026-02-28&amp;fiscal_year_id=9701941",49278)</f>
        <v>49278</v>
      </c>
      <c r="N15" s="38">
        <f>SUM(B15:M15)</f>
        <v>489226</v>
      </c>
      <c r="O15" s="32" t="s">
        <v>317</v>
      </c>
    </row>
    <row r="16" spans="1:15" x14ac:dyDescent="0.25">
      <c r="A16" s="10" t="s">
        <v>383</v>
      </c>
      <c r="B16" s="40">
        <v>0</v>
      </c>
      <c r="C16" s="40">
        <v>0</v>
      </c>
      <c r="D16" s="40">
        <v>0</v>
      </c>
      <c r="E16" s="30">
        <f>HYPERLINK("https://secure.freee.co.jp/reports/general_ledgers/show?name=%E6%B6%88%E8%80%97%E5%93%81%E8%B2%BB&amp;start_date=2025-06-01&amp;end_date=2025-06-30&amp;fiscal_year_id=9701941",15180)</f>
        <v>15180</v>
      </c>
      <c r="F16" s="45">
        <v>0</v>
      </c>
      <c r="G16" s="30">
        <f>HYPERLINK("https://secure.freee.co.jp/reports/general_ledgers/show?name=%E6%B6%88%E8%80%97%E5%93%81%E8%B2%BB&amp;start_date=2025-08-01&amp;end_date=2025-08-31&amp;fiscal_year_id=9701941",8980)</f>
        <v>8980</v>
      </c>
      <c r="H16" s="45">
        <v>0</v>
      </c>
      <c r="I16" s="40">
        <v>0</v>
      </c>
      <c r="J16" s="30">
        <f>HYPERLINK("https://secure.freee.co.jp/reports/general_ledgers/show?name=%E6%B6%88%E8%80%97%E5%93%81%E8%B2%BB&amp;start_date=2025-11-01&amp;end_date=2025-11-30&amp;fiscal_year_id=9701941",58658)</f>
        <v>58658</v>
      </c>
      <c r="K16" s="45">
        <v>0</v>
      </c>
      <c r="L16" s="30">
        <f>HYPERLINK("https://secure.freee.co.jp/reports/general_ledgers/show?name=%E6%B6%88%E8%80%97%E5%93%81%E8%B2%BB&amp;start_date=2026-01-01&amp;end_date=2026-01-31&amp;fiscal_year_id=9701941",2041)</f>
        <v>2041</v>
      </c>
      <c r="M16" s="33">
        <f>HYPERLINK("https://secure.freee.co.jp/reports/general_ledgers/show?name=%E6%B6%88%E8%80%97%E5%93%81%E8%B2%BB&amp;start_date=2026-02-01&amp;end_date=2026-02-28&amp;fiscal_year_id=9701941",30912)</f>
        <v>30912</v>
      </c>
      <c r="N16" s="38">
        <f>SUM(B16:M16)</f>
        <v>115771</v>
      </c>
      <c r="O16" s="32" t="s">
        <v>317</v>
      </c>
    </row>
    <row r="17" spans="1:15" x14ac:dyDescent="0.25">
      <c r="A17" s="10" t="s">
        <v>384</v>
      </c>
      <c r="B17" s="30">
        <f>HYPERLINK("https://secure.freee.co.jp/reports/general_ledgers/show?name=%E6%B0%B4%E9%81%93%E5%85%89%E7%86%B1%E8%B2%BB&amp;start_date=2025-03-01&amp;end_date=2025-03-31&amp;fiscal_year_id=9701941",9919)</f>
        <v>9919</v>
      </c>
      <c r="C17" s="30">
        <f>HYPERLINK("https://secure.freee.co.jp/reports/general_ledgers/show?name=%E6%B0%B4%E9%81%93%E5%85%89%E7%86%B1%E8%B2%BB&amp;start_date=2025-04-01&amp;end_date=2025-04-30&amp;fiscal_year_id=9701941",6614)</f>
        <v>6614</v>
      </c>
      <c r="D17" s="33">
        <f>HYPERLINK("https://secure.freee.co.jp/reports/general_ledgers/show?name=%E6%B0%B4%E9%81%93%E5%85%89%E7%86%B1%E8%B2%BB&amp;start_date=2025-05-01&amp;end_date=2025-05-31&amp;fiscal_year_id=9701941",10008)</f>
        <v>10008</v>
      </c>
      <c r="E17" s="30">
        <f>HYPERLINK("https://secure.freee.co.jp/reports/general_ledgers/show?name=%E6%B0%B4%E9%81%93%E5%85%89%E7%86%B1%E8%B2%BB&amp;start_date=2025-06-01&amp;end_date=2025-06-30&amp;fiscal_year_id=9701941",6446)</f>
        <v>6446</v>
      </c>
      <c r="F17" s="30">
        <f>HYPERLINK("https://secure.freee.co.jp/reports/general_ledgers/show?name=%E6%B0%B4%E9%81%93%E5%85%89%E7%86%B1%E8%B2%BB&amp;start_date=2025-07-01&amp;end_date=2025-07-31&amp;fiscal_year_id=9701941",8500)</f>
        <v>8500</v>
      </c>
      <c r="G17" s="30">
        <f>HYPERLINK("https://secure.freee.co.jp/reports/general_ledgers/show?name=%E6%B0%B4%E9%81%93%E5%85%89%E7%86%B1%E8%B2%BB&amp;start_date=2025-08-01&amp;end_date=2025-08-31&amp;fiscal_year_id=9701941",8136)</f>
        <v>8136</v>
      </c>
      <c r="H17" s="30">
        <f>HYPERLINK("https://secure.freee.co.jp/reports/general_ledgers/show?name=%E6%B0%B4%E9%81%93%E5%85%89%E7%86%B1%E8%B2%BB&amp;start_date=2025-09-01&amp;end_date=2025-09-30&amp;fiscal_year_id=9701941",9051)</f>
        <v>9051</v>
      </c>
      <c r="I17" s="30">
        <f>HYPERLINK("https://secure.freee.co.jp/reports/general_ledgers/show?name=%E6%B0%B4%E9%81%93%E5%85%89%E7%86%B1%E8%B2%BB&amp;start_date=2025-10-01&amp;end_date=2025-10-31&amp;fiscal_year_id=9701941",6305)</f>
        <v>6305</v>
      </c>
      <c r="J17" s="33">
        <f>HYPERLINK("https://secure.freee.co.jp/reports/general_ledgers/show?name=%E6%B0%B4%E9%81%93%E5%85%89%E7%86%B1%E8%B2%BB&amp;start_date=2025-11-01&amp;end_date=2025-11-30&amp;fiscal_year_id=9701941",782)</f>
        <v>782</v>
      </c>
      <c r="K17" s="45">
        <v>0</v>
      </c>
      <c r="L17" s="40">
        <v>0</v>
      </c>
      <c r="M17" s="41">
        <v>0</v>
      </c>
      <c r="N17" s="38">
        <f>SUM(B17:M17)</f>
        <v>65761</v>
      </c>
      <c r="O17" s="32" t="s">
        <v>317</v>
      </c>
    </row>
    <row r="18" spans="1:15" x14ac:dyDescent="0.25">
      <c r="A18" s="10" t="s">
        <v>385</v>
      </c>
      <c r="B18" s="40">
        <v>0</v>
      </c>
      <c r="C18" s="40">
        <v>0</v>
      </c>
      <c r="D18" s="40">
        <v>0</v>
      </c>
      <c r="E18" s="40">
        <v>0</v>
      </c>
      <c r="F18" s="30">
        <f>HYPERLINK("https://secure.freee.co.jp/reports/general_ledgers/show?name=%E6%96%B0%E8%81%9E%E5%9B%B3%E6%9B%B8%E8%B2%BB&amp;start_date=2025-07-01&amp;end_date=2025-07-31&amp;fiscal_year_id=9701941",5610)</f>
        <v>5610</v>
      </c>
      <c r="G18" s="45">
        <v>0</v>
      </c>
      <c r="H18" s="40">
        <v>0</v>
      </c>
      <c r="I18" s="40">
        <v>0</v>
      </c>
      <c r="J18" s="40">
        <v>0</v>
      </c>
      <c r="K18" s="30">
        <f>HYPERLINK("https://secure.freee.co.jp/reports/general_ledgers/show?name=%E6%96%B0%E8%81%9E%E5%9B%B3%E6%9B%B8%E8%B2%BB&amp;start_date=2025-12-01&amp;end_date=2025-12-31&amp;fiscal_year_id=9701941",2420)</f>
        <v>2420</v>
      </c>
      <c r="L18" s="45">
        <v>0</v>
      </c>
      <c r="M18" s="41">
        <v>0</v>
      </c>
      <c r="N18" s="38">
        <f>SUM(B18:M18)</f>
        <v>8030</v>
      </c>
      <c r="O18" s="32" t="s">
        <v>317</v>
      </c>
    </row>
    <row r="19" spans="1:15" x14ac:dyDescent="0.25">
      <c r="A19" s="10" t="s">
        <v>386</v>
      </c>
      <c r="B19" s="30">
        <f>HYPERLINK("https://secure.freee.co.jp/reports/general_ledgers/show?name=%E8%AB%B8%E4%BC%9A%E8%B2%BB&amp;start_date=2025-03-01&amp;end_date=2025-03-31&amp;fiscal_year_id=9701941",4000)</f>
        <v>4000</v>
      </c>
      <c r="C19" s="33">
        <f>HYPERLINK("https://secure.freee.co.jp/reports/general_ledgers/show?name=%E8%AB%B8%E4%BC%9A%E8%B2%BB&amp;start_date=2025-04-01&amp;end_date=2025-04-30&amp;fiscal_year_id=9701941",25000)</f>
        <v>25000</v>
      </c>
      <c r="D19" s="30">
        <f>HYPERLINK("https://secure.freee.co.jp/reports/general_ledgers/show?name=%E8%AB%B8%E4%BC%9A%E8%B2%BB&amp;start_date=2025-05-01&amp;end_date=2025-05-31&amp;fiscal_year_id=9701941",22000)</f>
        <v>22000</v>
      </c>
      <c r="E19" s="45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30">
        <f>HYPERLINK("https://secure.freee.co.jp/reports/general_ledgers/show?name=%E8%AB%B8%E4%BC%9A%E8%B2%BB&amp;start_date=2026-01-01&amp;end_date=2026-01-31&amp;fiscal_year_id=9701941",524)</f>
        <v>524</v>
      </c>
      <c r="M19" s="45">
        <v>0</v>
      </c>
      <c r="N19" s="38">
        <f>SUM(B19:M19)</f>
        <v>51524</v>
      </c>
      <c r="O19" s="32" t="s">
        <v>317</v>
      </c>
    </row>
    <row r="20" spans="1:15" x14ac:dyDescent="0.25">
      <c r="A20" s="10" t="s">
        <v>387</v>
      </c>
      <c r="B20" s="30">
        <f>HYPERLINK("https://secure.freee.co.jp/reports/general_ledgers/show?name=%E6%94%AF%E6%89%95%E6%89%8B%E6%95%B0%E6%96%99&amp;start_date=2025-03-01&amp;end_date=2025-03-31&amp;fiscal_year_id=9701941",37404)</f>
        <v>37404</v>
      </c>
      <c r="C20" s="30">
        <f>HYPERLINK("https://secure.freee.co.jp/reports/general_ledgers/show?name=%E6%94%AF%E6%89%95%E6%89%8B%E6%95%B0%E6%96%99&amp;start_date=2025-04-01&amp;end_date=2025-04-30&amp;fiscal_year_id=9701941",35816)</f>
        <v>35816</v>
      </c>
      <c r="D20" s="33">
        <f>HYPERLINK("https://secure.freee.co.jp/reports/general_ledgers/show?name=%E6%94%AF%E6%89%95%E6%89%8B%E6%95%B0%E6%96%99&amp;start_date=2025-05-01&amp;end_date=2025-05-31&amp;fiscal_year_id=9701941",167684)</f>
        <v>167684</v>
      </c>
      <c r="E20" s="33">
        <f>HYPERLINK("https://secure.freee.co.jp/reports/general_ledgers/show?name=%E6%94%AF%E6%89%95%E6%89%8B%E6%95%B0%E6%96%99&amp;start_date=2025-06-01&amp;end_date=2025-06-30&amp;fiscal_year_id=9701941",35860)</f>
        <v>35860</v>
      </c>
      <c r="F20" s="30">
        <f>HYPERLINK("https://secure.freee.co.jp/reports/general_ledgers/show?name=%E6%94%AF%E6%89%95%E6%89%8B%E6%95%B0%E6%96%99&amp;start_date=2025-07-01&amp;end_date=2025-07-31&amp;fiscal_year_id=9701941",36168)</f>
        <v>36168</v>
      </c>
      <c r="G20" s="30">
        <f>HYPERLINK("https://secure.freee.co.jp/reports/general_ledgers/show?name=%E6%94%AF%E6%89%95%E6%89%8B%E6%95%B0%E6%96%99&amp;start_date=2025-08-01&amp;end_date=2025-08-31&amp;fiscal_year_id=9701941",36168)</f>
        <v>36168</v>
      </c>
      <c r="H20" s="33">
        <f>HYPERLINK("https://secure.freee.co.jp/reports/general_ledgers/show?name=%E6%94%AF%E6%89%95%E6%89%8B%E6%95%B0%E6%96%99&amp;start_date=2025-09-01&amp;end_date=2025-09-30&amp;fiscal_year_id=9701941",103972)</f>
        <v>103972</v>
      </c>
      <c r="I20" s="33">
        <f>HYPERLINK("https://secure.freee.co.jp/reports/general_ledgers/show?name=%E6%94%AF%E6%89%95%E6%89%8B%E6%95%B0%E6%96%99&amp;start_date=2025-10-01&amp;end_date=2025-10-31&amp;fiscal_year_id=9701941",185746)</f>
        <v>185746</v>
      </c>
      <c r="J20" s="33">
        <f>HYPERLINK("https://secure.freee.co.jp/reports/general_ledgers/show?name=%E6%94%AF%E6%89%95%E6%89%8B%E6%95%B0%E6%96%99&amp;start_date=2025-11-01&amp;end_date=2025-11-30&amp;fiscal_year_id=9701941",58168)</f>
        <v>58168</v>
      </c>
      <c r="K20" s="30">
        <f>HYPERLINK("https://secure.freee.co.jp/reports/general_ledgers/show?name=%E6%94%AF%E6%89%95%E6%89%8B%E6%95%B0%E6%96%99&amp;start_date=2025-12-01&amp;end_date=2025-12-31&amp;fiscal_year_id=9701941",86181)</f>
        <v>86181</v>
      </c>
      <c r="L20" s="30">
        <f>HYPERLINK("https://secure.freee.co.jp/reports/general_ledgers/show?name=%E6%94%AF%E6%89%95%E6%89%8B%E6%95%B0%E6%96%99&amp;start_date=2026-01-01&amp;end_date=2026-01-31&amp;fiscal_year_id=9701941",59334)</f>
        <v>59334</v>
      </c>
      <c r="M20" s="33">
        <f>HYPERLINK("https://secure.freee.co.jp/reports/general_ledgers/show?name=%E6%94%AF%E6%89%95%E6%89%8B%E6%95%B0%E6%96%99&amp;start_date=2026-02-01&amp;end_date=2026-02-28&amp;fiscal_year_id=9701941",97149)</f>
        <v>97149</v>
      </c>
      <c r="N20" s="38">
        <f>SUM(B20:M20)</f>
        <v>939650</v>
      </c>
      <c r="O20" s="32" t="s">
        <v>317</v>
      </c>
    </row>
    <row r="21" spans="1:15" x14ac:dyDescent="0.25">
      <c r="A21" s="10" t="s">
        <v>388</v>
      </c>
      <c r="B21" s="30">
        <f>HYPERLINK("https://secure.freee.co.jp/reports/general_ledgers/show?name=%E8%BB%8A%E4%B8%A1%E8%B2%BB&amp;start_date=2025-03-01&amp;end_date=2025-03-31&amp;fiscal_year_id=9701941",79532)</f>
        <v>79532</v>
      </c>
      <c r="C21" s="33">
        <f>HYPERLINK("https://secure.freee.co.jp/reports/general_ledgers/show?name=%E8%BB%8A%E4%B8%A1%E8%B2%BB&amp;start_date=2025-04-01&amp;end_date=2025-04-30&amp;fiscal_year_id=9701941",17267)</f>
        <v>17267</v>
      </c>
      <c r="D21" s="33">
        <f>HYPERLINK("https://secure.freee.co.jp/reports/general_ledgers/show?name=%E8%BB%8A%E4%B8%A1%E8%B2%BB&amp;start_date=2025-05-01&amp;end_date=2025-05-31&amp;fiscal_year_id=9701941",34061)</f>
        <v>34061</v>
      </c>
      <c r="E21" s="33">
        <f>HYPERLINK("https://secure.freee.co.jp/reports/general_ledgers/show?name=%E8%BB%8A%E4%B8%A1%E8%B2%BB&amp;start_date=2025-06-01&amp;end_date=2025-06-30&amp;fiscal_year_id=9701941",13543)</f>
        <v>13543</v>
      </c>
      <c r="F21" s="30">
        <f>HYPERLINK("https://secure.freee.co.jp/reports/general_ledgers/show?name=%E8%BB%8A%E4%B8%A1%E8%B2%BB&amp;start_date=2025-07-01&amp;end_date=2025-07-31&amp;fiscal_year_id=9701941",13821)</f>
        <v>13821</v>
      </c>
      <c r="G21" s="33">
        <f>HYPERLINK("https://secure.freee.co.jp/reports/general_ledgers/show?name=%E8%BB%8A%E4%B8%A1%E8%B2%BB&amp;start_date=2025-08-01&amp;end_date=2025-08-31&amp;fiscal_year_id=9701941",27734)</f>
        <v>27734</v>
      </c>
      <c r="H21" s="33">
        <f>HYPERLINK("https://secure.freee.co.jp/reports/general_ledgers/show?name=%E8%BB%8A%E4%B8%A1%E8%B2%BB&amp;start_date=2025-09-01&amp;end_date=2025-09-30&amp;fiscal_year_id=9701941",44595)</f>
        <v>44595</v>
      </c>
      <c r="I21" s="30">
        <f>HYPERLINK("https://secure.freee.co.jp/reports/general_ledgers/show?name=%E8%BB%8A%E4%B8%A1%E8%B2%BB&amp;start_date=2025-10-01&amp;end_date=2025-10-31&amp;fiscal_year_id=9701941",25460)</f>
        <v>25460</v>
      </c>
      <c r="J21" s="30">
        <f>HYPERLINK("https://secure.freee.co.jp/reports/general_ledgers/show?name=%E8%BB%8A%E4%B8%A1%E8%B2%BB&amp;start_date=2025-11-01&amp;end_date=2025-11-30&amp;fiscal_year_id=9701941",28558)</f>
        <v>28558</v>
      </c>
      <c r="K21" s="30">
        <f>HYPERLINK("https://secure.freee.co.jp/reports/general_ledgers/show?name=%E8%BB%8A%E4%B8%A1%E8%B2%BB&amp;start_date=2025-12-01&amp;end_date=2025-12-31&amp;fiscal_year_id=9701941",19870)</f>
        <v>19870</v>
      </c>
      <c r="L21" s="30">
        <f>HYPERLINK("https://secure.freee.co.jp/reports/general_ledgers/show?name=%E8%BB%8A%E4%B8%A1%E8%B2%BB&amp;start_date=2026-01-01&amp;end_date=2026-01-31&amp;fiscal_year_id=9701941",15297)</f>
        <v>15297</v>
      </c>
      <c r="M21" s="37">
        <f>HYPERLINK("https://secure.freee.co.jp/reports/general_ledgers/show?name=%E8%BB%8A%E4%B8%A1%E8%B2%BB&amp;start_date=2026-02-01&amp;end_date=2026-02-28&amp;fiscal_year_id=9701941",11831)</f>
        <v>11831</v>
      </c>
      <c r="N21" s="38">
        <f>SUM(B21:M21)</f>
        <v>331569</v>
      </c>
      <c r="O21" s="32" t="s">
        <v>317</v>
      </c>
    </row>
    <row r="22" spans="1:15" x14ac:dyDescent="0.25">
      <c r="A22" s="10" t="s">
        <v>389</v>
      </c>
      <c r="B22" s="30">
        <f>HYPERLINK("https://secure.freee.co.jp/reports/general_ledgers/show?name=%E5%9C%B0%E4%BB%A3%E5%AE%B6%E8%B3%83&amp;start_date=2025-03-01&amp;end_date=2025-03-31&amp;fiscal_year_id=9701941",99300)</f>
        <v>99300</v>
      </c>
      <c r="C22" s="30">
        <f>HYPERLINK("https://secure.freee.co.jp/reports/general_ledgers/show?name=%E5%9C%B0%E4%BB%A3%E5%AE%B6%E8%B3%83&amp;start_date=2025-04-01&amp;end_date=2025-04-30&amp;fiscal_year_id=9701941",99300)</f>
        <v>99300</v>
      </c>
      <c r="D22" s="30">
        <f>HYPERLINK("https://secure.freee.co.jp/reports/general_ledgers/show?name=%E5%9C%B0%E4%BB%A3%E5%AE%B6%E8%B3%83&amp;start_date=2025-05-01&amp;end_date=2025-05-31&amp;fiscal_year_id=9701941",99300)</f>
        <v>99300</v>
      </c>
      <c r="E22" s="30">
        <f>HYPERLINK("https://secure.freee.co.jp/reports/general_ledgers/show?name=%E5%9C%B0%E4%BB%A3%E5%AE%B6%E8%B3%83&amp;start_date=2025-06-01&amp;end_date=2025-06-30&amp;fiscal_year_id=9701941",99300)</f>
        <v>99300</v>
      </c>
      <c r="F22" s="30">
        <f>HYPERLINK("https://secure.freee.co.jp/reports/general_ledgers/show?name=%E5%9C%B0%E4%BB%A3%E5%AE%B6%E8%B3%83&amp;start_date=2025-07-01&amp;end_date=2025-07-31&amp;fiscal_year_id=9701941",99300)</f>
        <v>99300</v>
      </c>
      <c r="G22" s="30">
        <f>HYPERLINK("https://secure.freee.co.jp/reports/general_ledgers/show?name=%E5%9C%B0%E4%BB%A3%E5%AE%B6%E8%B3%83&amp;start_date=2025-08-01&amp;end_date=2025-08-31&amp;fiscal_year_id=9701941",133897)</f>
        <v>133897</v>
      </c>
      <c r="H22" s="30">
        <f>HYPERLINK("https://secure.freee.co.jp/reports/general_ledgers/show?name=%E5%9C%B0%E4%BB%A3%E5%AE%B6%E8%B3%83&amp;start_date=2025-09-01&amp;end_date=2025-09-30&amp;fiscal_year_id=9701941",142200)</f>
        <v>142200</v>
      </c>
      <c r="I22" s="30">
        <f>HYPERLINK("https://secure.freee.co.jp/reports/general_ledgers/show?name=%E5%9C%B0%E4%BB%A3%E5%AE%B6%E8%B3%83&amp;start_date=2025-10-01&amp;end_date=2025-10-31&amp;fiscal_year_id=9701941",112200)</f>
        <v>112200</v>
      </c>
      <c r="J22" s="33">
        <f>HYPERLINK("https://secure.freee.co.jp/reports/general_ledgers/show?name=%E5%9C%B0%E4%BB%A3%E5%AE%B6%E8%B3%83&amp;start_date=2025-11-01&amp;end_date=2025-11-30&amp;fiscal_year_id=9701941",262000)</f>
        <v>262000</v>
      </c>
      <c r="K22" s="30">
        <f>HYPERLINK("https://secure.freee.co.jp/reports/general_ledgers/show?name=%E5%9C%B0%E4%BB%A3%E5%AE%B6%E8%B3%83&amp;start_date=2025-12-01&amp;end_date=2025-12-31&amp;fiscal_year_id=9701941",378100)</f>
        <v>378100</v>
      </c>
      <c r="L22" s="30">
        <f>HYPERLINK("https://secure.freee.co.jp/reports/general_ledgers/show?name=%E5%9C%B0%E4%BB%A3%E5%AE%B6%E8%B3%83&amp;start_date=2026-01-01&amp;end_date=2026-01-31&amp;fiscal_year_id=9701941",262000)</f>
        <v>262000</v>
      </c>
      <c r="M22" s="37">
        <f>HYPERLINK("https://secure.freee.co.jp/reports/general_ledgers/show?name=%E5%9C%B0%E4%BB%A3%E5%AE%B6%E8%B3%83&amp;start_date=2026-02-01&amp;end_date=2026-02-28&amp;fiscal_year_id=9701941",292000)</f>
        <v>292000</v>
      </c>
      <c r="N22" s="38">
        <f>SUM(B22:M22)</f>
        <v>2078897</v>
      </c>
      <c r="O22" s="32" t="s">
        <v>317</v>
      </c>
    </row>
    <row r="23" spans="1:15" x14ac:dyDescent="0.25">
      <c r="A23" s="10" t="s">
        <v>390</v>
      </c>
      <c r="B23" s="30">
        <f>HYPERLINK("https://secure.freee.co.jp/reports/general_ledgers/show?name=%E4%BF%9D%E9%99%BA%E6%96%99&amp;start_date=2025-03-01&amp;end_date=2025-03-31&amp;fiscal_year_id=9701941",79485)</f>
        <v>79485</v>
      </c>
      <c r="C23" s="45">
        <v>0</v>
      </c>
      <c r="D23" s="40">
        <v>0</v>
      </c>
      <c r="E23" s="30">
        <f>HYPERLINK("https://secure.freee.co.jp/reports/general_ledgers/show?name=%E4%BF%9D%E9%99%BA%E6%96%99&amp;start_date=2025-06-01&amp;end_date=2025-06-30&amp;fiscal_year_id=9701941",159110)</f>
        <v>159110</v>
      </c>
      <c r="F23" s="45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37">
        <f>HYPERLINK("https://secure.freee.co.jp/reports/general_ledgers/show?name=%E4%BF%9D%E9%99%BA%E6%96%99&amp;start_date=2026-02-01&amp;end_date=2026-02-28&amp;fiscal_year_id=9701941",-77593)</f>
        <v>-77593</v>
      </c>
      <c r="N23" s="38">
        <f>SUM(B23:M23)</f>
        <v>161002</v>
      </c>
      <c r="O23" s="32" t="s">
        <v>317</v>
      </c>
    </row>
    <row r="24" spans="1:15" x14ac:dyDescent="0.25">
      <c r="A24" s="10" t="s">
        <v>391</v>
      </c>
      <c r="B24" s="30">
        <f>HYPERLINK("https://secure.freee.co.jp/reports/general_ledgers/show?name=%E7%A7%9F%E7%A8%8E%E5%85%AC%E8%AA%B2&amp;start_date=2025-03-01&amp;end_date=2025-03-31&amp;fiscal_year_id=9701941",156600)</f>
        <v>156600</v>
      </c>
      <c r="C24" s="30">
        <f>HYPERLINK("https://secure.freee.co.jp/reports/general_ledgers/show?name=%E7%A7%9F%E7%A8%8E%E5%85%AC%E8%AA%B2&amp;start_date=2025-04-01&amp;end_date=2025-04-30&amp;fiscal_year_id=9701941",113200)</f>
        <v>113200</v>
      </c>
      <c r="D24" s="30">
        <f>HYPERLINK("https://secure.freee.co.jp/reports/general_ledgers/show?name=%E7%A7%9F%E7%A8%8E%E5%85%AC%E8%AA%B2&amp;start_date=2025-05-01&amp;end_date=2025-05-31&amp;fiscal_year_id=9701941",113400)</f>
        <v>113400</v>
      </c>
      <c r="E24" s="30">
        <f>HYPERLINK("https://secure.freee.co.jp/reports/general_ledgers/show?name=%E7%A7%9F%E7%A8%8E%E5%85%AC%E8%AA%B2&amp;start_date=2025-06-01&amp;end_date=2025-06-30&amp;fiscal_year_id=9701941",115900)</f>
        <v>115900</v>
      </c>
      <c r="F24" s="30">
        <f>HYPERLINK("https://secure.freee.co.jp/reports/general_ledgers/show?name=%E7%A7%9F%E7%A8%8E%E5%85%AC%E8%AA%B2&amp;start_date=2025-07-01&amp;end_date=2025-07-31&amp;fiscal_year_id=9701941",164700)</f>
        <v>164700</v>
      </c>
      <c r="G24" s="30">
        <f>HYPERLINK("https://secure.freee.co.jp/reports/general_ledgers/show?name=%E7%A7%9F%E7%A8%8E%E5%85%AC%E8%AA%B2&amp;start_date=2025-08-01&amp;end_date=2025-08-31&amp;fiscal_year_id=9701941",98800)</f>
        <v>98800</v>
      </c>
      <c r="H24" s="30">
        <f>HYPERLINK("https://secure.freee.co.jp/reports/general_ledgers/show?name=%E7%A7%9F%E7%A8%8E%E5%85%AC%E8%AA%B2&amp;start_date=2025-09-01&amp;end_date=2025-09-30&amp;fiscal_year_id=9701941",128600)</f>
        <v>128600</v>
      </c>
      <c r="I24" s="30">
        <f>HYPERLINK("https://secure.freee.co.jp/reports/general_ledgers/show?name=%E7%A7%9F%E7%A8%8E%E5%85%AC%E8%AA%B2&amp;start_date=2025-10-01&amp;end_date=2025-10-31&amp;fiscal_year_id=9701941",117300)</f>
        <v>117300</v>
      </c>
      <c r="J24" s="30">
        <f>HYPERLINK("https://secure.freee.co.jp/reports/general_ledgers/show?name=%E7%A7%9F%E7%A8%8E%E5%85%AC%E8%AA%B2&amp;start_date=2025-11-01&amp;end_date=2025-11-30&amp;fiscal_year_id=9701941",114800)</f>
        <v>114800</v>
      </c>
      <c r="K24" s="30">
        <f>HYPERLINK("https://secure.freee.co.jp/reports/general_ledgers/show?name=%E7%A7%9F%E7%A8%8E%E5%85%AC%E8%AA%B2&amp;start_date=2025-12-01&amp;end_date=2025-12-31&amp;fiscal_year_id=9701941",120700)</f>
        <v>120700</v>
      </c>
      <c r="L24" s="30">
        <f>HYPERLINK("https://secure.freee.co.jp/reports/general_ledgers/show?name=%E7%A7%9F%E7%A8%8E%E5%85%AC%E8%AA%B2&amp;start_date=2026-01-01&amp;end_date=2026-01-31&amp;fiscal_year_id=9701941",117000)</f>
        <v>117000</v>
      </c>
      <c r="M24" s="37">
        <f>HYPERLINK("https://secure.freee.co.jp/reports/general_ledgers/show?name=%E7%A7%9F%E7%A8%8E%E5%85%AC%E8%AA%B2&amp;start_date=2026-02-01&amp;end_date=2026-02-28&amp;fiscal_year_id=9701941",139700)</f>
        <v>139700</v>
      </c>
      <c r="N24" s="38">
        <f>SUM(B24:M24)</f>
        <v>1500700</v>
      </c>
      <c r="O24" s="32" t="s">
        <v>317</v>
      </c>
    </row>
    <row r="25" spans="1:15" x14ac:dyDescent="0.25">
      <c r="A25" s="10" t="s">
        <v>392</v>
      </c>
      <c r="B25" s="30">
        <f>HYPERLINK("https://secure.freee.co.jp/reports/general_ledgers/show?name=%E6%B8%9B%E4%BE%A1%E5%84%9F%E5%8D%B4%E8%B2%BB&amp;start_date=2025-03-01&amp;end_date=2025-03-31&amp;fiscal_year_id=9701941",154542)</f>
        <v>154542</v>
      </c>
      <c r="C25" s="30">
        <f>HYPERLINK("https://secure.freee.co.jp/reports/general_ledgers/show?name=%E6%B8%9B%E4%BE%A1%E5%84%9F%E5%8D%B4%E8%B2%BB&amp;start_date=2025-04-01&amp;end_date=2025-04-30&amp;fiscal_year_id=9701941",154542)</f>
        <v>154542</v>
      </c>
      <c r="D25" s="30">
        <f>HYPERLINK("https://secure.freee.co.jp/reports/general_ledgers/show?name=%E6%B8%9B%E4%BE%A1%E5%84%9F%E5%8D%B4%E8%B2%BB&amp;start_date=2025-05-01&amp;end_date=2025-05-31&amp;fiscal_year_id=9701941",154542)</f>
        <v>154542</v>
      </c>
      <c r="E25" s="30">
        <f>HYPERLINK("https://secure.freee.co.jp/reports/general_ledgers/show?name=%E6%B8%9B%E4%BE%A1%E5%84%9F%E5%8D%B4%E8%B2%BB&amp;start_date=2025-06-01&amp;end_date=2025-06-30&amp;fiscal_year_id=9701941",154542)</f>
        <v>154542</v>
      </c>
      <c r="F25" s="30">
        <f>HYPERLINK("https://secure.freee.co.jp/reports/general_ledgers/show?name=%E6%B8%9B%E4%BE%A1%E5%84%9F%E5%8D%B4%E8%B2%BB&amp;start_date=2025-07-01&amp;end_date=2025-07-31&amp;fiscal_year_id=9701941",154542)</f>
        <v>154542</v>
      </c>
      <c r="G25" s="30">
        <f>HYPERLINK("https://secure.freee.co.jp/reports/general_ledgers/show?name=%E6%B8%9B%E4%BE%A1%E5%84%9F%E5%8D%B4%E8%B2%BB&amp;start_date=2025-08-01&amp;end_date=2025-08-31&amp;fiscal_year_id=9701941",154542)</f>
        <v>154542</v>
      </c>
      <c r="H25" s="30">
        <f>HYPERLINK("https://secure.freee.co.jp/reports/general_ledgers/show?name=%E6%B8%9B%E4%BE%A1%E5%84%9F%E5%8D%B4%E8%B2%BB&amp;start_date=2025-09-01&amp;end_date=2025-09-30&amp;fiscal_year_id=9701941",154542)</f>
        <v>154542</v>
      </c>
      <c r="I25" s="30">
        <f>HYPERLINK("https://secure.freee.co.jp/reports/general_ledgers/show?name=%E6%B8%9B%E4%BE%A1%E5%84%9F%E5%8D%B4%E8%B2%BB&amp;start_date=2025-10-01&amp;end_date=2025-10-31&amp;fiscal_year_id=9701941",154542)</f>
        <v>154542</v>
      </c>
      <c r="J25" s="30">
        <f>HYPERLINK("https://secure.freee.co.jp/reports/general_ledgers/show?name=%E6%B8%9B%E4%BE%A1%E5%84%9F%E5%8D%B4%E8%B2%BB&amp;start_date=2025-11-01&amp;end_date=2025-11-30&amp;fiscal_year_id=9701941",154542)</f>
        <v>154542</v>
      </c>
      <c r="K25" s="30">
        <f>HYPERLINK("https://secure.freee.co.jp/reports/general_ledgers/show?name=%E6%B8%9B%E4%BE%A1%E5%84%9F%E5%8D%B4%E8%B2%BB&amp;start_date=2025-12-01&amp;end_date=2025-12-31&amp;fiscal_year_id=9701941",154542)</f>
        <v>154542</v>
      </c>
      <c r="L25" s="33">
        <f>HYPERLINK("https://secure.freee.co.jp/reports/general_ledgers/show?name=%E6%B8%9B%E4%BE%A1%E5%84%9F%E5%8D%B4%E8%B2%BB&amp;start_date=2026-01-01&amp;end_date=2026-01-31&amp;fiscal_year_id=9701941",237042)</f>
        <v>237042</v>
      </c>
      <c r="M25" s="37">
        <f>HYPERLINK("https://secure.freee.co.jp/reports/general_ledgers/show?name=%E6%B8%9B%E4%BE%A1%E5%84%9F%E5%8D%B4%E8%B2%BB&amp;start_date=2026-02-01&amp;end_date=2026-02-28&amp;fiscal_year_id=9701941",237063)</f>
        <v>237063</v>
      </c>
      <c r="N25" s="38">
        <f>SUM(B25:M25)</f>
        <v>2019525</v>
      </c>
      <c r="O25" s="32" t="s">
        <v>317</v>
      </c>
    </row>
    <row r="26" spans="1:15" x14ac:dyDescent="0.25">
      <c r="A26" s="42" t="s">
        <v>393</v>
      </c>
      <c r="B26" s="43">
        <v>2504025</v>
      </c>
      <c r="C26" s="43">
        <v>1876610</v>
      </c>
      <c r="D26" s="43">
        <v>1918882</v>
      </c>
      <c r="E26" s="43">
        <v>2056274</v>
      </c>
      <c r="F26" s="43">
        <v>2258831</v>
      </c>
      <c r="G26" s="43">
        <v>1976210</v>
      </c>
      <c r="H26" s="43">
        <v>2057640</v>
      </c>
      <c r="I26" s="43">
        <v>2452265</v>
      </c>
      <c r="J26" s="43">
        <v>2548872</v>
      </c>
      <c r="K26" s="43">
        <v>2527125</v>
      </c>
      <c r="L26" s="43">
        <v>2659533</v>
      </c>
      <c r="M26" s="43">
        <v>4324210</v>
      </c>
      <c r="N26" s="43">
        <f>SUM(B26:M26)</f>
        <v>29160477</v>
      </c>
      <c r="O26" s="44"/>
    </row>
    <row r="27" spans="1:15" x14ac:dyDescent="0.25">
      <c r="A27" s="42" t="s">
        <v>394</v>
      </c>
      <c r="B27" s="43">
        <v>14601</v>
      </c>
      <c r="C27" s="43">
        <v>639212</v>
      </c>
      <c r="D27" s="43">
        <v>601482</v>
      </c>
      <c r="E27" s="43">
        <v>520344</v>
      </c>
      <c r="F27" s="43">
        <v>-53331</v>
      </c>
      <c r="G27" s="43">
        <v>220643</v>
      </c>
      <c r="H27" s="43">
        <v>800164</v>
      </c>
      <c r="I27" s="43">
        <v>154735</v>
      </c>
      <c r="J27" s="43">
        <v>3128</v>
      </c>
      <c r="K27" s="43">
        <v>157149</v>
      </c>
      <c r="L27" s="43">
        <v>-58033</v>
      </c>
      <c r="M27" s="43">
        <v>-1535710</v>
      </c>
      <c r="N27" s="43">
        <f>SUM(B27:M27)</f>
        <v>1464384</v>
      </c>
      <c r="O27" s="44"/>
    </row>
    <row r="28" spans="1:15" x14ac:dyDescent="0.25">
      <c r="A28" s="10" t="s">
        <v>395</v>
      </c>
      <c r="B28" s="40">
        <v>0</v>
      </c>
      <c r="C28" s="40">
        <v>0</v>
      </c>
      <c r="D28" s="40">
        <v>0</v>
      </c>
      <c r="E28" s="40">
        <v>0</v>
      </c>
      <c r="F28" s="40">
        <v>0</v>
      </c>
      <c r="G28" s="30">
        <f>HYPERLINK("https://secure.freee.co.jp/reports/general_ledgers/show?name=%E5%8F%97%E5%8F%96%E5%88%A9%E6%81%AF&amp;start_date=2025-08-01&amp;end_date=2025-08-31&amp;fiscal_year_id=9701941",10800)</f>
        <v>10800</v>
      </c>
      <c r="H28" s="45">
        <v>0</v>
      </c>
      <c r="I28" s="40">
        <v>0</v>
      </c>
      <c r="J28" s="40">
        <v>0</v>
      </c>
      <c r="K28" s="40">
        <v>0</v>
      </c>
      <c r="L28" s="40">
        <v>0</v>
      </c>
      <c r="M28" s="37">
        <f>HYPERLINK("https://secure.freee.co.jp/reports/general_ledgers/show?name=%E5%8F%97%E5%8F%96%E5%88%A9%E6%81%AF&amp;start_date=2026-02-01&amp;end_date=2026-02-28&amp;fiscal_year_id=9701941",14246)</f>
        <v>14246</v>
      </c>
      <c r="N28" s="38">
        <f>SUM(B28:M28)</f>
        <v>25046</v>
      </c>
      <c r="O28" s="32" t="s">
        <v>317</v>
      </c>
    </row>
    <row r="29" spans="1:15" x14ac:dyDescent="0.25">
      <c r="A29" s="10" t="s">
        <v>396</v>
      </c>
      <c r="B29" s="40">
        <v>0</v>
      </c>
      <c r="C29" s="40">
        <v>0</v>
      </c>
      <c r="D29" s="30">
        <f>HYPERLINK("https://secure.freee.co.jp/reports/general_ledgers/show?name=%E9%9B%91%E5%8F%8E%E5%85%A5&amp;start_date=2025-05-01&amp;end_date=2025-05-31&amp;fiscal_year_id=9701941",770)</f>
        <v>770</v>
      </c>
      <c r="E29" s="45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1">
        <v>0</v>
      </c>
      <c r="N29" s="38">
        <f>SUM(B29:M29)</f>
        <v>770</v>
      </c>
      <c r="O29" s="32" t="s">
        <v>317</v>
      </c>
    </row>
    <row r="30" spans="1:15" x14ac:dyDescent="0.25">
      <c r="A30" s="10" t="s">
        <v>397</v>
      </c>
      <c r="B30" s="40">
        <v>0</v>
      </c>
      <c r="C30" s="40">
        <v>0</v>
      </c>
      <c r="D30" s="30">
        <v>770</v>
      </c>
      <c r="E30" s="40">
        <v>0</v>
      </c>
      <c r="F30" s="40">
        <v>0</v>
      </c>
      <c r="G30" s="30">
        <v>10800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37">
        <v>14246</v>
      </c>
      <c r="N30" s="38">
        <f>SUM(B30:M30)</f>
        <v>25816</v>
      </c>
      <c r="O30" s="39"/>
    </row>
    <row r="31" spans="1:15" x14ac:dyDescent="0.25">
      <c r="A31" s="10" t="s">
        <v>398</v>
      </c>
      <c r="B31" s="30">
        <f>HYPERLINK("https://secure.freee.co.jp/reports/general_ledgers/show?name=%E6%94%AF%E6%89%95%E5%88%A9%E6%81%AF&amp;start_date=2025-03-01&amp;end_date=2025-03-31&amp;fiscal_year_id=9701941",5192)</f>
        <v>5192</v>
      </c>
      <c r="C31" s="30">
        <f>HYPERLINK("https://secure.freee.co.jp/reports/general_ledgers/show?name=%E6%94%AF%E6%89%95%E5%88%A9%E6%81%AF&amp;start_date=2025-04-01&amp;end_date=2025-04-30&amp;fiscal_year_id=9701941",4952)</f>
        <v>4952</v>
      </c>
      <c r="D31" s="30">
        <f>HYPERLINK("https://secure.freee.co.jp/reports/general_ledgers/show?name=%E6%94%AF%E6%89%95%E5%88%A9%E6%81%AF&amp;start_date=2025-05-01&amp;end_date=2025-05-31&amp;fiscal_year_id=9701941",4932)</f>
        <v>4932</v>
      </c>
      <c r="E31" s="30">
        <f>HYPERLINK("https://secure.freee.co.jp/reports/general_ledgers/show?name=%E6%94%AF%E6%89%95%E5%88%A9%E6%81%AF&amp;start_date=2025-06-01&amp;end_date=2025-06-30&amp;fiscal_year_id=9701941",4697)</f>
        <v>4697</v>
      </c>
      <c r="F31" s="30">
        <f>HYPERLINK("https://secure.freee.co.jp/reports/general_ledgers/show?name=%E6%94%AF%E6%89%95%E5%88%A9%E6%81%AF&amp;start_date=2025-07-01&amp;end_date=2025-07-31&amp;fiscal_year_id=9701941",4672)</f>
        <v>4672</v>
      </c>
      <c r="G31" s="30">
        <f>HYPERLINK("https://secure.freee.co.jp/reports/general_ledgers/show?name=%E6%94%AF%E6%89%95%E5%88%A9%E6%81%AF&amp;start_date=2025-08-01&amp;end_date=2025-08-31&amp;fiscal_year_id=9701941",4542)</f>
        <v>4542</v>
      </c>
      <c r="H31" s="30">
        <f>HYPERLINK("https://secure.freee.co.jp/reports/general_ledgers/show?name=%E6%94%AF%E6%89%95%E5%88%A9%E6%81%AF&amp;start_date=2025-09-01&amp;end_date=2025-09-30&amp;fiscal_year_id=9701941",4314)</f>
        <v>4314</v>
      </c>
      <c r="I31" s="30">
        <f>HYPERLINK("https://secure.freee.co.jp/reports/general_ledgers/show?name=%E6%94%AF%E6%89%95%E5%88%A9%E6%81%AF&amp;start_date=2025-10-01&amp;end_date=2025-10-31&amp;fiscal_year_id=9701941",4282)</f>
        <v>4282</v>
      </c>
      <c r="J31" s="30">
        <f>HYPERLINK("https://secure.freee.co.jp/reports/general_ledgers/show?name=%E6%94%AF%E6%89%95%E5%88%A9%E6%81%AF&amp;start_date=2025-11-01&amp;end_date=2025-11-30&amp;fiscal_year_id=9701941",4059)</f>
        <v>4059</v>
      </c>
      <c r="K31" s="33">
        <f>HYPERLINK("https://secure.freee.co.jp/reports/general_ledgers/show?name=%E6%94%AF%E6%89%95%E5%88%A9%E6%81%AF&amp;start_date=2025-12-01&amp;end_date=2025-12-31&amp;fiscal_year_id=9701941",1208)</f>
        <v>1208</v>
      </c>
      <c r="L31" s="33">
        <f>HYPERLINK("https://secure.freee.co.jp/reports/general_ledgers/show?name=%E6%94%AF%E6%89%95%E5%88%A9%E6%81%AF&amp;start_date=2026-01-01&amp;end_date=2026-01-31&amp;fiscal_year_id=9701941",3961)</f>
        <v>3961</v>
      </c>
      <c r="M31" s="33">
        <f>HYPERLINK("https://secure.freee.co.jp/reports/general_ledgers/show?name=%E6%94%AF%E6%89%95%E5%88%A9%E6%81%AF&amp;start_date=2026-02-01&amp;end_date=2026-02-28&amp;fiscal_year_id=9701941",6244)</f>
        <v>6244</v>
      </c>
      <c r="N31" s="38">
        <f>SUM(B31:M31)</f>
        <v>53055</v>
      </c>
      <c r="O31" s="32" t="s">
        <v>317</v>
      </c>
    </row>
    <row r="32" spans="1:15" x14ac:dyDescent="0.25">
      <c r="A32" s="10" t="s">
        <v>399</v>
      </c>
      <c r="B32" s="30">
        <v>5192</v>
      </c>
      <c r="C32" s="30">
        <v>4952</v>
      </c>
      <c r="D32" s="30">
        <v>4932</v>
      </c>
      <c r="E32" s="30">
        <v>4697</v>
      </c>
      <c r="F32" s="30">
        <v>4672</v>
      </c>
      <c r="G32" s="30">
        <v>4542</v>
      </c>
      <c r="H32" s="30">
        <v>4314</v>
      </c>
      <c r="I32" s="30">
        <v>4282</v>
      </c>
      <c r="J32" s="30">
        <v>4059</v>
      </c>
      <c r="K32" s="30">
        <v>1208</v>
      </c>
      <c r="L32" s="30">
        <v>3961</v>
      </c>
      <c r="M32" s="37">
        <v>6244</v>
      </c>
      <c r="N32" s="38">
        <f>SUM(B32:M32)</f>
        <v>53055</v>
      </c>
      <c r="O32" s="39"/>
    </row>
    <row r="33" spans="1:15" x14ac:dyDescent="0.25">
      <c r="A33" s="42" t="s">
        <v>400</v>
      </c>
      <c r="B33" s="43">
        <v>9409</v>
      </c>
      <c r="C33" s="43">
        <v>634260</v>
      </c>
      <c r="D33" s="43">
        <v>597320</v>
      </c>
      <c r="E33" s="43">
        <v>515647</v>
      </c>
      <c r="F33" s="43">
        <v>-58003</v>
      </c>
      <c r="G33" s="43">
        <v>226901</v>
      </c>
      <c r="H33" s="43">
        <v>795850</v>
      </c>
      <c r="I33" s="43">
        <v>150453</v>
      </c>
      <c r="J33" s="43">
        <v>-931</v>
      </c>
      <c r="K33" s="43">
        <v>155941</v>
      </c>
      <c r="L33" s="43">
        <v>-61994</v>
      </c>
      <c r="M33" s="43">
        <v>-1527708</v>
      </c>
      <c r="N33" s="43">
        <f>SUM(B33:M33)</f>
        <v>1437145</v>
      </c>
      <c r="O33" s="44"/>
    </row>
    <row r="34" spans="1:15" x14ac:dyDescent="0.25">
      <c r="A34" s="10" t="s">
        <v>401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1">
        <v>0</v>
      </c>
      <c r="N34" s="38">
        <f>SUM(B34:M34)</f>
        <v>0</v>
      </c>
      <c r="O34" s="39"/>
    </row>
    <row r="35" spans="1:15" x14ac:dyDescent="0.25">
      <c r="A35" s="10" t="s">
        <v>402</v>
      </c>
      <c r="B35" s="40">
        <v>0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1">
        <v>0</v>
      </c>
      <c r="N35" s="38">
        <f>SUM(B35:M35)</f>
        <v>0</v>
      </c>
      <c r="O35" s="39"/>
    </row>
    <row r="36" spans="1:15" x14ac:dyDescent="0.25">
      <c r="A36" s="42" t="s">
        <v>403</v>
      </c>
      <c r="B36" s="43">
        <v>9409</v>
      </c>
      <c r="C36" s="43">
        <v>634260</v>
      </c>
      <c r="D36" s="43">
        <v>597320</v>
      </c>
      <c r="E36" s="43">
        <v>515647</v>
      </c>
      <c r="F36" s="43">
        <v>-58003</v>
      </c>
      <c r="G36" s="43">
        <v>226901</v>
      </c>
      <c r="H36" s="43">
        <v>795850</v>
      </c>
      <c r="I36" s="43">
        <v>150453</v>
      </c>
      <c r="J36" s="43">
        <v>-931</v>
      </c>
      <c r="K36" s="43">
        <v>155941</v>
      </c>
      <c r="L36" s="43">
        <v>-61994</v>
      </c>
      <c r="M36" s="43">
        <v>-1527708</v>
      </c>
      <c r="N36" s="43">
        <f>SUM(B36:M36)</f>
        <v>1437145</v>
      </c>
      <c r="O36" s="44"/>
    </row>
    <row r="37" spans="1:15" x14ac:dyDescent="0.25">
      <c r="A37" s="10" t="s">
        <v>404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30">
        <f>HYPERLINK("https://secure.freee.co.jp/reports/general_ledgers/show?name=%E6%B3%95%E4%BA%BA%E7%A8%8E%E3%83%BB%E4%BD%8F%E6%B0%91%E7%A8%8E%E5%8F%8A%E3%81%B3%E4%BA%8B%E6%A5%AD%E7%A8%8E&amp;start_date=2025-08-01&amp;end_date=2025-08-31&amp;fiscal_year_id=9701941",1654)</f>
        <v>1654</v>
      </c>
      <c r="H37" s="45">
        <v>0</v>
      </c>
      <c r="I37" s="40">
        <v>0</v>
      </c>
      <c r="J37" s="40">
        <v>0</v>
      </c>
      <c r="K37" s="40">
        <v>0</v>
      </c>
      <c r="L37" s="40">
        <v>0</v>
      </c>
      <c r="M37" s="37">
        <f>HYPERLINK("https://secure.freee.co.jp/reports/general_ledgers/show?name=%E6%B3%95%E4%BA%BA%E7%A8%8E%E3%83%BB%E4%BD%8F%E6%B0%91%E7%A8%8E%E5%8F%8A%E3%81%B3%E4%BA%8B%E6%A5%AD%E7%A8%8E&amp;start_date=2026-02-01&amp;end_date=2026-02-28&amp;fiscal_year_id=9701941",2181)</f>
        <v>2181</v>
      </c>
      <c r="N37" s="38">
        <f>SUM(B37:M37)</f>
        <v>3835</v>
      </c>
      <c r="O37" s="32" t="s">
        <v>317</v>
      </c>
    </row>
    <row r="38" spans="1:15" x14ac:dyDescent="0.25">
      <c r="A38" s="10" t="s">
        <v>405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30">
        <v>1654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37">
        <v>2181</v>
      </c>
      <c r="N38" s="38">
        <f>SUM(B38:M38)</f>
        <v>3835</v>
      </c>
      <c r="O38" s="39"/>
    </row>
    <row r="39" spans="1:15" x14ac:dyDescent="0.25">
      <c r="A39" s="42" t="s">
        <v>406</v>
      </c>
      <c r="B39" s="43">
        <v>9409</v>
      </c>
      <c r="C39" s="43">
        <v>634260</v>
      </c>
      <c r="D39" s="43">
        <v>597320</v>
      </c>
      <c r="E39" s="43">
        <v>515647</v>
      </c>
      <c r="F39" s="43">
        <v>-58003</v>
      </c>
      <c r="G39" s="43">
        <v>225247</v>
      </c>
      <c r="H39" s="43">
        <v>795850</v>
      </c>
      <c r="I39" s="43">
        <v>150453</v>
      </c>
      <c r="J39" s="43">
        <v>-931</v>
      </c>
      <c r="K39" s="43">
        <v>155941</v>
      </c>
      <c r="L39" s="43">
        <v>-61994</v>
      </c>
      <c r="M39" s="43">
        <v>-1529889</v>
      </c>
      <c r="N39" s="43">
        <f>SUM(B39:M39)</f>
        <v>1433310</v>
      </c>
      <c r="O39" s="44"/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8" r:id="rId20"/>
    <hyperlink ref="O29" r:id="rId21"/>
    <hyperlink ref="O31" r:id="rId22"/>
    <hyperlink ref="O37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311</v>
      </c>
      <c r="B1" s="5" t="s">
        <v>407</v>
      </c>
      <c r="C1" s="5" t="s">
        <v>408</v>
      </c>
      <c r="D1" s="5" t="s">
        <v>409</v>
      </c>
    </row>
    <row r="2" spans="1:4" x14ac:dyDescent="0.25">
      <c r="A2" s="10" t="s">
        <v>321</v>
      </c>
      <c r="B2" s="10" t="s">
        <v>410</v>
      </c>
      <c r="C2" s="30">
        <v>1765500</v>
      </c>
      <c r="D2" s="10" t="s">
        <v>6</v>
      </c>
    </row>
    <row r="3" spans="1:4" x14ac:dyDescent="0.25">
      <c r="A3" s="10" t="s">
        <v>340</v>
      </c>
      <c r="B3" s="10" t="s">
        <v>411</v>
      </c>
      <c r="C3" s="30">
        <v>571400</v>
      </c>
      <c r="D3" s="10" t="s">
        <v>6</v>
      </c>
    </row>
    <row r="4" spans="1:4" x14ac:dyDescent="0.25">
      <c r="A4" s="10" t="s">
        <v>321</v>
      </c>
      <c r="B4" s="10" t="s">
        <v>412</v>
      </c>
      <c r="C4" s="30">
        <v>550000</v>
      </c>
      <c r="D4" s="14" t="s">
        <v>413</v>
      </c>
    </row>
    <row r="5" spans="1:4" x14ac:dyDescent="0.25">
      <c r="A5" s="10" t="s">
        <v>340</v>
      </c>
      <c r="B5" s="10" t="s">
        <v>414</v>
      </c>
      <c r="C5" s="30">
        <v>411375</v>
      </c>
      <c r="D5" s="14" t="s">
        <v>413</v>
      </c>
    </row>
    <row r="6" spans="1:4" x14ac:dyDescent="0.25">
      <c r="A6" s="10" t="s">
        <v>340</v>
      </c>
      <c r="B6" s="10" t="s">
        <v>415</v>
      </c>
      <c r="C6" s="30">
        <v>297000</v>
      </c>
      <c r="D6" s="10" t="s">
        <v>6</v>
      </c>
    </row>
    <row r="7" spans="1:4" x14ac:dyDescent="0.25">
      <c r="A7" s="10" t="s">
        <v>321</v>
      </c>
      <c r="B7" s="10" t="s">
        <v>416</v>
      </c>
      <c r="C7" s="30">
        <v>198000</v>
      </c>
      <c r="D7" s="14" t="s">
        <v>413</v>
      </c>
    </row>
    <row r="8" spans="1:4" x14ac:dyDescent="0.25">
      <c r="A8" s="10" t="s">
        <v>321</v>
      </c>
      <c r="B8" s="10" t="s">
        <v>417</v>
      </c>
      <c r="C8" s="30">
        <v>165000</v>
      </c>
      <c r="D8" s="10" t="s">
        <v>6</v>
      </c>
    </row>
    <row r="9" spans="1:4" x14ac:dyDescent="0.25">
      <c r="A9" s="10" t="s">
        <v>340</v>
      </c>
      <c r="B9" s="10" t="s">
        <v>418</v>
      </c>
      <c r="C9" s="30">
        <v>165000</v>
      </c>
      <c r="D9" s="10" t="s">
        <v>6</v>
      </c>
    </row>
    <row r="10" spans="1:4" x14ac:dyDescent="0.25">
      <c r="A10" s="10" t="s">
        <v>340</v>
      </c>
      <c r="B10" s="10" t="s">
        <v>419</v>
      </c>
      <c r="C10" s="30">
        <v>114414</v>
      </c>
      <c r="D10" s="10" t="s">
        <v>6</v>
      </c>
    </row>
    <row r="11" spans="1:4" x14ac:dyDescent="0.25">
      <c r="A11" s="10" t="s">
        <v>321</v>
      </c>
      <c r="B11" s="10" t="s">
        <v>420</v>
      </c>
      <c r="C11" s="30">
        <v>110000</v>
      </c>
      <c r="D11" s="14" t="s">
        <v>413</v>
      </c>
    </row>
    <row r="12" spans="1:4" x14ac:dyDescent="0.25">
      <c r="A12" s="10" t="s">
        <v>340</v>
      </c>
      <c r="B12" s="10" t="s">
        <v>421</v>
      </c>
      <c r="C12" s="30">
        <v>88000</v>
      </c>
      <c r="D12" s="10" t="s">
        <v>6</v>
      </c>
    </row>
    <row r="13" spans="1:4" x14ac:dyDescent="0.25">
      <c r="A13" s="10" t="s">
        <v>340</v>
      </c>
      <c r="B13" s="10" t="s">
        <v>422</v>
      </c>
      <c r="C13" s="30">
        <v>66000</v>
      </c>
      <c r="D13" s="10" t="s">
        <v>6</v>
      </c>
    </row>
    <row r="14" spans="1:4" x14ac:dyDescent="0.25">
      <c r="A14" s="10" t="s">
        <v>340</v>
      </c>
      <c r="B14" s="10" t="s">
        <v>423</v>
      </c>
      <c r="C14" s="30">
        <v>59400</v>
      </c>
      <c r="D14" s="10" t="s">
        <v>6</v>
      </c>
    </row>
    <row r="15" spans="1:4" x14ac:dyDescent="0.25">
      <c r="A15" s="10" t="s">
        <v>340</v>
      </c>
      <c r="B15" s="10" t="s">
        <v>424</v>
      </c>
      <c r="C15" s="30">
        <v>52000</v>
      </c>
      <c r="D15" s="10" t="s">
        <v>6</v>
      </c>
    </row>
    <row r="16" spans="1:4" x14ac:dyDescent="0.25">
      <c r="A16" s="10" t="s">
        <v>340</v>
      </c>
      <c r="B16" s="10" t="s">
        <v>425</v>
      </c>
      <c r="C16" s="30">
        <v>30000</v>
      </c>
      <c r="D16" s="10" t="s">
        <v>6</v>
      </c>
    </row>
    <row r="17" spans="1:4" x14ac:dyDescent="0.25">
      <c r="A17" s="10" t="s">
        <v>340</v>
      </c>
      <c r="B17" s="10" t="s">
        <v>426</v>
      </c>
      <c r="C17" s="30">
        <v>30000</v>
      </c>
      <c r="D17" s="10" t="s">
        <v>6</v>
      </c>
    </row>
    <row r="18" spans="1:4" x14ac:dyDescent="0.25">
      <c r="A18" s="10" t="s">
        <v>340</v>
      </c>
      <c r="B18" s="10" t="s">
        <v>427</v>
      </c>
      <c r="C18" s="30">
        <v>20000</v>
      </c>
      <c r="D18" s="10" t="s">
        <v>6</v>
      </c>
    </row>
    <row r="19" spans="1:4" x14ac:dyDescent="0.25">
      <c r="A19" s="10" t="s">
        <v>340</v>
      </c>
      <c r="B19" s="10" t="s">
        <v>428</v>
      </c>
      <c r="C19" s="30">
        <v>0</v>
      </c>
      <c r="D19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2026-04-07T06:55:24Z</dcterms:created>
  <dcterms:modified xsi:type="dcterms:W3CDTF">2026-04-07T06:55:24Z</dcterms:modified>
</cp:coreProperties>
</file>