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<sst xmlns="http://schemas.openxmlformats.org/spreadsheetml/2006/main" count="2176" uniqueCount="577">
  <si>
    <t>あしたの会計事務所税理士法人 帳簿チェックレポート</t>
  </si>
  <si>
    <t>対象月</t>
  </si>
  <si>
    <t>2026年3月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</si>
  <si>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</si>
  <si>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</si>
  <si>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</si>
  <si>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</si>
  <si>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</si>
  <si>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</si>
  <si>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</si>
  <si>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</si>
  <si>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</si>
  <si>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</si>
  <si>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</si>
  <si>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</si>
  <si>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</si>
  <si>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</si>
  <si>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</si>
  <si>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</si>
  <si>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</si>
  <si>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</si>
  <si>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</si>
  <si>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</si>
  <si>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</si>
  <si>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</si>
  <si>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</si>
  <si>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</si>
  <si>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</si>
  <si>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</si>
  <si>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</si>
  <si>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</si>
  <si>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</si>
  <si>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</si>
  <si>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</si>
  <si>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</si>
  <si>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</si>
  <si>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</si>
  <si>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</si>
  <si>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</si>
  <si>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</si>
  <si>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</si>
  <si>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</si>
  <si>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</si>
  <si>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</si>
  <si>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</si>
  <si>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</si>
  <si>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</si>
  <si>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</si>
  <si>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</si>
  <si>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</si>
  <si>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</si>
  <si>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</si>
  <si>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</si>
  <si>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</si>
  <si>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</si>
  <si>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</si>
  <si>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</si>
  <si>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</si>
  <si>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</si>
  <si>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</si>
  <si>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</si>
  <si>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</si>
  <si>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</si>
  <si>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</si>
  <si>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</si>
  <si>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</si>
  <si>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</si>
  <si>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</si>
  <si>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</si>
  <si>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</si>
  <si>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</si>
  <si>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</si>
  <si>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</si>
  <si>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</si>
  <si>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</si>
  <si>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</si>
  <si>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</si>
  <si>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</si>
  <si>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</si>
  <si>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</si>
  <si>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</si>
  <si>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</si>
  <si>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</si>
  <si>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</si>
  <si>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</si>
  <si>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</si>
  <si>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</si>
  <si>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</si>
  <si>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</si>
  <si>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</si>
  <si>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</si>
  <si>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</si>
  <si>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</si>
  <si>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</si>
  <si>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</si>
  <si>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</si>
  <si>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</si>
  <si>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</si>
  <si>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</si>
  <si>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</si>
  <si>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</si>
  <si>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</si>
  <si>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</si>
  <si>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</si>
  <si>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</si>
  <si>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</si>
  <si>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</si>
  <si>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</si>
  <si>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</si>
  <si>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</si>
  <si>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</si>
  <si>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</si>
  <si>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</si>
  <si>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</si>
  <si>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</si>
  <si>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</si>
  <si>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</si>
  <si>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</si>
  <si>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</si>
  <si>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</si>
  <si>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</si>
  <si>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</si>
  <si>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</si>
  <si>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</si>
  <si>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</si>
  <si>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</si>
  <si>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</si>
  <si>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</si>
  <si>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</si>
  <si>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</si>
  <si>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</si>
  <si>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</si>
  <si>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</si>
  <si>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</si>
  <si>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</si>
  <si>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</si>
  <si>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</si>
  <si>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</si>
  <si>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</si>
  <si>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</si>
  <si>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</si>
  <si>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</si>
  <si>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</si>
  <si>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</si>
  <si>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</si>
  <si>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</si>
  <si>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</si>
  <si>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</si>
  <si>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</si>
  <si>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</si>
  <si>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</si>
  <si>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</si>
  <si>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</si>
  <si>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</si>
  <si>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</si>
  <si>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</si>
  <si>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</si>
  <si>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</si>
  <si>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</si>
  <si>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</si>
  <si>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</si>
  <si>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</si>
  <si>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</si>
  <si>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</si>
  <si>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</si>
  <si>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</si>
  <si>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</si>
  <si>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</si>
  <si>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</si>
  <si>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</si>
  <si>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</si>
  <si>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</si>
  <si>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</si>
  <si>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</si>
  <si>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</si>
  <si>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</si>
  <si>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</si>
  <si>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</si>
  <si>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</si>
  <si>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</si>
  <si>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</si>
  <si>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現金・預金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</si>
  <si>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</si>
  <si>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</si>
  <si>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</si>
  <si>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営業外・税金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</si>
  <si>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</si>
  <si>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</si>
  <si>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</si>
  <si>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役員・関連取引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</si>
  <si>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</si>
  <si>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</si>
  <si>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</si>
  <si>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人件費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</si>
  <si>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</si>
  <si>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</si>
  <si>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</si>
  <si>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残高異常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</si>
  <si>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</si>
  <si>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</si>
  <si>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</si>
  <si>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「消費税引当金」にマイナス残高 -1,897,000円があります。</t>
  </si>
  <si>
    <t>-1,897,000円</t>
  </si>
  <si>
    <t xml:space="preserve">　　2026-03-02  第1期中間納付</t>
  </si>
  <si>
    <t>1,897,000円</t>
  </si>
  <si>
    <t>（不明）</t>
  </si>
  <si>
    <t>明細を開く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</si>
  <si>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</si>
  <si>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</si>
  <si>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</si>
  <si>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</si>
  <si>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</si>
  <si>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</si>
  <si>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</si>
  <si>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源泉所得税</t>
  </si>
  <si>
    <t>「税理士協同組合」への支払報酬（55,000円 × 1件）に預り金の計上がありません。源泉所得税（10.21%）の徴収漏れの可能性があります。</t>
  </si>
  <si>
    <t>預り金なし</t>
  </si>
  <si>
    <t>源泉所得税 約5,615円を預り金計上</t>
  </si>
  <si>
    <t xml:space="preserve">　　2026-03-09  </t>
  </si>
  <si>
    <t>55,000円</t>
  </si>
  <si>
    <t>支払手数料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</si>
  <si>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</si>
  <si>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</si>
  <si>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</si>
  <si>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</si>
  <si>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</si>
  <si>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</si>
  <si>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</si>
  <si>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借入金・リース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</si>
  <si>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</si>
  <si>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</si>
  <si>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</si>
  <si>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</si>
  <si>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</si>
  <si>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</si>
  <si>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</si>
  <si>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</si>
  <si>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</si>
  <si>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</si>
  <si>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</si>
  <si>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</si>
  <si>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</si>
  <si>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</si>
  <si>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地代家賃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</si>
  <si>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</si>
  <si>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</si>
  <si>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</si>
  <si>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</si>
  <si>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</si>
  <si>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外注費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</si>
  <si>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</si>
  <si>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</si>
  <si>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</si>
  <si>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売上・売掛金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</si>
  <si>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</si>
  <si>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</si>
  <si>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</si>
  <si>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</si>
  <si>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</si>
  <si>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</si>
  <si>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</si>
  <si>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</si>
  <si>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</si>
  <si>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</si>
  <si>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仕入・買掛金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</si>
  <si>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</si>
  <si>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</si>
  <si>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</si>
  <si>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</si>
  <si>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</si>
  <si>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「【税】江東信組（法人）」の残高 1,031,441円が前月から変動ありません（滞留の可能性）。</t>
  </si>
  <si>
    <t>1,031,441円（前月同額）</t>
  </si>
  <si>
    <t>回収・支払状況を確認し、必要に応じて貸倒処理や振替を検討してください</t>
  </si>
  <si>
    <t xml:space="preserve">　　取引先「未選択」で滞留</t>
  </si>
  <si>
    <t>33,259,179円</t>
  </si>
  <si>
    <t xml:space="preserve">　　取引先「年金事務所」で滞留</t>
  </si>
  <si>
    <t>-25,074,744円</t>
  </si>
  <si>
    <t xml:space="preserve">　　取引先「独立行政法人 中小企業基盤整備機構」で滞留</t>
  </si>
  <si>
    <t>-3,988,120円</t>
  </si>
  <si>
    <t xml:space="preserve">　　取引先「江東信用組合」で滞留</t>
  </si>
  <si>
    <t>3,713,873円</t>
  </si>
  <si>
    <t xml:space="preserve">　　取引先「日本政策金融公庫」で滞留</t>
  </si>
  <si>
    <t>-3,467,575円</t>
  </si>
  <si>
    <t>「【税】城北信金（法人）」の残高 310,384円が前月から変動ありません（滞留の可能性）。</t>
  </si>
  <si>
    <t>310,384円（前月同額）</t>
  </si>
  <si>
    <t>464,362円</t>
  </si>
  <si>
    <t xml:space="preserve">　　取引先「東京信用保証協会」で滞留</t>
  </si>
  <si>
    <t>-142,450円</t>
  </si>
  <si>
    <t xml:space="preserve">　　取引先「城北信金」で滞留</t>
  </si>
  <si>
    <t>-62,523円</t>
  </si>
  <si>
    <t xml:space="preserve">　　取引先「台東区」で滞留</t>
  </si>
  <si>
    <t>50,995円</t>
  </si>
  <si>
    <t>「【会】ＰａｙＰａｙ銀行」の残高 -350,413円が前月から変動ありません（滞留の可能性）。</t>
  </si>
  <si>
    <t>-350,413円（前月同額）</t>
  </si>
  <si>
    <t>-141,358,554円</t>
  </si>
  <si>
    <t xml:space="preserve">　　取引先「白根裕也公認会計士事務所」で滞留</t>
  </si>
  <si>
    <t>109,339,053円</t>
  </si>
  <si>
    <t xml:space="preserve">　　取引先「税理士協同組合」で滞留</t>
  </si>
  <si>
    <t>66,389,838円</t>
  </si>
  <si>
    <t xml:space="preserve">　　取引先「役員・従業員」で滞留</t>
  </si>
  <si>
    <t>-23,104,696円</t>
  </si>
  <si>
    <t>9,999,780円</t>
  </si>
  <si>
    <t>「前払費用」の残高 812,709円が前月から変動ありません（滞留の可能性）。</t>
  </si>
  <si>
    <t>812,709円（前月同額）</t>
  </si>
  <si>
    <t xml:space="preserve">　　取引先「フリー㈱」で滞留</t>
  </si>
  <si>
    <t>444,386円</t>
  </si>
  <si>
    <t xml:space="preserve">　　取引先「エン・ジャパン㈱」で滞留</t>
  </si>
  <si>
    <t>330,000円</t>
  </si>
  <si>
    <t xml:space="preserve">　　取引先「㈱アックスコンサルティング」で滞留</t>
  </si>
  <si>
    <t>27,500円</t>
  </si>
  <si>
    <t xml:space="preserve">　　取引先「JR東日本（東日本旅客鉄道㈱）」で滞留</t>
  </si>
  <si>
    <t>10,823円</t>
  </si>
  <si>
    <t>「工具器具備品」の残高 510,490円が前月から変動ありません（滞留の可能性）。</t>
  </si>
  <si>
    <t>510,490円（前月同額）</t>
  </si>
  <si>
    <t>-1,249,920円</t>
  </si>
  <si>
    <t xml:space="preserve">　　取引先「㈱日本HP」で滞留</t>
  </si>
  <si>
    <t>1,058,270円</t>
  </si>
  <si>
    <t xml:space="preserve">　　取引先「アマゾンジャパン(同)」で滞留</t>
  </si>
  <si>
    <t>436,942円</t>
  </si>
  <si>
    <t xml:space="preserve">　　取引先「ヨドバシカメラ」で滞留</t>
  </si>
  <si>
    <t>148,280円</t>
  </si>
  <si>
    <t xml:space="preserve">　　取引先「ナビット」で滞留</t>
  </si>
  <si>
    <t>116,918円</t>
  </si>
  <si>
    <t>「一括償却資産」の残高 327,800円が前月から変動ありません（滞留の可能性）。</t>
  </si>
  <si>
    <t>327,800円（前月同額）</t>
  </si>
  <si>
    <t>168,000円</t>
  </si>
  <si>
    <t>159,800円</t>
  </si>
  <si>
    <t>「出資金」の残高 20,000円が前月から変動ありません（滞留の可能性）。</t>
  </si>
  <si>
    <t>20,000円（前月同額）</t>
  </si>
  <si>
    <t>10,000円</t>
  </si>
  <si>
    <t>「保険積立金」の残高 9,676,750円が前月から変動ありません（滞留の可能性）。</t>
  </si>
  <si>
    <t>9,676,750円（前月同額）</t>
  </si>
  <si>
    <t>6,400,000円</t>
  </si>
  <si>
    <t xml:space="preserve">　　取引先「アクサ生命」で滞留</t>
  </si>
  <si>
    <t>3,276,750円</t>
  </si>
  <si>
    <t>「未払金」の残高 2,873,403円が前月から変動ありません（滞留の可能性）。</t>
  </si>
  <si>
    <t>2,873,403円（前月同額）</t>
  </si>
  <si>
    <t>2,471,518円</t>
  </si>
  <si>
    <t xml:space="preserve">　　取引先「あしたの会計事務所」で滞留</t>
  </si>
  <si>
    <t>401,885円</t>
  </si>
  <si>
    <t>「前受金」の残高 113,300円が前月から変動ありません（滞留の可能性）。</t>
  </si>
  <si>
    <t>113,300円（前月同額）</t>
  </si>
  <si>
    <t xml:space="preserve">　　取引先「㈱モトジン・ドット・コム」で滞留</t>
  </si>
  <si>
    <t>113,300円</t>
  </si>
  <si>
    <t>「【会】アメリカン・エキスプレス」の残高 11,880円が前月から変動ありません（滞留の可能性）。</t>
  </si>
  <si>
    <t>11,880円（前月同額）</t>
  </si>
  <si>
    <t>-413,633円</t>
  </si>
  <si>
    <t xml:space="preserve">　　取引先「NTT東日本」で滞留</t>
  </si>
  <si>
    <t>172,260円</t>
  </si>
  <si>
    <t>109,560円</t>
  </si>
  <si>
    <t xml:space="preserve">　　取引先「Whereby AS」で滞留</t>
  </si>
  <si>
    <t>67,793円</t>
  </si>
  <si>
    <t xml:space="preserve">　　取引先「efax (j2 Global Japan㈲)」で滞留</t>
  </si>
  <si>
    <t>39,600円</t>
  </si>
  <si>
    <t>「未払金（長瀬祐基）」の残高 129,052円が前月から変動ありません（滞留の可能性）。</t>
  </si>
  <si>
    <t>129,052円（前月同額）</t>
  </si>
  <si>
    <t>-1,905,991円</t>
  </si>
  <si>
    <t xml:space="preserve">　　取引先「公認会計士協会」で滞留</t>
  </si>
  <si>
    <t>768,000円</t>
  </si>
  <si>
    <t xml:space="preserve">　　取引先「中小企業診断士協会」で滞留</t>
  </si>
  <si>
    <t>269,637円</t>
  </si>
  <si>
    <t>165,500円</t>
  </si>
  <si>
    <t xml:space="preserve">　　取引先「日本郵便㈱」で滞留</t>
  </si>
  <si>
    <t>104,455円</t>
  </si>
  <si>
    <t>「役員借入金」の残高 1,331,810円が前月から変動ありません（滞留の可能性）。</t>
  </si>
  <si>
    <t>1,331,810円（前月同額）</t>
  </si>
  <si>
    <t xml:space="preserve">　　取引先「長瀬 祐基」で滞留</t>
  </si>
  <si>
    <t>1,071,389円</t>
  </si>
  <si>
    <t>260,421円</t>
  </si>
  <si>
    <t>「長期借入金」の残高 13,255,000円が前月から変動ありません（滞留の可能性）。</t>
  </si>
  <si>
    <t>13,255,000円（前月同額）</t>
  </si>
  <si>
    <t>4,875,000円</t>
  </si>
  <si>
    <t>4,820,000円</t>
  </si>
  <si>
    <t>4,040,000円</t>
  </si>
  <si>
    <t>-480,000円</t>
  </si>
  <si>
    <t>仮勘定「前受金」に 113,300円の残高があります。</t>
  </si>
  <si>
    <t>内容を確認し、適切な科目に振り替えてください</t>
  </si>
  <si>
    <t xml:space="preserve">　　[品目] 未選択</t>
  </si>
  <si>
    <t>「資金諸口」が前月比 71% 変動（7,000,000円 → 12,000,000円）。 主な取引: 2026-03-02 5,000,000円 （不明）。</t>
  </si>
  <si>
    <t>12,000,000円（前月: 7,000,000円、変動率: 71%）</t>
  </si>
  <si>
    <t>変動原因を確認してください</t>
  </si>
  <si>
    <t xml:space="preserve">　　2026-03-02  </t>
  </si>
  <si>
    <t>5,000,000円</t>
  </si>
  <si>
    <t>「未払費用」が前月比 58% 変動（6,040,473円 → 2,559,468円）。</t>
  </si>
  <si>
    <t>2,559,468円（前月: 6,040,473円、変動率: 58%）</t>
  </si>
  <si>
    <t>期間配分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</si>
  <si>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</si>
  <si>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</si>
  <si>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</si>
  <si>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</si>
  <si>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</si>
  <si>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</si>
  <si>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</si>
  <si>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</si>
  <si>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</si>
  <si>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</si>
  <si>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消費税区分</t>
  </si>
  <si>
    <t>「支払手数料」に2種類の税区分が混在しています（課対仕入10%: 34件、課対仕入(控80)10%: 2件）。</t>
  </si>
  <si>
    <t>2種類混在</t>
  </si>
  <si>
    <t>税区分ごとの内訳を確認してください</t>
  </si>
  <si>
    <t xml:space="preserve">　　課対仕入10%（34件・計285,543円）</t>
  </si>
  <si>
    <t>285,543円</t>
  </si>
  <si>
    <t xml:space="preserve">　　課対仕入(控80)10%（2件・計5,738円）</t>
  </si>
  <si>
    <t>5,738円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</si>
  <si>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</si>
  <si>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</si>
  <si>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</si>
  <si>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</si>
  <si>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</si>
  <si>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</si>
  <si>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</si>
  <si>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</si>
  <si>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</si>
  <si>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</si>
  <si>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</si>
  <si>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</si>
  <si>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</si>
  <si>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</si>
  <si>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</si>
  <si>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</si>
  <si>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</si>
  <si>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</si>
  <si>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</si>
  <si>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「資金諸口」に 12,000,000円の残高があります（本来ゼロであるべき科目）。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</si>
  <si>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</si>
  <si>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</si>
  <si>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</si>
  <si>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</si>
  <si>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</si>
  <si>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</si>
  <si>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</si>
  <si>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</si>
  <si>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</si>
  <si>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</si>
  <si>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</si>
  <si>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</si>
  <si>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</si>
  <si>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</si>
  <si>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</si>
  <si>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</si>
  <si>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</si>
  <si>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</si>
  <si>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</si>
  <si>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</si>
  <si>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</si>
  <si>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</si>
  <si>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</si>
  <si>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</si>
  <si>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</si>
  <si>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元帳を開く</t>
  </si>
  <si>
    <t>【税】江東信組（法人）</t>
  </si>
  <si>
    <t>0.0%</t>
  </si>
  <si>
    <t>【税】城北信金（法人）</t>
  </si>
  <si>
    <t>【会】ＰａｙＰａｙ銀行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</si>
  <si>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</si>
  <si>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</si>
  <si>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</si>
  <si>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</si>
  <si>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</si>
  <si>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</si>
  <si>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</si>
  <si>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</si>
  <si>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</si>
  <si>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</si>
  <si>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</si>
  <si>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</si>
  <si>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</si>
  <si>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</si>
  <si>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</si>
  <si>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</si>
  <si>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</si>
  <si>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</si>
  <si>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</si>
  <si>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</si>
  <si>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</si>
  <si>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</si>
  <si>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</si>
  <si>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</si>
  <si>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</si>
  <si>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</si>
  <si>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</si>
  <si>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</si>
  <si>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</si>
  <si>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</si>
  <si>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</si>
  <si>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</si>
  <si>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</si>
  <si>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</si>
  <si>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</si>
  <si>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</si>
  <si>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</si>
  <si>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</si>
  <si>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</si>
  <si>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</si>
  <si>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</si>
  <si>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</si>
  <si>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</si>
  <si>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</si>
  <si>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</si>
  <si>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</si>
  <si>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</si>
  <si>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</si>
  <si>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</si>
  <si>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</si>
  <si>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</si>
  <si>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</si>
  <si>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</si>
  <si>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</si>
  <si>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</si>
  <si>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</si>
  <si>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</si>
  <si>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</si>
  <si>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</si>
  <si>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売上原価 計</t>
  </si>
  <si>
    <t>売上総利益</t>
  </si>
  <si>
    <t xml:space="preserve">  役員報酬</t>
  </si>
  <si>
    <t xml:space="preserve">  給料手当</t>
  </si>
  <si>
    <t xml:space="preserve">  賞与</t>
  </si>
  <si>
    <t xml:space="preserve">  退職給付費用</t>
  </si>
  <si>
    <t xml:space="preserve">  法定福利費</t>
  </si>
  <si>
    <t xml:space="preserve">  福利厚生費</t>
  </si>
  <si>
    <t xml:space="preserve">  採用教育費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</si>
  <si>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</si>
  <si>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</si>
  <si>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</si>
  <si>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</si>
  <si>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</si>
  <si>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</si>
  <si>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</si>
  <si>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水道光熱費</t>
  </si>
  <si>
    <t xml:space="preserve">  新聞図書費</t>
  </si>
  <si>
    <t xml:space="preserve">  諸会費</t>
  </si>
  <si>
    <t xml:space="preserve">  支払手数料</t>
  </si>
  <si>
    <t xml:space="preserve">  地代家賃</t>
  </si>
  <si>
    <t xml:space="preserve">  保険料</t>
  </si>
  <si>
    <t xml:space="preserve">  租税公課</t>
  </si>
  <si>
    <t xml:space="preserve">  減価償却費</t>
  </si>
  <si>
    <t xml:space="preserve">  長期前払費用償却</t>
  </si>
  <si>
    <t xml:space="preserve">  雑費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</si>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</sst>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6-03-01&amp;end_date=2026-03-31" TargetMode="External"/><Relationship Id="rId3" Type="http://schemas.openxmlformats.org/officeDocument/2006/relationships/hyperlink" Target="https://secure.freee.co.jp/reports/general_ledgers/show?adjustment=all&amp;name=%E6%9C%AA%E6%89%95%E9%87%91%EF%BC%88%E7%99%BD%E6%A0%B9%E8%A3%95%E4%B9%9F%EF%BC%89&amp;start_date=2026-03-01&amp;end_date=2026-03-31" TargetMode="External"/><Relationship Id="rId4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5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6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7" Type="http://schemas.openxmlformats.org/officeDocument/2006/relationships/hyperlink" Target="https://secure.freee.co.jp/reports/journals?deal_id=3441382102" TargetMode="External"/><Relationship Id="rId8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11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12" Type="http://schemas.openxmlformats.org/officeDocument/2006/relationships/hyperlink" Target="https://secure.freee.co.jp/reports/general_ledgers/show?adjustment=all&amp;name=%E7%A8%8E%E7%90%86%E5%A3%AB%E5%8D%94%E5%90%8C%E7%B5%84%E5%90%88&amp;start_date=2026-03-01&amp;end_date=2026-03-31" TargetMode="External"/><Relationship Id="rId13" Type="http://schemas.openxmlformats.org/officeDocument/2006/relationships/hyperlink" Target="https://secure.freee.co.jp/reports/journals?deal_id=3399316277" TargetMode="External"/><Relationship Id="rId14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5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6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7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8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9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20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21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22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23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24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25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26" Type="http://schemas.openxmlformats.org/officeDocument/2006/relationships/hyperlink" Target="https://secure.freee.co.jp/reports/general_ledgers/show?adjustment=all&amp;name=%E6%9C%AA%E6%89%95%E8%B2%BB%E7%94%A8&amp;start_date=2026-03-01&amp;end_date=2026-03-31" TargetMode="External"/><Relationship Id="rId27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28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29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383298" TargetMode="External"/><Relationship Id="rId30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4116745" TargetMode="External"/><Relationship Id="rId31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554360" TargetMode="External"/><Relationship Id="rId32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8906388" TargetMode="External"/><Relationship Id="rId3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34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35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826" TargetMode="External"/><Relationship Id="rId36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575" TargetMode="External"/><Relationship Id="rId37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4436027" TargetMode="External"/><Relationship Id="rId38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39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40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2475309" TargetMode="External"/><Relationship Id="rId41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554601" TargetMode="External"/><Relationship Id="rId42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5030693" TargetMode="External"/><Relationship Id="rId43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8906388" TargetMode="External"/><Relationship Id="rId44" Type="http://schemas.openxmlformats.org/officeDocument/2006/relationships/hyperlink" Target="https://secure.freee.co.jp/reports/journals?start_date=2024-10-01&amp;end_date=2026-03-31&amp;name=%E5%89%8D%E6%89%95%E8%B2%BB%E7%94%A8" TargetMode="External"/><Relationship Id="rId45" Type="http://schemas.openxmlformats.org/officeDocument/2006/relationships/hyperlink" Target="https://secure.freee.co.jp/reports/journals?start_date=2024-10-01&amp;end_date=2026-03-31&amp;name=%E5%89%8D%E6%89%95%E8%B2%BB%E7%94%A8&amp;partner_id=4436058" TargetMode="External"/><Relationship Id="rId46" Type="http://schemas.openxmlformats.org/officeDocument/2006/relationships/hyperlink" Target="https://secure.freee.co.jp/reports/journals?start_date=2024-10-01&amp;end_date=2026-03-31&amp;name=%E5%89%8D%E6%89%95%E8%B2%BB%E7%94%A8&amp;partner_id=105816142" TargetMode="External"/><Relationship Id="rId47" Type="http://schemas.openxmlformats.org/officeDocument/2006/relationships/hyperlink" Target="https://secure.freee.co.jp/reports/journals?start_date=2024-10-01&amp;end_date=2026-03-31&amp;name=%E5%89%8D%E6%89%95%E8%B2%BB%E7%94%A8&amp;partner_id=4388246" TargetMode="External"/><Relationship Id="rId48" Type="http://schemas.openxmlformats.org/officeDocument/2006/relationships/hyperlink" Target="https://secure.freee.co.jp/reports/journals?start_date=2024-10-01&amp;end_date=2026-03-31&amp;name=%E5%89%8D%E6%89%95%E8%B2%BB%E7%94%A8&amp;partner_id=4831438" TargetMode="External"/><Relationship Id="rId49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50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51" Type="http://schemas.openxmlformats.org/officeDocument/2006/relationships/hyperlink" Target="https://secure.freee.co.jp/reports/journals?start_date=2021-10-01&amp;end_date=2026-03-31&amp;name=%E5%B7%A5%E5%85%B7%E5%99%A8%E5%85%B7%E5%82%99%E5%93%81&amp;partner_id=14111819" TargetMode="External"/><Relationship Id="rId52" Type="http://schemas.openxmlformats.org/officeDocument/2006/relationships/hyperlink" Target="https://secure.freee.co.jp/reports/journals?start_date=2021-10-01&amp;end_date=2026-03-31&amp;name=%E5%B7%A5%E5%85%B7%E5%99%A8%E5%85%B7%E5%82%99%E5%93%81&amp;partner_id=3554901" TargetMode="External"/><Relationship Id="rId53" Type="http://schemas.openxmlformats.org/officeDocument/2006/relationships/hyperlink" Target="https://secure.freee.co.jp/reports/journals?start_date=2021-10-01&amp;end_date=2026-03-31&amp;name=%E5%B7%A5%E5%85%B7%E5%99%A8%E5%85%B7%E5%82%99%E5%93%81&amp;partner_id=3554733" TargetMode="External"/><Relationship Id="rId54" Type="http://schemas.openxmlformats.org/officeDocument/2006/relationships/hyperlink" Target="https://secure.freee.co.jp/reports/journals?start_date=2021-10-01&amp;end_date=2026-03-31&amp;name=%E5%B7%A5%E5%85%B7%E5%99%A8%E5%85%B7%E5%82%99%E5%93%81&amp;partner_id=7287393" TargetMode="External"/><Relationship Id="rId55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56" Type="http://schemas.openxmlformats.org/officeDocument/2006/relationships/hyperlink" Target="https://secure.freee.co.jp/reports/journals?start_date=2024-10-01&amp;end_date=2026-03-31&amp;name=%E4%B8%80%E6%8B%AC%E5%84%9F%E5%8D%B4%E8%B3%87%E7%94%A3&amp;partner_id=3554901" TargetMode="External"/><Relationship Id="rId57" Type="http://schemas.openxmlformats.org/officeDocument/2006/relationships/hyperlink" Target="https://secure.freee.co.jp/reports/journals?start_date=2024-10-01&amp;end_date=2026-03-31&amp;name=%E4%B8%80%E6%8B%AC%E5%84%9F%E5%8D%B4%E8%B3%87%E7%94%A3&amp;partner_id=14111819" TargetMode="External"/><Relationship Id="rId58" Type="http://schemas.openxmlformats.org/officeDocument/2006/relationships/hyperlink" Target="https://secure.freee.co.jp/reports/journals?start_date=2022-10-01&amp;end_date=2026-03-31&amp;name=%E5%87%BA%E8%B3%87%E9%87%91" TargetMode="External"/><Relationship Id="rId59" Type="http://schemas.openxmlformats.org/officeDocument/2006/relationships/hyperlink" Target="https://secure.freee.co.jp/reports/journals?start_date=2022-10-01&amp;end_date=2026-03-31&amp;name=%E5%87%BA%E8%B3%87%E9%87%91&amp;partner_id=87636575" TargetMode="External"/><Relationship Id="rId60" Type="http://schemas.openxmlformats.org/officeDocument/2006/relationships/hyperlink" Target="https://secure.freee.co.jp/reports/journals?start_date=2022-10-01&amp;end_date=2026-03-31&amp;name=%E5%87%BA%E8%B3%87%E9%87%91&amp;partner_id=3554360" TargetMode="External"/><Relationship Id="rId61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62" Type="http://schemas.openxmlformats.org/officeDocument/2006/relationships/hyperlink" Target="https://secure.freee.co.jp/reports/journals?start_date=2024-10-01&amp;end_date=2026-03-31&amp;name=%E4%BF%9D%E9%99%BA%E7%A9%8D%E7%AB%8B%E9%87%91&amp;partner_id=4116745" TargetMode="External"/><Relationship Id="rId63" Type="http://schemas.openxmlformats.org/officeDocument/2006/relationships/hyperlink" Target="https://secure.freee.co.jp/reports/journals?start_date=2024-10-01&amp;end_date=2026-03-31&amp;name=%E4%BF%9D%E9%99%BA%E7%A9%8D%E7%AB%8B%E9%87%91&amp;partner_id=45810962" TargetMode="External"/><Relationship Id="rId64" Type="http://schemas.openxmlformats.org/officeDocument/2006/relationships/hyperlink" Target="https://secure.freee.co.jp/reports/journals?start_date=2024-10-01&amp;end_date=2026-03-31&amp;name=%E6%9C%AA%E6%89%95%E9%87%91" TargetMode="External"/><Relationship Id="rId65" Type="http://schemas.openxmlformats.org/officeDocument/2006/relationships/hyperlink" Target="https://secure.freee.co.jp/reports/journals?start_date=2024-10-01&amp;end_date=2026-03-31&amp;name=%E6%9C%AA%E6%89%95%E9%87%91" TargetMode="External"/><Relationship Id="rId66" Type="http://schemas.openxmlformats.org/officeDocument/2006/relationships/hyperlink" Target="https://secure.freee.co.jp/reports/journals?start_date=2024-10-01&amp;end_date=2026-03-31&amp;name=%E6%9C%AA%E6%89%95%E9%87%91&amp;partner_id=17992011" TargetMode="External"/><Relationship Id="rId67" Type="http://schemas.openxmlformats.org/officeDocument/2006/relationships/hyperlink" Target="https://secure.freee.co.jp/reports/journals?start_date=2023-10-01&amp;end_date=2026-03-31&amp;name=%E5%89%8D%E5%8F%97%E9%87%91" TargetMode="External"/><Relationship Id="rId68" Type="http://schemas.openxmlformats.org/officeDocument/2006/relationships/hyperlink" Target="https://secure.freee.co.jp/reports/journals?start_date=2023-10-01&amp;end_date=2026-03-31&amp;name=%E5%89%8D%E5%8F%97%E9%87%91&amp;partner_id=42939021" TargetMode="External"/><Relationship Id="rId69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70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7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4533977" TargetMode="External"/><Relationship Id="rId72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4436058" TargetMode="External"/><Relationship Id="rId73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67809478" TargetMode="External"/><Relationship Id="rId74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8765821" TargetMode="External"/><Relationship Id="rId75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76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77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436009" TargetMode="External"/><Relationship Id="rId78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5005671" TargetMode="External"/><Relationship Id="rId79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1438" TargetMode="External"/><Relationship Id="rId80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0713" TargetMode="External"/><Relationship Id="rId81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82" Type="http://schemas.openxmlformats.org/officeDocument/2006/relationships/hyperlink" Target="https://secure.freee.co.jp/reports/journals?start_date=2024-10-01&amp;end_date=2026-03-31&amp;name=%E5%BD%B9%E5%93%A1%E5%80%9F%E5%85%A5%E9%87%91&amp;partner_id=3351933" TargetMode="External"/><Relationship Id="rId83" Type="http://schemas.openxmlformats.org/officeDocument/2006/relationships/hyperlink" Target="https://secure.freee.co.jp/reports/journals?start_date=2024-10-01&amp;end_date=2026-03-31&amp;name=%E5%BD%B9%E5%93%A1%E5%80%9F%E5%85%A5%E9%87%91&amp;partner_id=2475309" TargetMode="External"/><Relationship Id="rId84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85" Type="http://schemas.openxmlformats.org/officeDocument/2006/relationships/hyperlink" Target="https://secure.freee.co.jp/reports/journals?start_date=2024-10-01&amp;end_date=2026-03-31&amp;name=%E9%95%B7%E6%9C%9F%E5%80%9F%E5%85%A5%E9%87%91&amp;partner_id=38906388" TargetMode="External"/><Relationship Id="rId86" Type="http://schemas.openxmlformats.org/officeDocument/2006/relationships/hyperlink" Target="https://secure.freee.co.jp/reports/journals?start_date=2024-10-01&amp;end_date=2026-03-31&amp;name=%E9%95%B7%E6%9C%9F%E5%80%9F%E5%85%A5%E9%87%91&amp;partner_id=87636575" TargetMode="External"/><Relationship Id="rId87" Type="http://schemas.openxmlformats.org/officeDocument/2006/relationships/hyperlink" Target="https://secure.freee.co.jp/reports/journals?start_date=2024-10-01&amp;end_date=2026-03-31&amp;name=%E9%95%B7%E6%9C%9F%E5%80%9F%E5%85%A5%E9%87%91&amp;partner_id=3554360" TargetMode="External"/><Relationship Id="rId88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89" Type="http://schemas.openxmlformats.org/officeDocument/2006/relationships/hyperlink" Target="https://secure.freee.co.jp/reports/journals?start_date=2023-10-01&amp;end_date=2026-03-31&amp;name=%E5%89%8D%E5%8F%97%E9%87%91" TargetMode="External"/><Relationship Id="rId90" Type="http://schemas.openxmlformats.org/officeDocument/2006/relationships/hyperlink" Target="https://secure.freee.co.jp/reports/journals?start_date=2023-10-01&amp;end_date=2026-03-31&amp;name=%E5%89%8D%E5%8F%97%E9%87%91" TargetMode="External"/><Relationship Id="rId91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92" Type="http://schemas.openxmlformats.org/officeDocument/2006/relationships/hyperlink" Target="https://secure.freee.co.jp/reports/journals?deal_id=3441368296" TargetMode="External"/><Relationship Id="rId93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94" Type="http://schemas.openxmlformats.org/officeDocument/2006/relationships/hyperlink" Target="https://secure.freee.co.jp/reports/journals?start_date=2024-10-01&amp;end_date=2026-03-31&amp;name=%E5%89%8D%E6%89%95%E8%B2%BB%E7%94%A8" TargetMode="External"/><Relationship Id="rId95" Type="http://schemas.openxmlformats.org/officeDocument/2006/relationships/hyperlink" Target="https://secure.freee.co.jp/reports/journals?start_date=2024-10-01&amp;end_date=2026-03-31&amp;name=%E5%89%8D%E6%89%95%E8%B2%BB%E7%94%A8" TargetMode="External"/><Relationship Id="rId96" Type="http://schemas.openxmlformats.org/officeDocument/2006/relationships/hyperlink" Target="https://secure.freee.co.jp/reports/journals?start_date=2025-10-01&amp;end_date=2026-03-31&amp;name=%E5%9C%B0%E4%BB%A3%E5%AE%B6%E8%B3%83" TargetMode="External"/><Relationship Id="rId97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98" Type="http://schemas.openxmlformats.org/officeDocument/2006/relationships/hyperlink" Target="https://secure.freee.co.jp/reports/journals?start_date=2025-10-01&amp;end_date=2026-03-31&amp;name=%E9%80%9A%E4%BF%A1%E8%B2%BB" TargetMode="External"/><Relationship Id="rId99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100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reduced=false" TargetMode="External"/><Relationship Id="rId101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deduction_rate=80&amp;tax_reduced=false" TargetMode="External"/><Relationship Id="rId102" Type="http://schemas.openxmlformats.org/officeDocument/2006/relationships/hyperlink" Target="https://secure.freee.co.jp/reports/general_ledgers/show?adjustment=all&amp;name=%E9%9B%91%E5%8F%8E%E5%85%A5&amp;start_date=2026-03-01&amp;end_date=2026-03-31" TargetMode="External"/><Relationship Id="rId103" Type="http://schemas.openxmlformats.org/officeDocument/2006/relationships/hyperlink" Target="https://secure.freee.co.jp/reports/general_ledgers/show?adjustment=all&amp;name=%E9%80%9A%E4%BF%A1%E8%B2%BB&amp;start_date=2026-03-01&amp;end_date=2026-03-31" TargetMode="External"/><Relationship Id="rId104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105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106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07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08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109" Type="http://schemas.openxmlformats.org/officeDocument/2006/relationships/hyperlink" Target="https://secure.freee.co.jp/reports/journals?deal_id=3441368296" TargetMode="External"/><Relationship Id="rId110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1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2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3" Type="http://schemas.openxmlformats.org/officeDocument/2006/relationships/hyperlink" Target="https://secure.freee.co.jp/reports/journals?start_date=2025-10-01&amp;end_date=2026-03-3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2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reduced=false" TargetMode="External"/><Relationship Id="rId3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deduction_rate=80&amp;tax_reduced=fals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7%A8%8E%E7%90%86%E5%A3%AB%E5%8D%94%E5%90%8C%E7%B5%84%E5%90%88&amp;start_date=2026-03-01&amp;end_date=2026-03-31" TargetMode="External"/><Relationship Id="rId2" Type="http://schemas.openxmlformats.org/officeDocument/2006/relationships/hyperlink" Target="https://secure.freee.co.jp/reports/journals?deal_id=339931627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6-03-01&amp;end_date=2026-03-31" TargetMode="External"/><Relationship Id="rId2" Type="http://schemas.openxmlformats.org/officeDocument/2006/relationships/hyperlink" Target="https://secure.freee.co.jp/reports/general_ledgers/show?adjustment=all&amp;name=%E6%9C%AA%E6%89%95%E9%87%91%EF%BC%88%E7%99%BD%E6%A0%B9%E8%A3%95%E4%B9%9F%EF%BC%89&amp;start_date=2026-03-01&amp;end_date=2026-03-31" TargetMode="External"/><Relationship Id="rId3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4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5" Type="http://schemas.openxmlformats.org/officeDocument/2006/relationships/hyperlink" Target="https://secure.freee.co.jp/reports/journals?deal_id=3441382102" TargetMode="External"/><Relationship Id="rId6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8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1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2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3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4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5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6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17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18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383298" TargetMode="External"/><Relationship Id="rId19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4116745" TargetMode="External"/><Relationship Id="rId20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554360" TargetMode="External"/><Relationship Id="rId21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8906388" TargetMode="External"/><Relationship Id="rId22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2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24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826" TargetMode="External"/><Relationship Id="rId25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575" TargetMode="External"/><Relationship Id="rId26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4436027" TargetMode="External"/><Relationship Id="rId27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28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29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2475309" TargetMode="External"/><Relationship Id="rId30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554601" TargetMode="External"/><Relationship Id="rId31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5030693" TargetMode="External"/><Relationship Id="rId32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8906388" TargetMode="External"/><Relationship Id="rId33" Type="http://schemas.openxmlformats.org/officeDocument/2006/relationships/hyperlink" Target="https://secure.freee.co.jp/reports/journals?start_date=2024-10-01&amp;end_date=2026-03-31&amp;name=%E5%89%8D%E6%89%95%E8%B2%BB%E7%94%A8" TargetMode="External"/><Relationship Id="rId34" Type="http://schemas.openxmlformats.org/officeDocument/2006/relationships/hyperlink" Target="https://secure.freee.co.jp/reports/journals?start_date=2024-10-01&amp;end_date=2026-03-31&amp;name=%E5%89%8D%E6%89%95%E8%B2%BB%E7%94%A8&amp;partner_id=4436058" TargetMode="External"/><Relationship Id="rId35" Type="http://schemas.openxmlformats.org/officeDocument/2006/relationships/hyperlink" Target="https://secure.freee.co.jp/reports/journals?start_date=2024-10-01&amp;end_date=2026-03-31&amp;name=%E5%89%8D%E6%89%95%E8%B2%BB%E7%94%A8&amp;partner_id=105816142" TargetMode="External"/><Relationship Id="rId36" Type="http://schemas.openxmlformats.org/officeDocument/2006/relationships/hyperlink" Target="https://secure.freee.co.jp/reports/journals?start_date=2024-10-01&amp;end_date=2026-03-31&amp;name=%E5%89%8D%E6%89%95%E8%B2%BB%E7%94%A8&amp;partner_id=4388246" TargetMode="External"/><Relationship Id="rId37" Type="http://schemas.openxmlformats.org/officeDocument/2006/relationships/hyperlink" Target="https://secure.freee.co.jp/reports/journals?start_date=2024-10-01&amp;end_date=2026-03-31&amp;name=%E5%89%8D%E6%89%95%E8%B2%BB%E7%94%A8&amp;partner_id=4831438" TargetMode="External"/><Relationship Id="rId38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39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40" Type="http://schemas.openxmlformats.org/officeDocument/2006/relationships/hyperlink" Target="https://secure.freee.co.jp/reports/journals?start_date=2021-10-01&amp;end_date=2026-03-31&amp;name=%E5%B7%A5%E5%85%B7%E5%99%A8%E5%85%B7%E5%82%99%E5%93%81&amp;partner_id=14111819" TargetMode="External"/><Relationship Id="rId41" Type="http://schemas.openxmlformats.org/officeDocument/2006/relationships/hyperlink" Target="https://secure.freee.co.jp/reports/journals?start_date=2021-10-01&amp;end_date=2026-03-31&amp;name=%E5%B7%A5%E5%85%B7%E5%99%A8%E5%85%B7%E5%82%99%E5%93%81&amp;partner_id=3554901" TargetMode="External"/><Relationship Id="rId42" Type="http://schemas.openxmlformats.org/officeDocument/2006/relationships/hyperlink" Target="https://secure.freee.co.jp/reports/journals?start_date=2021-10-01&amp;end_date=2026-03-31&amp;name=%E5%B7%A5%E5%85%B7%E5%99%A8%E5%85%B7%E5%82%99%E5%93%81&amp;partner_id=3554733" TargetMode="External"/><Relationship Id="rId43" Type="http://schemas.openxmlformats.org/officeDocument/2006/relationships/hyperlink" Target="https://secure.freee.co.jp/reports/journals?start_date=2021-10-01&amp;end_date=2026-03-31&amp;name=%E5%B7%A5%E5%85%B7%E5%99%A8%E5%85%B7%E5%82%99%E5%93%81&amp;partner_id=7287393" TargetMode="External"/><Relationship Id="rId44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45" Type="http://schemas.openxmlformats.org/officeDocument/2006/relationships/hyperlink" Target="https://secure.freee.co.jp/reports/journals?start_date=2024-10-01&amp;end_date=2026-03-31&amp;name=%E4%B8%80%E6%8B%AC%E5%84%9F%E5%8D%B4%E8%B3%87%E7%94%A3&amp;partner_id=3554901" TargetMode="External"/><Relationship Id="rId46" Type="http://schemas.openxmlformats.org/officeDocument/2006/relationships/hyperlink" Target="https://secure.freee.co.jp/reports/journals?start_date=2024-10-01&amp;end_date=2026-03-31&amp;name=%E4%B8%80%E6%8B%AC%E5%84%9F%E5%8D%B4%E8%B3%87%E7%94%A3&amp;partner_id=14111819" TargetMode="External"/><Relationship Id="rId47" Type="http://schemas.openxmlformats.org/officeDocument/2006/relationships/hyperlink" Target="https://secure.freee.co.jp/reports/journals?start_date=2022-10-01&amp;end_date=2026-03-31&amp;name=%E5%87%BA%E8%B3%87%E9%87%91" TargetMode="External"/><Relationship Id="rId48" Type="http://schemas.openxmlformats.org/officeDocument/2006/relationships/hyperlink" Target="https://secure.freee.co.jp/reports/journals?start_date=2022-10-01&amp;end_date=2026-03-31&amp;name=%E5%87%BA%E8%B3%87%E9%87%91&amp;partner_id=87636575" TargetMode="External"/><Relationship Id="rId49" Type="http://schemas.openxmlformats.org/officeDocument/2006/relationships/hyperlink" Target="https://secure.freee.co.jp/reports/journals?start_date=2022-10-01&amp;end_date=2026-03-31&amp;name=%E5%87%BA%E8%B3%87%E9%87%91&amp;partner_id=3554360" TargetMode="External"/><Relationship Id="rId50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51" Type="http://schemas.openxmlformats.org/officeDocument/2006/relationships/hyperlink" Target="https://secure.freee.co.jp/reports/journals?start_date=2024-10-01&amp;end_date=2026-03-31&amp;name=%E4%BF%9D%E9%99%BA%E7%A9%8D%E7%AB%8B%E9%87%91&amp;partner_id=4116745" TargetMode="External"/><Relationship Id="rId52" Type="http://schemas.openxmlformats.org/officeDocument/2006/relationships/hyperlink" Target="https://secure.freee.co.jp/reports/journals?start_date=2024-10-01&amp;end_date=2026-03-31&amp;name=%E4%BF%9D%E9%99%BA%E7%A9%8D%E7%AB%8B%E9%87%91&amp;partner_id=45810962" TargetMode="External"/><Relationship Id="rId53" Type="http://schemas.openxmlformats.org/officeDocument/2006/relationships/hyperlink" Target="https://secure.freee.co.jp/reports/journals?start_date=2024-10-01&amp;end_date=2026-03-31&amp;name=%E6%9C%AA%E6%89%95%E9%87%91" TargetMode="External"/><Relationship Id="rId54" Type="http://schemas.openxmlformats.org/officeDocument/2006/relationships/hyperlink" Target="https://secure.freee.co.jp/reports/journals?start_date=2024-10-01&amp;end_date=2026-03-31&amp;name=%E6%9C%AA%E6%89%95%E9%87%91" TargetMode="External"/><Relationship Id="rId55" Type="http://schemas.openxmlformats.org/officeDocument/2006/relationships/hyperlink" Target="https://secure.freee.co.jp/reports/journals?start_date=2024-10-01&amp;end_date=2026-03-31&amp;name=%E6%9C%AA%E6%89%95%E9%87%91&amp;partner_id=17992011" TargetMode="External"/><Relationship Id="rId56" Type="http://schemas.openxmlformats.org/officeDocument/2006/relationships/hyperlink" Target="https://secure.freee.co.jp/reports/journals?start_date=2023-10-01&amp;end_date=2026-03-31&amp;name=%E5%89%8D%E5%8F%97%E9%87%91" TargetMode="External"/><Relationship Id="rId57" Type="http://schemas.openxmlformats.org/officeDocument/2006/relationships/hyperlink" Target="https://secure.freee.co.jp/reports/journals?start_date=2023-10-01&amp;end_date=2026-03-31&amp;name=%E5%89%8D%E5%8F%97%E9%87%91&amp;partner_id=42939021" TargetMode="External"/><Relationship Id="rId58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59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60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4533977" TargetMode="External"/><Relationship Id="rId6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4436058" TargetMode="External"/><Relationship Id="rId62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67809478" TargetMode="External"/><Relationship Id="rId63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8765821" TargetMode="External"/><Relationship Id="rId64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65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66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436009" TargetMode="External"/><Relationship Id="rId67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5005671" TargetMode="External"/><Relationship Id="rId68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1438" TargetMode="External"/><Relationship Id="rId69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0713" TargetMode="External"/><Relationship Id="rId70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71" Type="http://schemas.openxmlformats.org/officeDocument/2006/relationships/hyperlink" Target="https://secure.freee.co.jp/reports/journals?start_date=2024-10-01&amp;end_date=2026-03-31&amp;name=%E5%BD%B9%E5%93%A1%E5%80%9F%E5%85%A5%E9%87%91&amp;partner_id=3351933" TargetMode="External"/><Relationship Id="rId72" Type="http://schemas.openxmlformats.org/officeDocument/2006/relationships/hyperlink" Target="https://secure.freee.co.jp/reports/journals?start_date=2024-10-01&amp;end_date=2026-03-31&amp;name=%E5%BD%B9%E5%93%A1%E5%80%9F%E5%85%A5%E9%87%91&amp;partner_id=2475309" TargetMode="External"/><Relationship Id="rId73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74" Type="http://schemas.openxmlformats.org/officeDocument/2006/relationships/hyperlink" Target="https://secure.freee.co.jp/reports/journals?start_date=2024-10-01&amp;end_date=2026-03-31&amp;name=%E9%95%B7%E6%9C%9F%E5%80%9F%E5%85%A5%E9%87%91&amp;partner_id=38906388" TargetMode="External"/><Relationship Id="rId75" Type="http://schemas.openxmlformats.org/officeDocument/2006/relationships/hyperlink" Target="https://secure.freee.co.jp/reports/journals?start_date=2024-10-01&amp;end_date=2026-03-31&amp;name=%E9%95%B7%E6%9C%9F%E5%80%9F%E5%85%A5%E9%87%91&amp;partner_id=87636575" TargetMode="External"/><Relationship Id="rId76" Type="http://schemas.openxmlformats.org/officeDocument/2006/relationships/hyperlink" Target="https://secure.freee.co.jp/reports/journals?start_date=2024-10-01&amp;end_date=2026-03-31&amp;name=%E9%95%B7%E6%9C%9F%E5%80%9F%E5%85%A5%E9%87%91&amp;partner_id=3554360" TargetMode="External"/><Relationship Id="rId77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78" Type="http://schemas.openxmlformats.org/officeDocument/2006/relationships/hyperlink" Target="https://secure.freee.co.jp/reports/journals?start_date=2023-10-01&amp;end_date=2026-03-31&amp;name=%E5%89%8D%E5%8F%97%E9%87%91" TargetMode="External"/><Relationship Id="rId79" Type="http://schemas.openxmlformats.org/officeDocument/2006/relationships/hyperlink" Target="https://secure.freee.co.jp/reports/journals?start_date=2023-10-01&amp;end_date=2026-03-31&amp;name=%E5%89%8D%E5%8F%97%E9%87%91" TargetMode="External"/><Relationship Id="rId80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83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84" Type="http://schemas.openxmlformats.org/officeDocument/2006/relationships/hyperlink" Target="https://secure.freee.co.jp/reports/journals?deal_id=344136829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2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3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4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5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6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7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8" Type="http://schemas.openxmlformats.org/officeDocument/2006/relationships/hyperlink" Target="https://secure.freee.co.jp/reports/general_ledgers/show?adjustment=all&amp;name=%E6%9C%AA%E6%89%95%E8%B2%BB%E7%94%A8&amp;start_date=2026-03-01&amp;end_date=2026-03-31" TargetMode="External"/><Relationship Id="rId9" Type="http://schemas.openxmlformats.org/officeDocument/2006/relationships/hyperlink" Target="https://secure.freee.co.jp/reports/journals?start_date=2024-10-01&amp;end_date=2026-03-31&amp;name=%E5%89%8D%E6%89%95%E8%B2%BB%E7%94%A8" TargetMode="External"/><Relationship Id="rId10" Type="http://schemas.openxmlformats.org/officeDocument/2006/relationships/hyperlink" Target="https://secure.freee.co.jp/reports/journals?start_date=2024-10-01&amp;end_date=2026-03-31&amp;name=%E5%89%8D%E6%89%95%E8%B2%BB%E7%94%A8" TargetMode="External"/><Relationship Id="rId11" Type="http://schemas.openxmlformats.org/officeDocument/2006/relationships/hyperlink" Target="https://secure.freee.co.jp/reports/journals?start_date=2025-10-01&amp;end_date=2026-03-31&amp;name=%E5%9C%B0%E4%BB%A3%E5%AE%B6%E8%B3%83" TargetMode="External"/><Relationship Id="rId12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3" Type="http://schemas.openxmlformats.org/officeDocument/2006/relationships/hyperlink" Target="https://secure.freee.co.jp/reports/journals?start_date=2025-10-01&amp;end_date=2026-03-31&amp;name=%E9%80%9A%E4%BF%A1%E8%B2%BB" TargetMode="External"/><Relationship Id="rId14" Type="http://schemas.openxmlformats.org/officeDocument/2006/relationships/hyperlink" Target="https://secure.freee.co.jp/reports/general_ledgers/show?adjustment=all&amp;name=%E9%80%9A%E4%BF%A1%E8%B2%BB&amp;start_date=2026-03-01&amp;end_date=2026-03-31" TargetMode="External"/><Relationship Id="rId15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16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17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8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9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0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1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2" Type="http://schemas.openxmlformats.org/officeDocument/2006/relationships/hyperlink" Target="https://secure.freee.co.jp/reports/journals?start_date=2025-10-01&amp;end_date=2026-03-31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9%9B%91%E5%8F%8E%E5%85%A5&amp;start_date=2026-03-01&amp;end_date=2026-03-3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7%A8%8E%E3%80%91%EF%BC%B0%EF%BD%81%EF%BD%99%EF%BC%B0%EF%BD%81%EF%BD%99%E9%8A%80%E8%A1%8C&amp;start_date=2025-10-01&amp;end_date=2026-03-31&amp;fiscal_year_id=10840688" TargetMode="External"/><Relationship Id="rId2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adjustment=all&amp;name=%E5%A3%B2%E6%8E%9B%E9%87%91&amp;start_date=2025-10-01&amp;end_date=2026-03-31&amp;fiscal_year_id=10840688" TargetMode="External"/><Relationship Id="rId6" Type="http://schemas.openxmlformats.org/officeDocument/2006/relationships/hyperlink" Target="https://secure.freee.co.jp/reports/journals?start_date=2021-10-01&amp;end_date=2026-03-31&amp;name=%E8%B2%B8%E5%80%92%E5%BC%95%E5%BD%93%E9%87%91%28%E5%A3%B2%29" TargetMode="External"/><Relationship Id="rId7" Type="http://schemas.openxmlformats.org/officeDocument/2006/relationships/hyperlink" Target="https://secure.freee.co.jp/reports/general_ledgers/show?adjustment=all&amp;name=PayPal%EF%BC%88%E6%B3%95%E4%BA%BA%EF%BC%89&amp;start_date=2025-10-01&amp;end_date=2026-03-31&amp;fiscal_year_id=10840688" TargetMode="External"/><Relationship Id="rId8" Type="http://schemas.openxmlformats.org/officeDocument/2006/relationships/hyperlink" Target="https://secure.freee.co.jp/reports/journals?start_date=2024-10-01&amp;end_date=2026-03-31&amp;name=%E5%89%8D%E6%89%95%E8%B2%BB%E7%94%A8" TargetMode="External"/><Relationship Id="rId9" Type="http://schemas.openxmlformats.org/officeDocument/2006/relationships/hyperlink" Target="https://secure.freee.co.jp/reports/journals?start_date=2024-10-01&amp;end_date=2026-03-31&amp;name=%E6%9C%AA%E5%8F%8E%E5%8F%8E%E7%9B%8A" TargetMode="External"/><Relationship Id="rId10" Type="http://schemas.openxmlformats.org/officeDocument/2006/relationships/hyperlink" Target="https://secure.freee.co.jp/reports/journals?start_date=2024-10-01&amp;end_date=2026-03-31&amp;name=%E6%9C%AA%E5%8F%8E%E5%85%A5%E9%87%91" TargetMode="External"/><Relationship Id="rId11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12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13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14" Type="http://schemas.openxmlformats.org/officeDocument/2006/relationships/hyperlink" Target="https://secure.freee.co.jp/reports/general_ledgers/show?adjustment=all&amp;name=%E6%B8%9B%E4%BE%A1%E5%84%9F%E5%8D%B4%E7%B4%AF%E8%A8%88%E9%A1%8D&amp;start_date=2025-10-01&amp;end_date=2026-03-31&amp;fiscal_year_id=10840688" TargetMode="External"/><Relationship Id="rId15" Type="http://schemas.openxmlformats.org/officeDocument/2006/relationships/hyperlink" Target="https://secure.freee.co.jp/reports/general_ledgers/show?adjustment=all&amp;name=%E3%82%BD%E3%83%95%E3%83%88%E3%82%A6%E3%82%A7%E3%82%A2&amp;start_date=2025-10-01&amp;end_date=2026-03-31&amp;fiscal_year_id=10840688" TargetMode="External"/><Relationship Id="rId16" Type="http://schemas.openxmlformats.org/officeDocument/2006/relationships/hyperlink" Target="https://secure.freee.co.jp/reports/journals?start_date=2022-10-01&amp;end_date=2026-03-31&amp;name=%E5%87%BA%E8%B3%87%E9%87%91" TargetMode="External"/><Relationship Id="rId17" Type="http://schemas.openxmlformats.org/officeDocument/2006/relationships/hyperlink" Target="https://secure.freee.co.jp/reports/journals?start_date=2024-10-01&amp;end_date=2026-03-31&amp;name=%E6%95%B7%E9%87%91" TargetMode="External"/><Relationship Id="rId18" Type="http://schemas.openxmlformats.org/officeDocument/2006/relationships/hyperlink" Target="https://secure.freee.co.jp/reports/general_ledgers/show?adjustment=all&amp;name=%E9%95%B7%E6%9C%9F%E5%89%8D%E6%89%95%E8%B2%BB%E7%94%A8&amp;start_date=2025-10-01&amp;end_date=2026-03-31&amp;fiscal_year_id=10840688" TargetMode="External"/><Relationship Id="rId19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20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21" Type="http://schemas.openxmlformats.org/officeDocument/2006/relationships/hyperlink" Target="https://secure.freee.co.jp/reports/journals?start_date=2024-10-01&amp;end_date=2026-03-31&amp;name=%E6%9C%AA%E6%89%95%E9%87%91" TargetMode="External"/><Relationship Id="rId22" Type="http://schemas.openxmlformats.org/officeDocument/2006/relationships/hyperlink" Target="https://secure.freee.co.jp/reports/general_ledgers/show?adjustment=all&amp;name=%E6%9C%AA%E6%89%95%E8%B2%BB%E7%94%A8&amp;start_date=2025-10-01&amp;end_date=2026-03-31&amp;fiscal_year_id=10840688" TargetMode="External"/><Relationship Id="rId23" Type="http://schemas.openxmlformats.org/officeDocument/2006/relationships/hyperlink" Target="https://secure.freee.co.jp/reports/journals?start_date=2024-10-01&amp;end_date=2026-03-31&amp;name=%E6%9C%AA%E6%89%95%E6%B3%95%E4%BA%BA%E7%A8%8E%E7%AD%89" TargetMode="External"/><Relationship Id="rId24" Type="http://schemas.openxmlformats.org/officeDocument/2006/relationships/hyperlink" Target="https://secure.freee.co.jp/reports/journals?start_date=2024-10-01&amp;end_date=2026-03-31&amp;name=%E6%9C%AA%E6%89%95%E6%B6%88%E8%B2%BB%E7%A8%8E%E7%AD%89" TargetMode="External"/><Relationship Id="rId25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26" Type="http://schemas.openxmlformats.org/officeDocument/2006/relationships/hyperlink" Target="https://secure.freee.co.jp/reports/journals?start_date=2023-10-01&amp;end_date=2026-03-31&amp;name=%E5%89%8D%E5%8F%97%E9%87%91" TargetMode="External"/><Relationship Id="rId27" Type="http://schemas.openxmlformats.org/officeDocument/2006/relationships/hyperlink" Target="https://secure.freee.co.jp/reports/general_ledgers/show?adjustment=all&amp;name=%E9%A0%90%E3%82%8A%E9%87%91&amp;start_date=2025-10-01&amp;end_date=2026-03-31&amp;fiscal_year_id=10840688" TargetMode="External"/><Relationship Id="rId28" Type="http://schemas.openxmlformats.org/officeDocument/2006/relationships/hyperlink" Target="https://secure.freee.co.jp/reports/general_ledgers/show?adjustment=all&amp;name=%E3%80%90%E7%A8%8E%E3%80%91%E3%82%A2%E3%83%A1%E3%83%AA%E3%82%AB%E3%83%B3%E3%83%BB%E3%82%A8%E3%82%AD%E3%82%B9%E3%83%97%E3%83%AC%E3%82%B9&amp;start_date=2025-10-01&amp;end_date=2026-03-31&amp;fiscal_year_id=10840688" TargetMode="External"/><Relationship Id="rId29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30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3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32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33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34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35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36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37" Type="http://schemas.openxmlformats.org/officeDocument/2006/relationships/hyperlink" Target="https://secure.freee.co.jp/reports/general_ledgers/show?adjustment=all&amp;name=%E9%95%B7%E6%9C%9F%E6%9C%AA%E6%89%95%E9%87%91&amp;start_date=2025-10-01&amp;end_date=2026-03-31&amp;fiscal_year_id=10840688" TargetMode="External"/><Relationship Id="rId38" Type="http://schemas.openxmlformats.org/officeDocument/2006/relationships/hyperlink" Target="https://secure.freee.co.jp/reports/journals?start_date=2021-10-01&amp;end_date=2026-03-31&amp;name=%E8%B3%87%E6%9C%AC%E9%87%91" TargetMode="External"/><Relationship Id="rId39" Type="http://schemas.openxmlformats.org/officeDocument/2006/relationships/hyperlink" Target="https://secure.freee.co.jp/reports/journals?start_date=2024-10-01&amp;end_date=2026-03-31&amp;name=%E7%B9%B0%E8%B6%8A%E5%88%A9%E7%9B%8A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5%BD%B9%E5%93%A1%E5%A0%B1%E9%85%AC&amp;start_date=2025-10-01&amp;end_date=2026-03-31" TargetMode="External"/><Relationship Id="rId2" Type="http://schemas.openxmlformats.org/officeDocument/2006/relationships/hyperlink" Target="https://secure.freee.co.jp/reports/general_ledgers/show?adjustment=all&amp;name=%E7%B5%A6%E6%96%99%E6%89%8B%E5%BD%93&amp;start_date=2025-10-01&amp;end_date=2026-03-31" TargetMode="External"/><Relationship Id="rId3" Type="http://schemas.openxmlformats.org/officeDocument/2006/relationships/hyperlink" Target="https://secure.freee.co.jp/reports/general_ledgers/show?adjustment=all&amp;name=%E8%B3%9E%E4%B8%8E&amp;start_date=2025-10-01&amp;end_date=2026-03-31" TargetMode="External"/><Relationship Id="rId4" Type="http://schemas.openxmlformats.org/officeDocument/2006/relationships/hyperlink" Target="https://secure.freee.co.jp/reports/general_ledgers/show?adjustment=all&amp;name=%E9%80%80%E8%81%B7%E7%B5%A6%E4%BB%98%E8%B2%BB%E7%94%A8&amp;start_date=2025-10-01&amp;end_date=2026-03-31" TargetMode="External"/><Relationship Id="rId5" Type="http://schemas.openxmlformats.org/officeDocument/2006/relationships/hyperlink" Target="https://secure.freee.co.jp/reports/general_ledgers/show?adjustment=all&amp;name=%E6%B3%95%E5%AE%9A%E7%A6%8F%E5%88%A9%E8%B2%BB&amp;start_date=2025-10-01&amp;end_date=2026-03-31" TargetMode="External"/><Relationship Id="rId6" Type="http://schemas.openxmlformats.org/officeDocument/2006/relationships/hyperlink" Target="https://secure.freee.co.jp/reports/general_ledgers/show?adjustment=all&amp;name=%E7%A6%8F%E5%88%A9%E5%8E%9A%E7%94%9F%E8%B2%BB&amp;start_date=2025-10-01&amp;end_date=2026-03-31" TargetMode="External"/><Relationship Id="rId7" Type="http://schemas.openxmlformats.org/officeDocument/2006/relationships/hyperlink" Target="https://secure.freee.co.jp/reports/general_ledgers/show?adjustment=all&amp;name=%E6%8E%A1%E7%94%A8%E6%95%99%E8%82%B2%E8%B2%BB&amp;start_date=2025-10-01&amp;end_date=2026-03-31" TargetMode="External"/><Relationship Id="rId8" Type="http://schemas.openxmlformats.org/officeDocument/2006/relationships/hyperlink" Target="https://secure.freee.co.jp/reports/general_ledgers/show?adjustment=all&amp;name=%E5%A4%96%E6%B3%A8%E8%B2%BB&amp;start_date=2025-10-01&amp;end_date=2026-03-31" TargetMode="External"/><Relationship Id="rId9" Type="http://schemas.openxmlformats.org/officeDocument/2006/relationships/hyperlink" Target="https://secure.freee.co.jp/reports/general_ledgers/show?adjustment=all&amp;name=%E5%BA%83%E5%91%8A%E5%AE%A3%E4%BC%9D%E8%B2%BB&amp;start_date=2025-10-01&amp;end_date=2026-03-31" TargetMode="External"/><Relationship Id="rId10" Type="http://schemas.openxmlformats.org/officeDocument/2006/relationships/hyperlink" Target="https://secure.freee.co.jp/reports/general_ledgers/show?adjustment=all&amp;name=%E4%BA%A4%E9%9A%9B%E8%B2%BB&amp;start_date=2025-10-01&amp;end_date=2026-03-31" TargetMode="External"/><Relationship Id="rId11" Type="http://schemas.openxmlformats.org/officeDocument/2006/relationships/hyperlink" Target="https://secure.freee.co.jp/reports/general_ledgers/show?adjustment=all&amp;name=%E4%BC%9A%E8%AD%B0%E8%B2%BB&amp;start_date=2025-10-01&amp;end_date=2026-03-31" TargetMode="External"/><Relationship Id="rId12" Type="http://schemas.openxmlformats.org/officeDocument/2006/relationships/hyperlink" Target="https://secure.freee.co.jp/reports/general_ledgers/show?adjustment=all&amp;name=%E6%97%85%E8%B2%BB%E4%BA%A4%E9%80%9A%E8%B2%BB&amp;start_date=2025-10-01&amp;end_date=2026-03-31" TargetMode="External"/><Relationship Id="rId13" Type="http://schemas.openxmlformats.org/officeDocument/2006/relationships/hyperlink" Target="https://secure.freee.co.jp/reports/general_ledgers/show?adjustment=all&amp;name=%E9%80%9A%E4%BF%A1%E8%B2%BB&amp;start_date=2025-10-01&amp;end_date=2026-03-31" TargetMode="External"/><Relationship Id="rId14" Type="http://schemas.openxmlformats.org/officeDocument/2006/relationships/hyperlink" Target="https://secure.freee.co.jp/reports/general_ledgers/show?adjustment=all&amp;name=%E6%B6%88%E8%80%97%E5%93%81%E8%B2%BB&amp;start_date=2025-10-01&amp;end_date=2026-03-31" TargetMode="External"/><Relationship Id="rId15" Type="http://schemas.openxmlformats.org/officeDocument/2006/relationships/hyperlink" Target="https://secure.freee.co.jp/reports/general_ledgers/show?adjustment=all&amp;name=%E6%B0%B4%E9%81%93%E5%85%89%E7%86%B1%E8%B2%BB&amp;start_date=2025-10-01&amp;end_date=2026-03-31" TargetMode="External"/><Relationship Id="rId16" Type="http://schemas.openxmlformats.org/officeDocument/2006/relationships/hyperlink" Target="https://secure.freee.co.jp/reports/general_ledgers/show?adjustment=all&amp;name=%E6%96%B0%E8%81%9E%E5%9B%B3%E6%9B%B8%E8%B2%BB&amp;start_date=2025-10-01&amp;end_date=2026-03-31" TargetMode="External"/><Relationship Id="rId17" Type="http://schemas.openxmlformats.org/officeDocument/2006/relationships/hyperlink" Target="https://secure.freee.co.jp/reports/general_ledgers/show?adjustment=all&amp;name=%E8%AB%B8%E4%BC%9A%E8%B2%BB&amp;start_date=2025-10-01&amp;end_date=2026-03-31" TargetMode="External"/><Relationship Id="rId18" Type="http://schemas.openxmlformats.org/officeDocument/2006/relationships/hyperlink" Target="https://secure.freee.co.jp/reports/general_ledgers/show?adjustment=all&amp;name=%E6%94%AF%E6%89%95%E6%89%8B%E6%95%B0%E6%96%99&amp;start_date=2025-10-01&amp;end_date=2026-03-31" TargetMode="External"/><Relationship Id="rId19" Type="http://schemas.openxmlformats.org/officeDocument/2006/relationships/hyperlink" Target="https://secure.freee.co.jp/reports/general_ledgers/show?adjustment=all&amp;name=%E5%9C%B0%E4%BB%A3%E5%AE%B6%E8%B3%83&amp;start_date=2025-10-01&amp;end_date=2026-03-31" TargetMode="External"/><Relationship Id="rId20" Type="http://schemas.openxmlformats.org/officeDocument/2006/relationships/hyperlink" Target="https://secure.freee.co.jp/reports/general_ledgers/show?adjustment=all&amp;name=%E4%BF%9D%E9%99%BA%E6%96%99&amp;start_date=2025-10-01&amp;end_date=2026-03-31" TargetMode="External"/><Relationship Id="rId21" Type="http://schemas.openxmlformats.org/officeDocument/2006/relationships/hyperlink" Target="https://secure.freee.co.jp/reports/general_ledgers/show?adjustment=all&amp;name=%E7%A7%9F%E7%A8%8E%E5%85%AC%E8%AA%B2&amp;start_date=2025-10-01&amp;end_date=2026-03-31" TargetMode="External"/><Relationship Id="rId22" Type="http://schemas.openxmlformats.org/officeDocument/2006/relationships/hyperlink" Target="https://secure.freee.co.jp/reports/general_ledgers/show?adjustment=all&amp;name=%E6%B8%9B%E4%BE%A1%E5%84%9F%E5%8D%B4%E8%B2%BB&amp;start_date=2025-10-01&amp;end_date=2026-03-31" TargetMode="External"/><Relationship Id="rId23" Type="http://schemas.openxmlformats.org/officeDocument/2006/relationships/hyperlink" Target="https://secure.freee.co.jp/reports/general_ledgers/show?adjustment=all&amp;name=%E9%95%B7%E6%9C%9F%E5%89%8D%E6%89%95%E8%B2%BB%E7%94%A8%E5%84%9F%E5%8D%B4&amp;start_date=2025-10-01&amp;end_date=2026-03-31" TargetMode="External"/><Relationship Id="rId24" Type="http://schemas.openxmlformats.org/officeDocument/2006/relationships/hyperlink" Target="https://secure.freee.co.jp/reports/general_ledgers/show?adjustment=all&amp;name=%E9%9B%91%E8%B2%BB&amp;start_date=2025-10-01&amp;end_date=2026-03-31" TargetMode="External"/><Relationship Id="rId25" Type="http://schemas.openxmlformats.org/officeDocument/2006/relationships/hyperlink" Target="https://secure.freee.co.jp/reports/general_ledgers/show?adjustment=all&amp;name=%E5%8F%97%E5%8F%96%E5%88%A9%E6%81%AF&amp;start_date=2025-10-01&amp;end_date=2026-03-31" TargetMode="External"/><Relationship Id="rId26" Type="http://schemas.openxmlformats.org/officeDocument/2006/relationships/hyperlink" Target="https://secure.freee.co.jp/reports/general_ledgers/show?adjustment=all&amp;name=%E9%9B%91%E5%8F%8E%E5%85%A5&amp;start_date=2025-10-01&amp;end_date=2026-03-31" TargetMode="External"/><Relationship Id="rId27" Type="http://schemas.openxmlformats.org/officeDocument/2006/relationships/hyperlink" Target="https://secure.freee.co.jp/reports/general_ledgers/show?adjustment=all&amp;name=%E6%94%AF%E6%89%95%E5%88%A9%E6%81%AF&amp;start_date=2025-10-01&amp;end_date=2026-03-31" TargetMode="External"/><Relationship Id="rId28" Type="http://schemas.openxmlformats.org/officeDocument/2006/relationships/hyperlink" Target="https://secure.freee.co.jp/reports/general_ledgers/show?adjustment=all&amp;name=%E6%B3%95%E4%BA%BA%E7%A8%8E%E3%83%BB%E4%BD%8F%E6%B0%91%E7%A8%8E%E5%8F%8A%E3%81%B3%E4%BA%8B%E6%A5%AD%E7%A8%8E&amp;start_date=2025-10-01&amp;end_date=2026-03-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12</v>
      </c>
      <c r="C9" s="8">
        <v>40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>
        <v>1</v>
      </c>
      <c r="C15" s="11" t="s">
        <v>18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8</v>
      </c>
      <c r="C17" s="11">
        <v>23</v>
      </c>
      <c r="D17" s="11">
        <v>1</v>
      </c>
      <c r="E17" s="11">
        <v>32</v>
      </c>
    </row>
    <row r="18" spans="1:5" x14ac:dyDescent="0.25">
      <c r="A18" s="10" t="s">
        <v>22</v>
      </c>
      <c r="B18" s="11">
        <v>1</v>
      </c>
      <c r="C18" s="11">
        <v>13</v>
      </c>
      <c r="D18" s="11">
        <v>10</v>
      </c>
      <c r="E18" s="11">
        <v>24</v>
      </c>
    </row>
    <row r="19" spans="1:5" x14ac:dyDescent="0.25">
      <c r="A19" s="10" t="s">
        <v>23</v>
      </c>
      <c r="B19" s="11">
        <v>2</v>
      </c>
      <c r="C19" s="11">
        <v>3</v>
      </c>
      <c r="D19" s="11">
        <v>2</v>
      </c>
      <c r="E19" s="11">
        <v>7</v>
      </c>
    </row>
    <row r="20" spans="1:5" x14ac:dyDescent="0.25">
      <c r="A20" s="12" t="s">
        <v>16</v>
      </c>
      <c r="B20" s="13">
        <v>12</v>
      </c>
      <c r="C20" s="13">
        <v>40</v>
      </c>
      <c r="D20" s="13">
        <v>13</v>
      </c>
      <c r="E20" s="13">
        <v>65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4" t="s">
        <v>46</v>
      </c>
      <c r="B33" s="14" t="s">
        <v>47</v>
      </c>
      <c r="C33" s="15" t="s">
        <v>30</v>
      </c>
      <c r="D33" s="15">
        <v>1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5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4" t="s">
        <v>70</v>
      </c>
      <c r="B45" s="14" t="s">
        <v>71</v>
      </c>
      <c r="C45" s="15" t="s">
        <v>30</v>
      </c>
      <c r="D45" s="15">
        <v>1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1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0" t="s">
        <v>102</v>
      </c>
      <c r="B61" s="10" t="s">
        <v>103</v>
      </c>
      <c r="C61" s="11" t="s">
        <v>35</v>
      </c>
      <c r="D61" s="11">
        <v>0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6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14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2</v>
      </c>
    </row>
    <row r="69" spans="1:4" x14ac:dyDescent="0.25">
      <c r="A69" s="14" t="s">
        <v>118</v>
      </c>
      <c r="B69" s="14" t="s">
        <v>119</v>
      </c>
      <c r="C69" s="15" t="s">
        <v>30</v>
      </c>
      <c r="D69" s="15">
        <v>1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4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4" t="s">
        <v>152</v>
      </c>
      <c r="B86" s="14" t="s">
        <v>153</v>
      </c>
      <c r="C86" s="15" t="s">
        <v>30</v>
      </c>
      <c r="D86" s="15">
        <v>1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38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46</v>
      </c>
      <c r="C4" s="16" t="s">
        <v>185</v>
      </c>
      <c r="D4" s="17" t="s">
        <v>186</v>
      </c>
      <c r="E4" s="16" t="s">
        <v>187</v>
      </c>
      <c r="F4" s="17" t="s">
        <v>188</v>
      </c>
      <c r="G4" s="16" t="s">
        <v>6</v>
      </c>
    </row>
    <row r="5" spans="1:7" x14ac:dyDescent="0.25">
      <c r="A5" s="16" t="s">
        <v>13</v>
      </c>
      <c r="B5" s="16" t="s">
        <v>70</v>
      </c>
      <c r="C5" s="16" t="s">
        <v>189</v>
      </c>
      <c r="D5" s="17" t="s">
        <v>190</v>
      </c>
      <c r="E5" s="16" t="s">
        <v>191</v>
      </c>
      <c r="F5" s="17" t="s">
        <v>192</v>
      </c>
      <c r="G5" s="18" t="s">
        <v>180</v>
      </c>
    </row>
    <row r="6" spans="1:7" x14ac:dyDescent="0.25">
      <c r="A6" s="16" t="s">
        <v>13</v>
      </c>
      <c r="B6" s="16" t="s">
        <v>84</v>
      </c>
      <c r="C6" s="16" t="s">
        <v>193</v>
      </c>
      <c r="D6" s="17" t="s">
        <v>194</v>
      </c>
      <c r="E6" s="16" t="s">
        <v>195</v>
      </c>
      <c r="F6" s="17" t="s">
        <v>196</v>
      </c>
      <c r="G6" s="18" t="s">
        <v>180</v>
      </c>
    </row>
    <row r="7" spans="1:7" x14ac:dyDescent="0.25">
      <c r="A7" s="16" t="s">
        <v>13</v>
      </c>
      <c r="B7" s="16" t="s">
        <v>110</v>
      </c>
      <c r="C7" s="16" t="s">
        <v>197</v>
      </c>
      <c r="D7" s="17" t="s">
        <v>198</v>
      </c>
      <c r="E7" s="16" t="s">
        <v>199</v>
      </c>
      <c r="F7" s="17" t="s">
        <v>200</v>
      </c>
      <c r="G7" s="18" t="s">
        <v>180</v>
      </c>
    </row>
    <row r="8" spans="1:7" x14ac:dyDescent="0.25">
      <c r="A8" s="16" t="s">
        <v>13</v>
      </c>
      <c r="B8" s="16" t="s">
        <v>110</v>
      </c>
      <c r="C8" s="16" t="s">
        <v>197</v>
      </c>
      <c r="D8" s="17" t="s">
        <v>201</v>
      </c>
      <c r="E8" s="16" t="s">
        <v>202</v>
      </c>
      <c r="F8" s="17" t="s">
        <v>200</v>
      </c>
      <c r="G8" s="18" t="s">
        <v>180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203</v>
      </c>
      <c r="E9" s="19" t="s">
        <v>204</v>
      </c>
      <c r="F9" s="20" t="s">
        <v>205</v>
      </c>
      <c r="G9" s="21" t="s">
        <v>206</v>
      </c>
    </row>
    <row r="10" spans="1:7" x14ac:dyDescent="0.25">
      <c r="A10" s="16" t="s">
        <v>13</v>
      </c>
      <c r="B10" s="16" t="s">
        <v>110</v>
      </c>
      <c r="C10" s="16" t="s">
        <v>197</v>
      </c>
      <c r="D10" s="17" t="s">
        <v>207</v>
      </c>
      <c r="E10" s="16" t="s">
        <v>208</v>
      </c>
      <c r="F10" s="17" t="s">
        <v>200</v>
      </c>
      <c r="G10" s="18" t="s">
        <v>180</v>
      </c>
    </row>
    <row r="11" spans="1:7" x14ac:dyDescent="0.25">
      <c r="A11" s="16" t="s">
        <v>13</v>
      </c>
      <c r="B11" s="16" t="s">
        <v>110</v>
      </c>
      <c r="C11" s="16" t="s">
        <v>197</v>
      </c>
      <c r="D11" s="17" t="s">
        <v>209</v>
      </c>
      <c r="E11" s="16" t="s">
        <v>210</v>
      </c>
      <c r="F11" s="17" t="s">
        <v>200</v>
      </c>
      <c r="G11" s="18" t="s">
        <v>180</v>
      </c>
    </row>
    <row r="12" spans="1:7" x14ac:dyDescent="0.25">
      <c r="A12" s="16" t="s">
        <v>13</v>
      </c>
      <c r="B12" s="16" t="s">
        <v>110</v>
      </c>
      <c r="C12" s="16" t="s">
        <v>197</v>
      </c>
      <c r="D12" s="17" t="s">
        <v>211</v>
      </c>
      <c r="E12" s="16" t="s">
        <v>191</v>
      </c>
      <c r="F12" s="17" t="s">
        <v>200</v>
      </c>
      <c r="G12" s="18" t="s">
        <v>180</v>
      </c>
    </row>
    <row r="13" spans="1:7" x14ac:dyDescent="0.25">
      <c r="A13" s="16" t="s">
        <v>13</v>
      </c>
      <c r="B13" s="16" t="s">
        <v>110</v>
      </c>
      <c r="C13" s="16" t="s">
        <v>197</v>
      </c>
      <c r="D13" s="17" t="s">
        <v>212</v>
      </c>
      <c r="E13" s="16" t="s">
        <v>213</v>
      </c>
      <c r="F13" s="17" t="s">
        <v>200</v>
      </c>
      <c r="G13" s="18" t="s">
        <v>180</v>
      </c>
    </row>
    <row r="14" spans="1:7" x14ac:dyDescent="0.25">
      <c r="A14" s="16" t="s">
        <v>13</v>
      </c>
      <c r="B14" s="16" t="s">
        <v>152</v>
      </c>
      <c r="C14" s="16" t="s">
        <v>214</v>
      </c>
      <c r="D14" s="17" t="s">
        <v>215</v>
      </c>
      <c r="E14" s="16" t="s">
        <v>216</v>
      </c>
      <c r="F14" s="17" t="s">
        <v>217</v>
      </c>
      <c r="G14" s="18" t="s">
        <v>180</v>
      </c>
    </row>
    <row r="15" spans="1:7" x14ac:dyDescent="0.25">
      <c r="A15" s="19" t="s">
        <v>6</v>
      </c>
      <c r="B15" s="19" t="s">
        <v>6</v>
      </c>
      <c r="C15" s="19" t="s">
        <v>6</v>
      </c>
      <c r="D15" s="20" t="s">
        <v>218</v>
      </c>
      <c r="E15" s="19" t="s">
        <v>219</v>
      </c>
      <c r="F15" s="20" t="s">
        <v>220</v>
      </c>
      <c r="G15" s="21" t="s">
        <v>206</v>
      </c>
    </row>
    <row r="16" spans="1:7" x14ac:dyDescent="0.25">
      <c r="A16" s="14" t="s">
        <v>14</v>
      </c>
      <c r="B16" s="14" t="s">
        <v>31</v>
      </c>
      <c r="C16" s="14" t="s">
        <v>176</v>
      </c>
      <c r="D16" s="22" t="s">
        <v>221</v>
      </c>
      <c r="E16" s="14" t="s">
        <v>222</v>
      </c>
      <c r="F16" s="22" t="s">
        <v>223</v>
      </c>
      <c r="G16" s="14" t="s">
        <v>6</v>
      </c>
    </row>
    <row r="17" spans="1:7" x14ac:dyDescent="0.25">
      <c r="A17" s="14" t="s">
        <v>14</v>
      </c>
      <c r="B17" s="14" t="s">
        <v>31</v>
      </c>
      <c r="C17" s="14" t="s">
        <v>176</v>
      </c>
      <c r="D17" s="22" t="s">
        <v>224</v>
      </c>
      <c r="E17" s="14" t="s">
        <v>225</v>
      </c>
      <c r="F17" s="22" t="s">
        <v>223</v>
      </c>
      <c r="G17" s="14" t="s">
        <v>6</v>
      </c>
    </row>
    <row r="18" spans="1:7" x14ac:dyDescent="0.25">
      <c r="A18" s="14" t="s">
        <v>14</v>
      </c>
      <c r="B18" s="14" t="s">
        <v>31</v>
      </c>
      <c r="C18" s="14" t="s">
        <v>176</v>
      </c>
      <c r="D18" s="22" t="s">
        <v>226</v>
      </c>
      <c r="E18" s="14" t="s">
        <v>227</v>
      </c>
      <c r="F18" s="22" t="s">
        <v>223</v>
      </c>
      <c r="G18" s="14" t="s">
        <v>6</v>
      </c>
    </row>
    <row r="19" spans="1:7" x14ac:dyDescent="0.25">
      <c r="A19" s="14" t="s">
        <v>14</v>
      </c>
      <c r="B19" s="14" t="s">
        <v>60</v>
      </c>
      <c r="C19" s="14" t="s">
        <v>228</v>
      </c>
      <c r="D19" s="22" t="s">
        <v>229</v>
      </c>
      <c r="E19" s="14" t="s">
        <v>230</v>
      </c>
      <c r="F19" s="22" t="s">
        <v>231</v>
      </c>
      <c r="G19" s="23" t="s">
        <v>180</v>
      </c>
    </row>
    <row r="20" spans="1:7" x14ac:dyDescent="0.25">
      <c r="A20" s="14" t="s">
        <v>14</v>
      </c>
      <c r="B20" s="14" t="s">
        <v>62</v>
      </c>
      <c r="C20" s="14" t="s">
        <v>228</v>
      </c>
      <c r="D20" s="22" t="s">
        <v>232</v>
      </c>
      <c r="E20" s="14" t="s">
        <v>233</v>
      </c>
      <c r="F20" s="22" t="s">
        <v>234</v>
      </c>
      <c r="G20" s="23" t="s">
        <v>180</v>
      </c>
    </row>
    <row r="21" spans="1:7" x14ac:dyDescent="0.25">
      <c r="A21" s="14" t="s">
        <v>14</v>
      </c>
      <c r="B21" s="14" t="s">
        <v>62</v>
      </c>
      <c r="C21" s="14" t="s">
        <v>228</v>
      </c>
      <c r="D21" s="22" t="s">
        <v>235</v>
      </c>
      <c r="E21" s="14" t="s">
        <v>236</v>
      </c>
      <c r="F21" s="22" t="s">
        <v>234</v>
      </c>
      <c r="G21" s="23" t="s">
        <v>180</v>
      </c>
    </row>
    <row r="22" spans="1:7" x14ac:dyDescent="0.25">
      <c r="A22" s="14" t="s">
        <v>14</v>
      </c>
      <c r="B22" s="14" t="s">
        <v>62</v>
      </c>
      <c r="C22" s="14" t="s">
        <v>228</v>
      </c>
      <c r="D22" s="22" t="s">
        <v>237</v>
      </c>
      <c r="E22" s="14" t="s">
        <v>238</v>
      </c>
      <c r="F22" s="22" t="s">
        <v>234</v>
      </c>
      <c r="G22" s="23" t="s">
        <v>180</v>
      </c>
    </row>
    <row r="23" spans="1:7" x14ac:dyDescent="0.25">
      <c r="A23" s="14" t="s">
        <v>14</v>
      </c>
      <c r="B23" s="14" t="s">
        <v>62</v>
      </c>
      <c r="C23" s="14" t="s">
        <v>228</v>
      </c>
      <c r="D23" s="22" t="s">
        <v>239</v>
      </c>
      <c r="E23" s="14" t="s">
        <v>240</v>
      </c>
      <c r="F23" s="22" t="s">
        <v>234</v>
      </c>
      <c r="G23" s="23" t="s">
        <v>180</v>
      </c>
    </row>
    <row r="24" spans="1:7" x14ac:dyDescent="0.25">
      <c r="A24" s="14" t="s">
        <v>14</v>
      </c>
      <c r="B24" s="14" t="s">
        <v>62</v>
      </c>
      <c r="C24" s="14" t="s">
        <v>228</v>
      </c>
      <c r="D24" s="22" t="s">
        <v>241</v>
      </c>
      <c r="E24" s="14" t="s">
        <v>242</v>
      </c>
      <c r="F24" s="22" t="s">
        <v>234</v>
      </c>
      <c r="G24" s="23" t="s">
        <v>180</v>
      </c>
    </row>
    <row r="25" spans="1:7" x14ac:dyDescent="0.25">
      <c r="A25" s="14" t="s">
        <v>14</v>
      </c>
      <c r="B25" s="14" t="s">
        <v>78</v>
      </c>
      <c r="C25" s="14" t="s">
        <v>243</v>
      </c>
      <c r="D25" s="22" t="s">
        <v>244</v>
      </c>
      <c r="E25" s="14" t="s">
        <v>195</v>
      </c>
      <c r="F25" s="22" t="s">
        <v>245</v>
      </c>
      <c r="G25" s="23" t="s">
        <v>180</v>
      </c>
    </row>
    <row r="26" spans="1:7" x14ac:dyDescent="0.25">
      <c r="A26" s="14" t="s">
        <v>14</v>
      </c>
      <c r="B26" s="14" t="s">
        <v>88</v>
      </c>
      <c r="C26" s="14" t="s">
        <v>193</v>
      </c>
      <c r="D26" s="22" t="s">
        <v>246</v>
      </c>
      <c r="E26" s="14" t="s">
        <v>247</v>
      </c>
      <c r="F26" s="22" t="s">
        <v>248</v>
      </c>
      <c r="G26" s="23" t="s">
        <v>180</v>
      </c>
    </row>
    <row r="27" spans="1:7" x14ac:dyDescent="0.25">
      <c r="A27" s="14" t="s">
        <v>14</v>
      </c>
      <c r="B27" s="14" t="s">
        <v>92</v>
      </c>
      <c r="C27" s="14" t="s">
        <v>249</v>
      </c>
      <c r="D27" s="22" t="s">
        <v>250</v>
      </c>
      <c r="E27" s="14" t="s">
        <v>251</v>
      </c>
      <c r="F27" s="22" t="s">
        <v>252</v>
      </c>
      <c r="G27" s="23" t="s">
        <v>180</v>
      </c>
    </row>
    <row r="28" spans="1:7" x14ac:dyDescent="0.25">
      <c r="A28" s="14" t="s">
        <v>14</v>
      </c>
      <c r="B28" s="14" t="s">
        <v>96</v>
      </c>
      <c r="C28" s="14" t="s">
        <v>253</v>
      </c>
      <c r="D28" s="22" t="s">
        <v>254</v>
      </c>
      <c r="E28" s="14" t="s">
        <v>255</v>
      </c>
      <c r="F28" s="22" t="s">
        <v>256</v>
      </c>
      <c r="G28" s="14" t="s">
        <v>6</v>
      </c>
    </row>
    <row r="29" spans="1:7" x14ac:dyDescent="0.25">
      <c r="A29" s="14" t="s">
        <v>14</v>
      </c>
      <c r="B29" s="14" t="s">
        <v>96</v>
      </c>
      <c r="C29" s="14" t="s">
        <v>253</v>
      </c>
      <c r="D29" s="22" t="s">
        <v>257</v>
      </c>
      <c r="E29" s="14" t="s">
        <v>255</v>
      </c>
      <c r="F29" s="22" t="s">
        <v>258</v>
      </c>
      <c r="G29" s="14" t="s">
        <v>6</v>
      </c>
    </row>
    <row r="30" spans="1:7" x14ac:dyDescent="0.25">
      <c r="A30" s="14" t="s">
        <v>14</v>
      </c>
      <c r="B30" s="14" t="s">
        <v>98</v>
      </c>
      <c r="C30" s="14" t="s">
        <v>253</v>
      </c>
      <c r="D30" s="22" t="s">
        <v>259</v>
      </c>
      <c r="E30" s="14" t="s">
        <v>260</v>
      </c>
      <c r="F30" s="22" t="s">
        <v>261</v>
      </c>
      <c r="G30" s="23" t="s">
        <v>180</v>
      </c>
    </row>
    <row r="31" spans="1:7" x14ac:dyDescent="0.25">
      <c r="A31" s="14" t="s">
        <v>14</v>
      </c>
      <c r="B31" s="14" t="s">
        <v>98</v>
      </c>
      <c r="C31" s="14" t="s">
        <v>253</v>
      </c>
      <c r="D31" s="22" t="s">
        <v>262</v>
      </c>
      <c r="E31" s="14" t="s">
        <v>263</v>
      </c>
      <c r="F31" s="22" t="s">
        <v>261</v>
      </c>
      <c r="G31" s="23" t="s">
        <v>180</v>
      </c>
    </row>
    <row r="32" spans="1:7" x14ac:dyDescent="0.25">
      <c r="A32" s="14" t="s">
        <v>14</v>
      </c>
      <c r="B32" s="14" t="s">
        <v>104</v>
      </c>
      <c r="C32" s="14" t="s">
        <v>264</v>
      </c>
      <c r="D32" s="22" t="s">
        <v>265</v>
      </c>
      <c r="E32" s="14" t="s">
        <v>266</v>
      </c>
      <c r="F32" s="22" t="s">
        <v>267</v>
      </c>
      <c r="G32" s="23" t="s">
        <v>180</v>
      </c>
    </row>
    <row r="33" spans="1:7" x14ac:dyDescent="0.25">
      <c r="A33" s="14" t="s">
        <v>14</v>
      </c>
      <c r="B33" s="14" t="s">
        <v>104</v>
      </c>
      <c r="C33" s="14" t="s">
        <v>264</v>
      </c>
      <c r="D33" s="22" t="s">
        <v>268</v>
      </c>
      <c r="E33" s="14" t="s">
        <v>269</v>
      </c>
      <c r="F33" s="22" t="s">
        <v>267</v>
      </c>
      <c r="G33" s="23" t="s">
        <v>180</v>
      </c>
    </row>
    <row r="34" spans="1:7" x14ac:dyDescent="0.25">
      <c r="A34" s="14" t="s">
        <v>14</v>
      </c>
      <c r="B34" s="14" t="s">
        <v>112</v>
      </c>
      <c r="C34" s="14" t="s">
        <v>197</v>
      </c>
      <c r="D34" s="22" t="s">
        <v>270</v>
      </c>
      <c r="E34" s="14" t="s">
        <v>271</v>
      </c>
      <c r="F34" s="22" t="s">
        <v>272</v>
      </c>
      <c r="G34" s="23" t="s">
        <v>180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273</v>
      </c>
      <c r="E35" s="19" t="s">
        <v>274</v>
      </c>
      <c r="F35" s="20" t="s">
        <v>6</v>
      </c>
      <c r="G35" s="21" t="s">
        <v>206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275</v>
      </c>
      <c r="E36" s="19" t="s">
        <v>276</v>
      </c>
      <c r="F36" s="20" t="s">
        <v>6</v>
      </c>
      <c r="G36" s="21" t="s">
        <v>206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277</v>
      </c>
      <c r="E37" s="19" t="s">
        <v>278</v>
      </c>
      <c r="F37" s="20" t="s">
        <v>6</v>
      </c>
      <c r="G37" s="21" t="s">
        <v>206</v>
      </c>
    </row>
    <row r="38" spans="1:7" x14ac:dyDescent="0.25">
      <c r="A38" s="19" t="s">
        <v>6</v>
      </c>
      <c r="B38" s="19" t="s">
        <v>6</v>
      </c>
      <c r="C38" s="19" t="s">
        <v>6</v>
      </c>
      <c r="D38" s="20" t="s">
        <v>279</v>
      </c>
      <c r="E38" s="19" t="s">
        <v>280</v>
      </c>
      <c r="F38" s="20" t="s">
        <v>6</v>
      </c>
      <c r="G38" s="21" t="s">
        <v>206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281</v>
      </c>
      <c r="E39" s="19" t="s">
        <v>282</v>
      </c>
      <c r="F39" s="20" t="s">
        <v>6</v>
      </c>
      <c r="G39" s="21" t="s">
        <v>206</v>
      </c>
    </row>
    <row r="40" spans="1:7" x14ac:dyDescent="0.25">
      <c r="A40" s="14" t="s">
        <v>14</v>
      </c>
      <c r="B40" s="14" t="s">
        <v>112</v>
      </c>
      <c r="C40" s="14" t="s">
        <v>197</v>
      </c>
      <c r="D40" s="22" t="s">
        <v>283</v>
      </c>
      <c r="E40" s="14" t="s">
        <v>284</v>
      </c>
      <c r="F40" s="22" t="s">
        <v>272</v>
      </c>
      <c r="G40" s="23" t="s">
        <v>180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273</v>
      </c>
      <c r="E41" s="19" t="s">
        <v>285</v>
      </c>
      <c r="F41" s="20" t="s">
        <v>6</v>
      </c>
      <c r="G41" s="21" t="s">
        <v>206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286</v>
      </c>
      <c r="E42" s="19" t="s">
        <v>287</v>
      </c>
      <c r="F42" s="20" t="s">
        <v>6</v>
      </c>
      <c r="G42" s="21" t="s">
        <v>206</v>
      </c>
    </row>
    <row r="43" spans="1:7" x14ac:dyDescent="0.25">
      <c r="A43" s="19" t="s">
        <v>6</v>
      </c>
      <c r="B43" s="19" t="s">
        <v>6</v>
      </c>
      <c r="C43" s="19" t="s">
        <v>6</v>
      </c>
      <c r="D43" s="20" t="s">
        <v>288</v>
      </c>
      <c r="E43" s="19" t="s">
        <v>289</v>
      </c>
      <c r="F43" s="20" t="s">
        <v>6</v>
      </c>
      <c r="G43" s="21" t="s">
        <v>206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290</v>
      </c>
      <c r="E44" s="19" t="s">
        <v>291</v>
      </c>
      <c r="F44" s="20" t="s">
        <v>6</v>
      </c>
      <c r="G44" s="21" t="s">
        <v>206</v>
      </c>
    </row>
    <row r="45" spans="1:7" x14ac:dyDescent="0.25">
      <c r="A45" s="14" t="s">
        <v>14</v>
      </c>
      <c r="B45" s="14" t="s">
        <v>112</v>
      </c>
      <c r="C45" s="14" t="s">
        <v>197</v>
      </c>
      <c r="D45" s="22" t="s">
        <v>292</v>
      </c>
      <c r="E45" s="14" t="s">
        <v>293</v>
      </c>
      <c r="F45" s="22" t="s">
        <v>272</v>
      </c>
      <c r="G45" s="23" t="s">
        <v>180</v>
      </c>
    </row>
    <row r="46" spans="1:7" x14ac:dyDescent="0.25">
      <c r="A46" s="19" t="s">
        <v>6</v>
      </c>
      <c r="B46" s="19" t="s">
        <v>6</v>
      </c>
      <c r="C46" s="19" t="s">
        <v>6</v>
      </c>
      <c r="D46" s="20" t="s">
        <v>273</v>
      </c>
      <c r="E46" s="19" t="s">
        <v>294</v>
      </c>
      <c r="F46" s="20" t="s">
        <v>6</v>
      </c>
      <c r="G46" s="21" t="s">
        <v>206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295</v>
      </c>
      <c r="E47" s="19" t="s">
        <v>296</v>
      </c>
      <c r="F47" s="20" t="s">
        <v>6</v>
      </c>
      <c r="G47" s="21" t="s">
        <v>206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297</v>
      </c>
      <c r="E48" s="19" t="s">
        <v>298</v>
      </c>
      <c r="F48" s="20" t="s">
        <v>6</v>
      </c>
      <c r="G48" s="21" t="s">
        <v>206</v>
      </c>
    </row>
    <row r="49" spans="1:7" x14ac:dyDescent="0.25">
      <c r="A49" s="19" t="s">
        <v>6</v>
      </c>
      <c r="B49" s="19" t="s">
        <v>6</v>
      </c>
      <c r="C49" s="19" t="s">
        <v>6</v>
      </c>
      <c r="D49" s="20" t="s">
        <v>299</v>
      </c>
      <c r="E49" s="19" t="s">
        <v>300</v>
      </c>
      <c r="F49" s="20" t="s">
        <v>6</v>
      </c>
      <c r="G49" s="21" t="s">
        <v>206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281</v>
      </c>
      <c r="E50" s="19" t="s">
        <v>301</v>
      </c>
      <c r="F50" s="20" t="s">
        <v>6</v>
      </c>
      <c r="G50" s="21" t="s">
        <v>206</v>
      </c>
    </row>
    <row r="51" spans="1:7" x14ac:dyDescent="0.25">
      <c r="A51" s="14" t="s">
        <v>14</v>
      </c>
      <c r="B51" s="14" t="s">
        <v>112</v>
      </c>
      <c r="C51" s="14" t="s">
        <v>197</v>
      </c>
      <c r="D51" s="22" t="s">
        <v>302</v>
      </c>
      <c r="E51" s="14" t="s">
        <v>303</v>
      </c>
      <c r="F51" s="22" t="s">
        <v>272</v>
      </c>
      <c r="G51" s="23" t="s">
        <v>180</v>
      </c>
    </row>
    <row r="52" spans="1:7" x14ac:dyDescent="0.25">
      <c r="A52" s="19" t="s">
        <v>6</v>
      </c>
      <c r="B52" s="19" t="s">
        <v>6</v>
      </c>
      <c r="C52" s="19" t="s">
        <v>6</v>
      </c>
      <c r="D52" s="20" t="s">
        <v>304</v>
      </c>
      <c r="E52" s="19" t="s">
        <v>305</v>
      </c>
      <c r="F52" s="20" t="s">
        <v>6</v>
      </c>
      <c r="G52" s="21" t="s">
        <v>206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306</v>
      </c>
      <c r="E53" s="19" t="s">
        <v>307</v>
      </c>
      <c r="F53" s="20" t="s">
        <v>6</v>
      </c>
      <c r="G53" s="21" t="s">
        <v>206</v>
      </c>
    </row>
    <row r="54" spans="1:7" x14ac:dyDescent="0.25">
      <c r="A54" s="19" t="s">
        <v>6</v>
      </c>
      <c r="B54" s="19" t="s">
        <v>6</v>
      </c>
      <c r="C54" s="19" t="s">
        <v>6</v>
      </c>
      <c r="D54" s="20" t="s">
        <v>308</v>
      </c>
      <c r="E54" s="19" t="s">
        <v>309</v>
      </c>
      <c r="F54" s="20" t="s">
        <v>6</v>
      </c>
      <c r="G54" s="21" t="s">
        <v>206</v>
      </c>
    </row>
    <row r="55" spans="1:7" x14ac:dyDescent="0.25">
      <c r="A55" s="19" t="s">
        <v>6</v>
      </c>
      <c r="B55" s="19" t="s">
        <v>6</v>
      </c>
      <c r="C55" s="19" t="s">
        <v>6</v>
      </c>
      <c r="D55" s="20" t="s">
        <v>310</v>
      </c>
      <c r="E55" s="19" t="s">
        <v>311</v>
      </c>
      <c r="F55" s="20" t="s">
        <v>6</v>
      </c>
      <c r="G55" s="21" t="s">
        <v>206</v>
      </c>
    </row>
    <row r="56" spans="1:7" x14ac:dyDescent="0.25">
      <c r="A56" s="14" t="s">
        <v>14</v>
      </c>
      <c r="B56" s="14" t="s">
        <v>112</v>
      </c>
      <c r="C56" s="14" t="s">
        <v>197</v>
      </c>
      <c r="D56" s="22" t="s">
        <v>312</v>
      </c>
      <c r="E56" s="14" t="s">
        <v>313</v>
      </c>
      <c r="F56" s="22" t="s">
        <v>272</v>
      </c>
      <c r="G56" s="23" t="s">
        <v>180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273</v>
      </c>
      <c r="E57" s="19" t="s">
        <v>314</v>
      </c>
      <c r="F57" s="20" t="s">
        <v>6</v>
      </c>
      <c r="G57" s="21" t="s">
        <v>206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315</v>
      </c>
      <c r="E58" s="19" t="s">
        <v>316</v>
      </c>
      <c r="F58" s="20" t="s">
        <v>6</v>
      </c>
      <c r="G58" s="21" t="s">
        <v>206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317</v>
      </c>
      <c r="E59" s="19" t="s">
        <v>318</v>
      </c>
      <c r="F59" s="20" t="s">
        <v>6</v>
      </c>
      <c r="G59" s="21" t="s">
        <v>206</v>
      </c>
    </row>
    <row r="60" spans="1:7" x14ac:dyDescent="0.25">
      <c r="A60" s="19" t="s">
        <v>6</v>
      </c>
      <c r="B60" s="19" t="s">
        <v>6</v>
      </c>
      <c r="C60" s="19" t="s">
        <v>6</v>
      </c>
      <c r="D60" s="20" t="s">
        <v>319</v>
      </c>
      <c r="E60" s="19" t="s">
        <v>320</v>
      </c>
      <c r="F60" s="20" t="s">
        <v>6</v>
      </c>
      <c r="G60" s="21" t="s">
        <v>206</v>
      </c>
    </row>
    <row r="61" spans="1:7" x14ac:dyDescent="0.25">
      <c r="A61" s="19" t="s">
        <v>6</v>
      </c>
      <c r="B61" s="19" t="s">
        <v>6</v>
      </c>
      <c r="C61" s="19" t="s">
        <v>6</v>
      </c>
      <c r="D61" s="20" t="s">
        <v>321</v>
      </c>
      <c r="E61" s="19" t="s">
        <v>322</v>
      </c>
      <c r="F61" s="20" t="s">
        <v>6</v>
      </c>
      <c r="G61" s="21" t="s">
        <v>206</v>
      </c>
    </row>
    <row r="62" spans="1:7" x14ac:dyDescent="0.25">
      <c r="A62" s="14" t="s">
        <v>14</v>
      </c>
      <c r="B62" s="14" t="s">
        <v>112</v>
      </c>
      <c r="C62" s="14" t="s">
        <v>197</v>
      </c>
      <c r="D62" s="22" t="s">
        <v>323</v>
      </c>
      <c r="E62" s="14" t="s">
        <v>324</v>
      </c>
      <c r="F62" s="22" t="s">
        <v>272</v>
      </c>
      <c r="G62" s="23" t="s">
        <v>180</v>
      </c>
    </row>
    <row r="63" spans="1:7" x14ac:dyDescent="0.25">
      <c r="A63" s="19" t="s">
        <v>6</v>
      </c>
      <c r="B63" s="19" t="s">
        <v>6</v>
      </c>
      <c r="C63" s="19" t="s">
        <v>6</v>
      </c>
      <c r="D63" s="20" t="s">
        <v>317</v>
      </c>
      <c r="E63" s="19" t="s">
        <v>325</v>
      </c>
      <c r="F63" s="20" t="s">
        <v>6</v>
      </c>
      <c r="G63" s="21" t="s">
        <v>206</v>
      </c>
    </row>
    <row r="64" spans="1:7" x14ac:dyDescent="0.25">
      <c r="A64" s="19" t="s">
        <v>6</v>
      </c>
      <c r="B64" s="19" t="s">
        <v>6</v>
      </c>
      <c r="C64" s="19" t="s">
        <v>6</v>
      </c>
      <c r="D64" s="20" t="s">
        <v>315</v>
      </c>
      <c r="E64" s="19" t="s">
        <v>326</v>
      </c>
      <c r="F64" s="20" t="s">
        <v>6</v>
      </c>
      <c r="G64" s="21" t="s">
        <v>206</v>
      </c>
    </row>
    <row r="65" spans="1:7" x14ac:dyDescent="0.25">
      <c r="A65" s="14" t="s">
        <v>14</v>
      </c>
      <c r="B65" s="14" t="s">
        <v>112</v>
      </c>
      <c r="C65" s="14" t="s">
        <v>197</v>
      </c>
      <c r="D65" s="22" t="s">
        <v>327</v>
      </c>
      <c r="E65" s="14" t="s">
        <v>328</v>
      </c>
      <c r="F65" s="22" t="s">
        <v>272</v>
      </c>
      <c r="G65" s="23" t="s">
        <v>180</v>
      </c>
    </row>
    <row r="66" spans="1:7" x14ac:dyDescent="0.25">
      <c r="A66" s="19" t="s">
        <v>6</v>
      </c>
      <c r="B66" s="19" t="s">
        <v>6</v>
      </c>
      <c r="C66" s="19" t="s">
        <v>6</v>
      </c>
      <c r="D66" s="20" t="s">
        <v>288</v>
      </c>
      <c r="E66" s="19" t="s">
        <v>329</v>
      </c>
      <c r="F66" s="20" t="s">
        <v>6</v>
      </c>
      <c r="G66" s="21" t="s">
        <v>206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279</v>
      </c>
      <c r="E67" s="19" t="s">
        <v>329</v>
      </c>
      <c r="F67" s="20" t="s">
        <v>6</v>
      </c>
      <c r="G67" s="21" t="s">
        <v>206</v>
      </c>
    </row>
    <row r="68" spans="1:7" x14ac:dyDescent="0.25">
      <c r="A68" s="14" t="s">
        <v>14</v>
      </c>
      <c r="B68" s="14" t="s">
        <v>112</v>
      </c>
      <c r="C68" s="14" t="s">
        <v>197</v>
      </c>
      <c r="D68" s="22" t="s">
        <v>330</v>
      </c>
      <c r="E68" s="14" t="s">
        <v>331</v>
      </c>
      <c r="F68" s="22" t="s">
        <v>272</v>
      </c>
      <c r="G68" s="23" t="s">
        <v>180</v>
      </c>
    </row>
    <row r="69" spans="1:7" x14ac:dyDescent="0.25">
      <c r="A69" s="19" t="s">
        <v>6</v>
      </c>
      <c r="B69" s="19" t="s">
        <v>6</v>
      </c>
      <c r="C69" s="19" t="s">
        <v>6</v>
      </c>
      <c r="D69" s="20" t="s">
        <v>277</v>
      </c>
      <c r="E69" s="19" t="s">
        <v>332</v>
      </c>
      <c r="F69" s="20" t="s">
        <v>6</v>
      </c>
      <c r="G69" s="21" t="s">
        <v>206</v>
      </c>
    </row>
    <row r="70" spans="1:7" x14ac:dyDescent="0.25">
      <c r="A70" s="19" t="s">
        <v>6</v>
      </c>
      <c r="B70" s="19" t="s">
        <v>6</v>
      </c>
      <c r="C70" s="19" t="s">
        <v>6</v>
      </c>
      <c r="D70" s="20" t="s">
        <v>333</v>
      </c>
      <c r="E70" s="19" t="s">
        <v>334</v>
      </c>
      <c r="F70" s="20" t="s">
        <v>6</v>
      </c>
      <c r="G70" s="21" t="s">
        <v>206</v>
      </c>
    </row>
    <row r="71" spans="1:7" x14ac:dyDescent="0.25">
      <c r="A71" s="14" t="s">
        <v>14</v>
      </c>
      <c r="B71" s="14" t="s">
        <v>112</v>
      </c>
      <c r="C71" s="14" t="s">
        <v>197</v>
      </c>
      <c r="D71" s="22" t="s">
        <v>335</v>
      </c>
      <c r="E71" s="14" t="s">
        <v>336</v>
      </c>
      <c r="F71" s="22" t="s">
        <v>272</v>
      </c>
      <c r="G71" s="23" t="s">
        <v>180</v>
      </c>
    </row>
    <row r="72" spans="1:7" x14ac:dyDescent="0.25">
      <c r="A72" s="19" t="s">
        <v>6</v>
      </c>
      <c r="B72" s="19" t="s">
        <v>6</v>
      </c>
      <c r="C72" s="19" t="s">
        <v>6</v>
      </c>
      <c r="D72" s="20" t="s">
        <v>273</v>
      </c>
      <c r="E72" s="19" t="s">
        <v>337</v>
      </c>
      <c r="F72" s="20" t="s">
        <v>6</v>
      </c>
      <c r="G72" s="21" t="s">
        <v>206</v>
      </c>
    </row>
    <row r="73" spans="1:7" x14ac:dyDescent="0.25">
      <c r="A73" s="19" t="s">
        <v>6</v>
      </c>
      <c r="B73" s="19" t="s">
        <v>6</v>
      </c>
      <c r="C73" s="19" t="s">
        <v>6</v>
      </c>
      <c r="D73" s="20" t="s">
        <v>338</v>
      </c>
      <c r="E73" s="19" t="s">
        <v>339</v>
      </c>
      <c r="F73" s="20" t="s">
        <v>6</v>
      </c>
      <c r="G73" s="21" t="s">
        <v>206</v>
      </c>
    </row>
    <row r="74" spans="1:7" x14ac:dyDescent="0.25">
      <c r="A74" s="14" t="s">
        <v>14</v>
      </c>
      <c r="B74" s="14" t="s">
        <v>112</v>
      </c>
      <c r="C74" s="14" t="s">
        <v>197</v>
      </c>
      <c r="D74" s="22" t="s">
        <v>340</v>
      </c>
      <c r="E74" s="14" t="s">
        <v>341</v>
      </c>
      <c r="F74" s="22" t="s">
        <v>272</v>
      </c>
      <c r="G74" s="23" t="s">
        <v>180</v>
      </c>
    </row>
    <row r="75" spans="1:7" x14ac:dyDescent="0.25">
      <c r="A75" s="19" t="s">
        <v>6</v>
      </c>
      <c r="B75" s="19" t="s">
        <v>6</v>
      </c>
      <c r="C75" s="19" t="s">
        <v>6</v>
      </c>
      <c r="D75" s="20" t="s">
        <v>342</v>
      </c>
      <c r="E75" s="19" t="s">
        <v>343</v>
      </c>
      <c r="F75" s="20" t="s">
        <v>6</v>
      </c>
      <c r="G75" s="21" t="s">
        <v>206</v>
      </c>
    </row>
    <row r="76" spans="1:7" x14ac:dyDescent="0.25">
      <c r="A76" s="14" t="s">
        <v>14</v>
      </c>
      <c r="B76" s="14" t="s">
        <v>112</v>
      </c>
      <c r="C76" s="14" t="s">
        <v>197</v>
      </c>
      <c r="D76" s="22" t="s">
        <v>344</v>
      </c>
      <c r="E76" s="14" t="s">
        <v>345</v>
      </c>
      <c r="F76" s="22" t="s">
        <v>272</v>
      </c>
      <c r="G76" s="23" t="s">
        <v>180</v>
      </c>
    </row>
    <row r="77" spans="1:7" x14ac:dyDescent="0.25">
      <c r="A77" s="19" t="s">
        <v>6</v>
      </c>
      <c r="B77" s="19" t="s">
        <v>6</v>
      </c>
      <c r="C77" s="19" t="s">
        <v>6</v>
      </c>
      <c r="D77" s="20" t="s">
        <v>273</v>
      </c>
      <c r="E77" s="19" t="s">
        <v>346</v>
      </c>
      <c r="F77" s="20" t="s">
        <v>6</v>
      </c>
      <c r="G77" s="21" t="s">
        <v>206</v>
      </c>
    </row>
    <row r="78" spans="1:7" x14ac:dyDescent="0.25">
      <c r="A78" s="19" t="s">
        <v>6</v>
      </c>
      <c r="B78" s="19" t="s">
        <v>6</v>
      </c>
      <c r="C78" s="19" t="s">
        <v>6</v>
      </c>
      <c r="D78" s="20" t="s">
        <v>347</v>
      </c>
      <c r="E78" s="19" t="s">
        <v>348</v>
      </c>
      <c r="F78" s="20" t="s">
        <v>6</v>
      </c>
      <c r="G78" s="21" t="s">
        <v>206</v>
      </c>
    </row>
    <row r="79" spans="1:7" x14ac:dyDescent="0.25">
      <c r="A79" s="19" t="s">
        <v>6</v>
      </c>
      <c r="B79" s="19" t="s">
        <v>6</v>
      </c>
      <c r="C79" s="19" t="s">
        <v>6</v>
      </c>
      <c r="D79" s="20" t="s">
        <v>304</v>
      </c>
      <c r="E79" s="19" t="s">
        <v>349</v>
      </c>
      <c r="F79" s="20" t="s">
        <v>6</v>
      </c>
      <c r="G79" s="21" t="s">
        <v>206</v>
      </c>
    </row>
    <row r="80" spans="1:7" x14ac:dyDescent="0.25">
      <c r="A80" s="19" t="s">
        <v>6</v>
      </c>
      <c r="B80" s="19" t="s">
        <v>6</v>
      </c>
      <c r="C80" s="19" t="s">
        <v>6</v>
      </c>
      <c r="D80" s="20" t="s">
        <v>350</v>
      </c>
      <c r="E80" s="19" t="s">
        <v>351</v>
      </c>
      <c r="F80" s="20" t="s">
        <v>6</v>
      </c>
      <c r="G80" s="21" t="s">
        <v>206</v>
      </c>
    </row>
    <row r="81" spans="1:7" x14ac:dyDescent="0.25">
      <c r="A81" s="19" t="s">
        <v>6</v>
      </c>
      <c r="B81" s="19" t="s">
        <v>6</v>
      </c>
      <c r="C81" s="19" t="s">
        <v>6</v>
      </c>
      <c r="D81" s="20" t="s">
        <v>352</v>
      </c>
      <c r="E81" s="19" t="s">
        <v>353</v>
      </c>
      <c r="F81" s="20" t="s">
        <v>6</v>
      </c>
      <c r="G81" s="21" t="s">
        <v>206</v>
      </c>
    </row>
    <row r="82" spans="1:7" x14ac:dyDescent="0.25">
      <c r="A82" s="14" t="s">
        <v>14</v>
      </c>
      <c r="B82" s="14" t="s">
        <v>112</v>
      </c>
      <c r="C82" s="14" t="s">
        <v>197</v>
      </c>
      <c r="D82" s="22" t="s">
        <v>354</v>
      </c>
      <c r="E82" s="14" t="s">
        <v>355</v>
      </c>
      <c r="F82" s="22" t="s">
        <v>272</v>
      </c>
      <c r="G82" s="23" t="s">
        <v>180</v>
      </c>
    </row>
    <row r="83" spans="1:7" x14ac:dyDescent="0.25">
      <c r="A83" s="19" t="s">
        <v>6</v>
      </c>
      <c r="B83" s="19" t="s">
        <v>6</v>
      </c>
      <c r="C83" s="19" t="s">
        <v>6</v>
      </c>
      <c r="D83" s="20" t="s">
        <v>273</v>
      </c>
      <c r="E83" s="19" t="s">
        <v>356</v>
      </c>
      <c r="F83" s="20" t="s">
        <v>6</v>
      </c>
      <c r="G83" s="21" t="s">
        <v>206</v>
      </c>
    </row>
    <row r="84" spans="1:7" x14ac:dyDescent="0.25">
      <c r="A84" s="19" t="s">
        <v>6</v>
      </c>
      <c r="B84" s="19" t="s">
        <v>6</v>
      </c>
      <c r="C84" s="19" t="s">
        <v>6</v>
      </c>
      <c r="D84" s="20" t="s">
        <v>357</v>
      </c>
      <c r="E84" s="19" t="s">
        <v>358</v>
      </c>
      <c r="F84" s="20" t="s">
        <v>6</v>
      </c>
      <c r="G84" s="21" t="s">
        <v>206</v>
      </c>
    </row>
    <row r="85" spans="1:7" x14ac:dyDescent="0.25">
      <c r="A85" s="19" t="s">
        <v>6</v>
      </c>
      <c r="B85" s="19" t="s">
        <v>6</v>
      </c>
      <c r="C85" s="19" t="s">
        <v>6</v>
      </c>
      <c r="D85" s="20" t="s">
        <v>359</v>
      </c>
      <c r="E85" s="19" t="s">
        <v>360</v>
      </c>
      <c r="F85" s="20" t="s">
        <v>6</v>
      </c>
      <c r="G85" s="21" t="s">
        <v>206</v>
      </c>
    </row>
    <row r="86" spans="1:7" x14ac:dyDescent="0.25">
      <c r="A86" s="19" t="s">
        <v>6</v>
      </c>
      <c r="B86" s="19" t="s">
        <v>6</v>
      </c>
      <c r="C86" s="19" t="s">
        <v>6</v>
      </c>
      <c r="D86" s="20" t="s">
        <v>310</v>
      </c>
      <c r="E86" s="19" t="s">
        <v>361</v>
      </c>
      <c r="F86" s="20" t="s">
        <v>6</v>
      </c>
      <c r="G86" s="21" t="s">
        <v>206</v>
      </c>
    </row>
    <row r="87" spans="1:7" x14ac:dyDescent="0.25">
      <c r="A87" s="19" t="s">
        <v>6</v>
      </c>
      <c r="B87" s="19" t="s">
        <v>6</v>
      </c>
      <c r="C87" s="19" t="s">
        <v>6</v>
      </c>
      <c r="D87" s="20" t="s">
        <v>362</v>
      </c>
      <c r="E87" s="19" t="s">
        <v>363</v>
      </c>
      <c r="F87" s="20" t="s">
        <v>6</v>
      </c>
      <c r="G87" s="21" t="s">
        <v>206</v>
      </c>
    </row>
    <row r="88" spans="1:7" x14ac:dyDescent="0.25">
      <c r="A88" s="14" t="s">
        <v>14</v>
      </c>
      <c r="B88" s="14" t="s">
        <v>112</v>
      </c>
      <c r="C88" s="14" t="s">
        <v>197</v>
      </c>
      <c r="D88" s="22" t="s">
        <v>364</v>
      </c>
      <c r="E88" s="14" t="s">
        <v>365</v>
      </c>
      <c r="F88" s="22" t="s">
        <v>272</v>
      </c>
      <c r="G88" s="23" t="s">
        <v>180</v>
      </c>
    </row>
    <row r="89" spans="1:7" x14ac:dyDescent="0.25">
      <c r="A89" s="19" t="s">
        <v>6</v>
      </c>
      <c r="B89" s="19" t="s">
        <v>6</v>
      </c>
      <c r="C89" s="19" t="s">
        <v>6</v>
      </c>
      <c r="D89" s="20" t="s">
        <v>366</v>
      </c>
      <c r="E89" s="19" t="s">
        <v>367</v>
      </c>
      <c r="F89" s="20" t="s">
        <v>6</v>
      </c>
      <c r="G89" s="21" t="s">
        <v>206</v>
      </c>
    </row>
    <row r="90" spans="1:7" x14ac:dyDescent="0.25">
      <c r="A90" s="19" t="s">
        <v>6</v>
      </c>
      <c r="B90" s="19" t="s">
        <v>6</v>
      </c>
      <c r="C90" s="19" t="s">
        <v>6</v>
      </c>
      <c r="D90" s="20" t="s">
        <v>295</v>
      </c>
      <c r="E90" s="19" t="s">
        <v>368</v>
      </c>
      <c r="F90" s="20" t="s">
        <v>6</v>
      </c>
      <c r="G90" s="21" t="s">
        <v>206</v>
      </c>
    </row>
    <row r="91" spans="1:7" x14ac:dyDescent="0.25">
      <c r="A91" s="14" t="s">
        <v>14</v>
      </c>
      <c r="B91" s="14" t="s">
        <v>112</v>
      </c>
      <c r="C91" s="14" t="s">
        <v>197</v>
      </c>
      <c r="D91" s="22" t="s">
        <v>369</v>
      </c>
      <c r="E91" s="14" t="s">
        <v>370</v>
      </c>
      <c r="F91" s="22" t="s">
        <v>272</v>
      </c>
      <c r="G91" s="23" t="s">
        <v>180</v>
      </c>
    </row>
    <row r="92" spans="1:7" x14ac:dyDescent="0.25">
      <c r="A92" s="19" t="s">
        <v>6</v>
      </c>
      <c r="B92" s="19" t="s">
        <v>6</v>
      </c>
      <c r="C92" s="19" t="s">
        <v>6</v>
      </c>
      <c r="D92" s="20" t="s">
        <v>281</v>
      </c>
      <c r="E92" s="19" t="s">
        <v>371</v>
      </c>
      <c r="F92" s="20" t="s">
        <v>6</v>
      </c>
      <c r="G92" s="21" t="s">
        <v>206</v>
      </c>
    </row>
    <row r="93" spans="1:7" x14ac:dyDescent="0.25">
      <c r="A93" s="19" t="s">
        <v>6</v>
      </c>
      <c r="B93" s="19" t="s">
        <v>6</v>
      </c>
      <c r="C93" s="19" t="s">
        <v>6</v>
      </c>
      <c r="D93" s="20" t="s">
        <v>288</v>
      </c>
      <c r="E93" s="19" t="s">
        <v>372</v>
      </c>
      <c r="F93" s="20" t="s">
        <v>6</v>
      </c>
      <c r="G93" s="21" t="s">
        <v>206</v>
      </c>
    </row>
    <row r="94" spans="1:7" x14ac:dyDescent="0.25">
      <c r="A94" s="19" t="s">
        <v>6</v>
      </c>
      <c r="B94" s="19" t="s">
        <v>6</v>
      </c>
      <c r="C94" s="19" t="s">
        <v>6</v>
      </c>
      <c r="D94" s="20" t="s">
        <v>279</v>
      </c>
      <c r="E94" s="19" t="s">
        <v>373</v>
      </c>
      <c r="F94" s="20" t="s">
        <v>6</v>
      </c>
      <c r="G94" s="21" t="s">
        <v>206</v>
      </c>
    </row>
    <row r="95" spans="1:7" x14ac:dyDescent="0.25">
      <c r="A95" s="19" t="s">
        <v>6</v>
      </c>
      <c r="B95" s="19" t="s">
        <v>6</v>
      </c>
      <c r="C95" s="19" t="s">
        <v>6</v>
      </c>
      <c r="D95" s="20" t="s">
        <v>273</v>
      </c>
      <c r="E95" s="19" t="s">
        <v>374</v>
      </c>
      <c r="F95" s="20" t="s">
        <v>6</v>
      </c>
      <c r="G95" s="21" t="s">
        <v>206</v>
      </c>
    </row>
    <row r="96" spans="1:7" x14ac:dyDescent="0.25">
      <c r="A96" s="14" t="s">
        <v>14</v>
      </c>
      <c r="B96" s="14" t="s">
        <v>114</v>
      </c>
      <c r="C96" s="14" t="s">
        <v>197</v>
      </c>
      <c r="D96" s="22" t="s">
        <v>375</v>
      </c>
      <c r="E96" s="14" t="s">
        <v>343</v>
      </c>
      <c r="F96" s="22" t="s">
        <v>376</v>
      </c>
      <c r="G96" s="23" t="s">
        <v>180</v>
      </c>
    </row>
    <row r="97" spans="1:7" x14ac:dyDescent="0.25">
      <c r="A97" s="19" t="s">
        <v>6</v>
      </c>
      <c r="B97" s="19" t="s">
        <v>6</v>
      </c>
      <c r="C97" s="19" t="s">
        <v>6</v>
      </c>
      <c r="D97" s="20" t="s">
        <v>377</v>
      </c>
      <c r="E97" s="19" t="s">
        <v>343</v>
      </c>
      <c r="F97" s="20" t="s">
        <v>6</v>
      </c>
      <c r="G97" s="21" t="s">
        <v>206</v>
      </c>
    </row>
    <row r="98" spans="1:7" x14ac:dyDescent="0.25">
      <c r="A98" s="14" t="s">
        <v>14</v>
      </c>
      <c r="B98" s="14" t="s">
        <v>116</v>
      </c>
      <c r="C98" s="14" t="s">
        <v>197</v>
      </c>
      <c r="D98" s="22" t="s">
        <v>378</v>
      </c>
      <c r="E98" s="14" t="s">
        <v>379</v>
      </c>
      <c r="F98" s="22" t="s">
        <v>380</v>
      </c>
      <c r="G98" s="23" t="s">
        <v>180</v>
      </c>
    </row>
    <row r="99" spans="1:7" x14ac:dyDescent="0.25">
      <c r="A99" s="19" t="s">
        <v>6</v>
      </c>
      <c r="B99" s="19" t="s">
        <v>6</v>
      </c>
      <c r="C99" s="19" t="s">
        <v>6</v>
      </c>
      <c r="D99" s="20" t="s">
        <v>381</v>
      </c>
      <c r="E99" s="19" t="s">
        <v>382</v>
      </c>
      <c r="F99" s="20" t="s">
        <v>205</v>
      </c>
      <c r="G99" s="21" t="s">
        <v>206</v>
      </c>
    </row>
    <row r="100" spans="1:7" x14ac:dyDescent="0.25">
      <c r="A100" s="14" t="s">
        <v>14</v>
      </c>
      <c r="B100" s="14" t="s">
        <v>116</v>
      </c>
      <c r="C100" s="14" t="s">
        <v>197</v>
      </c>
      <c r="D100" s="22" t="s">
        <v>383</v>
      </c>
      <c r="E100" s="14" t="s">
        <v>384</v>
      </c>
      <c r="F100" s="22" t="s">
        <v>380</v>
      </c>
      <c r="G100" s="23" t="s">
        <v>180</v>
      </c>
    </row>
    <row r="101" spans="1:7" x14ac:dyDescent="0.25">
      <c r="A101" s="14" t="s">
        <v>14</v>
      </c>
      <c r="B101" s="14" t="s">
        <v>120</v>
      </c>
      <c r="C101" s="14" t="s">
        <v>385</v>
      </c>
      <c r="D101" s="22" t="s">
        <v>386</v>
      </c>
      <c r="E101" s="14" t="s">
        <v>303</v>
      </c>
      <c r="F101" s="22" t="s">
        <v>387</v>
      </c>
      <c r="G101" s="23" t="s">
        <v>180</v>
      </c>
    </row>
    <row r="102" spans="1:7" x14ac:dyDescent="0.25">
      <c r="A102" s="19" t="s">
        <v>6</v>
      </c>
      <c r="B102" s="19" t="s">
        <v>6</v>
      </c>
      <c r="C102" s="19" t="s">
        <v>6</v>
      </c>
      <c r="D102" s="20" t="s">
        <v>377</v>
      </c>
      <c r="E102" s="19" t="s">
        <v>388</v>
      </c>
      <c r="F102" s="20" t="s">
        <v>6</v>
      </c>
      <c r="G102" s="21" t="s">
        <v>206</v>
      </c>
    </row>
    <row r="103" spans="1:7" x14ac:dyDescent="0.25">
      <c r="A103" s="14" t="s">
        <v>14</v>
      </c>
      <c r="B103" s="14" t="s">
        <v>126</v>
      </c>
      <c r="C103" s="14" t="s">
        <v>385</v>
      </c>
      <c r="D103" s="22" t="s">
        <v>389</v>
      </c>
      <c r="E103" s="14" t="s">
        <v>390</v>
      </c>
      <c r="F103" s="22" t="s">
        <v>391</v>
      </c>
      <c r="G103" s="23" t="s">
        <v>180</v>
      </c>
    </row>
    <row r="104" spans="1:7" x14ac:dyDescent="0.25">
      <c r="A104" s="14" t="s">
        <v>14</v>
      </c>
      <c r="B104" s="14" t="s">
        <v>126</v>
      </c>
      <c r="C104" s="14" t="s">
        <v>385</v>
      </c>
      <c r="D104" s="22" t="s">
        <v>392</v>
      </c>
      <c r="E104" s="14" t="s">
        <v>390</v>
      </c>
      <c r="F104" s="22" t="s">
        <v>393</v>
      </c>
      <c r="G104" s="23" t="s">
        <v>180</v>
      </c>
    </row>
    <row r="105" spans="1:7" x14ac:dyDescent="0.25">
      <c r="A105" s="14" t="s">
        <v>14</v>
      </c>
      <c r="B105" s="14" t="s">
        <v>126</v>
      </c>
      <c r="C105" s="14" t="s">
        <v>385</v>
      </c>
      <c r="D105" s="22" t="s">
        <v>394</v>
      </c>
      <c r="E105" s="14" t="s">
        <v>390</v>
      </c>
      <c r="F105" s="22" t="s">
        <v>395</v>
      </c>
      <c r="G105" s="23" t="s">
        <v>180</v>
      </c>
    </row>
    <row r="106" spans="1:7" x14ac:dyDescent="0.25">
      <c r="A106" s="14" t="s">
        <v>14</v>
      </c>
      <c r="B106" s="14" t="s">
        <v>146</v>
      </c>
      <c r="C106" s="14" t="s">
        <v>396</v>
      </c>
      <c r="D106" s="22" t="s">
        <v>397</v>
      </c>
      <c r="E106" s="14" t="s">
        <v>398</v>
      </c>
      <c r="F106" s="22" t="s">
        <v>399</v>
      </c>
      <c r="G106" s="23" t="s">
        <v>180</v>
      </c>
    </row>
    <row r="107" spans="1:7" x14ac:dyDescent="0.25">
      <c r="A107" s="19" t="s">
        <v>6</v>
      </c>
      <c r="B107" s="19" t="s">
        <v>6</v>
      </c>
      <c r="C107" s="19" t="s">
        <v>6</v>
      </c>
      <c r="D107" s="20" t="s">
        <v>400</v>
      </c>
      <c r="E107" s="19" t="s">
        <v>401</v>
      </c>
      <c r="F107" s="20" t="s">
        <v>6</v>
      </c>
      <c r="G107" s="21" t="s">
        <v>206</v>
      </c>
    </row>
    <row r="108" spans="1:7" x14ac:dyDescent="0.25">
      <c r="A108" s="19" t="s">
        <v>6</v>
      </c>
      <c r="B108" s="19" t="s">
        <v>6</v>
      </c>
      <c r="C108" s="19" t="s">
        <v>6</v>
      </c>
      <c r="D108" s="20" t="s">
        <v>402</v>
      </c>
      <c r="E108" s="19" t="s">
        <v>403</v>
      </c>
      <c r="F108" s="20" t="s">
        <v>6</v>
      </c>
      <c r="G108" s="21" t="s">
        <v>206</v>
      </c>
    </row>
    <row r="109" spans="1:7" x14ac:dyDescent="0.25">
      <c r="A109" s="24" t="s">
        <v>15</v>
      </c>
      <c r="B109" s="24" t="s">
        <v>54</v>
      </c>
      <c r="C109" s="24" t="s">
        <v>185</v>
      </c>
      <c r="D109" s="25" t="s">
        <v>404</v>
      </c>
      <c r="E109" s="24" t="s">
        <v>405</v>
      </c>
      <c r="F109" s="25" t="s">
        <v>406</v>
      </c>
      <c r="G109" s="26" t="s">
        <v>180</v>
      </c>
    </row>
    <row r="110" spans="1:7" x14ac:dyDescent="0.25">
      <c r="A110" s="24" t="s">
        <v>15</v>
      </c>
      <c r="B110" s="24" t="s">
        <v>56</v>
      </c>
      <c r="C110" s="24" t="s">
        <v>185</v>
      </c>
      <c r="D110" s="25" t="s">
        <v>407</v>
      </c>
      <c r="E110" s="24" t="s">
        <v>408</v>
      </c>
      <c r="F110" s="25" t="s">
        <v>409</v>
      </c>
      <c r="G110" s="24" t="s">
        <v>6</v>
      </c>
    </row>
    <row r="111" spans="1:7" x14ac:dyDescent="0.25">
      <c r="A111" s="24" t="s">
        <v>15</v>
      </c>
      <c r="B111" s="24" t="s">
        <v>90</v>
      </c>
      <c r="C111" s="24" t="s">
        <v>193</v>
      </c>
      <c r="D111" s="25" t="s">
        <v>410</v>
      </c>
      <c r="E111" s="24" t="s">
        <v>195</v>
      </c>
      <c r="F111" s="25" t="s">
        <v>411</v>
      </c>
      <c r="G111" s="24" t="s">
        <v>6</v>
      </c>
    </row>
    <row r="112" spans="1:7" x14ac:dyDescent="0.25">
      <c r="A112" s="24" t="s">
        <v>15</v>
      </c>
      <c r="B112" s="24" t="s">
        <v>108</v>
      </c>
      <c r="C112" s="24" t="s">
        <v>264</v>
      </c>
      <c r="D112" s="25" t="s">
        <v>412</v>
      </c>
      <c r="E112" s="24" t="s">
        <v>413</v>
      </c>
      <c r="F112" s="25" t="s">
        <v>414</v>
      </c>
      <c r="G112" s="26" t="s">
        <v>180</v>
      </c>
    </row>
    <row r="113" spans="1:7" x14ac:dyDescent="0.25">
      <c r="A113" s="24" t="s">
        <v>15</v>
      </c>
      <c r="B113" s="24" t="s">
        <v>108</v>
      </c>
      <c r="C113" s="24" t="s">
        <v>264</v>
      </c>
      <c r="D113" s="25" t="s">
        <v>415</v>
      </c>
      <c r="E113" s="24" t="s">
        <v>416</v>
      </c>
      <c r="F113" s="25" t="s">
        <v>414</v>
      </c>
      <c r="G113" s="26" t="s">
        <v>180</v>
      </c>
    </row>
    <row r="114" spans="1:7" x14ac:dyDescent="0.25">
      <c r="A114" s="24" t="s">
        <v>15</v>
      </c>
      <c r="B114" s="24" t="s">
        <v>108</v>
      </c>
      <c r="C114" s="24" t="s">
        <v>264</v>
      </c>
      <c r="D114" s="25" t="s">
        <v>417</v>
      </c>
      <c r="E114" s="24" t="s">
        <v>418</v>
      </c>
      <c r="F114" s="25" t="s">
        <v>414</v>
      </c>
      <c r="G114" s="26" t="s">
        <v>180</v>
      </c>
    </row>
    <row r="115" spans="1:7" x14ac:dyDescent="0.25">
      <c r="A115" s="24" t="s">
        <v>15</v>
      </c>
      <c r="B115" s="24" t="s">
        <v>108</v>
      </c>
      <c r="C115" s="24" t="s">
        <v>264</v>
      </c>
      <c r="D115" s="25" t="s">
        <v>419</v>
      </c>
      <c r="E115" s="24" t="s">
        <v>420</v>
      </c>
      <c r="F115" s="25" t="s">
        <v>414</v>
      </c>
      <c r="G115" s="26" t="s">
        <v>180</v>
      </c>
    </row>
    <row r="116" spans="1:7" x14ac:dyDescent="0.25">
      <c r="A116" s="24" t="s">
        <v>15</v>
      </c>
      <c r="B116" s="24" t="s">
        <v>108</v>
      </c>
      <c r="C116" s="24" t="s">
        <v>264</v>
      </c>
      <c r="D116" s="25" t="s">
        <v>421</v>
      </c>
      <c r="E116" s="24" t="s">
        <v>422</v>
      </c>
      <c r="F116" s="25" t="s">
        <v>414</v>
      </c>
      <c r="G116" s="26" t="s">
        <v>180</v>
      </c>
    </row>
    <row r="117" spans="1:7" x14ac:dyDescent="0.25">
      <c r="A117" s="24" t="s">
        <v>15</v>
      </c>
      <c r="B117" s="24" t="s">
        <v>118</v>
      </c>
      <c r="C117" s="24" t="s">
        <v>197</v>
      </c>
      <c r="D117" s="25" t="s">
        <v>423</v>
      </c>
      <c r="E117" s="24" t="s">
        <v>187</v>
      </c>
      <c r="F117" s="25" t="s">
        <v>376</v>
      </c>
      <c r="G117" s="26" t="s">
        <v>180</v>
      </c>
    </row>
    <row r="118" spans="1:7" x14ac:dyDescent="0.25">
      <c r="A118" s="19" t="s">
        <v>6</v>
      </c>
      <c r="B118" s="19" t="s">
        <v>6</v>
      </c>
      <c r="C118" s="19" t="s">
        <v>6</v>
      </c>
      <c r="D118" s="20" t="s">
        <v>381</v>
      </c>
      <c r="E118" s="19" t="s">
        <v>382</v>
      </c>
      <c r="F118" s="20" t="s">
        <v>205</v>
      </c>
      <c r="G118" s="21" t="s">
        <v>206</v>
      </c>
    </row>
    <row r="119" spans="1:7" x14ac:dyDescent="0.25">
      <c r="A119" s="24" t="s">
        <v>15</v>
      </c>
      <c r="B119" s="24" t="s">
        <v>128</v>
      </c>
      <c r="C119" s="24" t="s">
        <v>385</v>
      </c>
      <c r="D119" s="25" t="s">
        <v>424</v>
      </c>
      <c r="E119" s="24" t="s">
        <v>425</v>
      </c>
      <c r="F119" s="25" t="s">
        <v>426</v>
      </c>
      <c r="G119" s="26" t="s">
        <v>180</v>
      </c>
    </row>
    <row r="120" spans="1:7" x14ac:dyDescent="0.25">
      <c r="A120" s="24" t="s">
        <v>15</v>
      </c>
      <c r="B120" s="24" t="s">
        <v>128</v>
      </c>
      <c r="C120" s="24" t="s">
        <v>385</v>
      </c>
      <c r="D120" s="25" t="s">
        <v>427</v>
      </c>
      <c r="E120" s="24" t="s">
        <v>428</v>
      </c>
      <c r="F120" s="25" t="s">
        <v>426</v>
      </c>
      <c r="G120" s="26" t="s">
        <v>180</v>
      </c>
    </row>
    <row r="121" spans="1:7" x14ac:dyDescent="0.25">
      <c r="A121" s="24" t="s">
        <v>15</v>
      </c>
      <c r="B121" s="24" t="s">
        <v>128</v>
      </c>
      <c r="C121" s="24" t="s">
        <v>385</v>
      </c>
      <c r="D121" s="25" t="s">
        <v>429</v>
      </c>
      <c r="E121" s="24" t="s">
        <v>430</v>
      </c>
      <c r="F121" s="25" t="s">
        <v>426</v>
      </c>
      <c r="G121" s="26" t="s">
        <v>180</v>
      </c>
    </row>
    <row r="122" spans="1:7" x14ac:dyDescent="0.25">
      <c r="A122" s="24" t="s">
        <v>15</v>
      </c>
      <c r="B122" s="24" t="s">
        <v>128</v>
      </c>
      <c r="C122" s="24" t="s">
        <v>385</v>
      </c>
      <c r="D122" s="25" t="s">
        <v>431</v>
      </c>
      <c r="E122" s="24" t="s">
        <v>432</v>
      </c>
      <c r="F122" s="25" t="s">
        <v>426</v>
      </c>
      <c r="G122" s="26" t="s">
        <v>180</v>
      </c>
    </row>
  </sheetData>
  <autoFilter ref="A1:G122"/>
  <hyperlinks>
    <hyperlink ref="G2" r:id="rId1"/>
    <hyperlink ref="G3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30" r:id="rId23"/>
    <hyperlink ref="G31" r:id="rId24"/>
    <hyperlink ref="G32" r:id="rId25"/>
    <hyperlink ref="G33" r:id="rId26"/>
    <hyperlink ref="G34" r:id="rId27"/>
    <hyperlink ref="G35" r:id="rId28"/>
    <hyperlink ref="G36" r:id="rId29"/>
    <hyperlink ref="G37" r:id="rId30"/>
    <hyperlink ref="G38" r:id="rId31"/>
    <hyperlink ref="G39" r:id="rId32"/>
    <hyperlink ref="G40" r:id="rId33"/>
    <hyperlink ref="G41" r:id="rId34"/>
    <hyperlink ref="G42" r:id="rId35"/>
    <hyperlink ref="G43" r:id="rId36"/>
    <hyperlink ref="G44" r:id="rId37"/>
    <hyperlink ref="G45" r:id="rId38"/>
    <hyperlink ref="G46" r:id="rId39"/>
    <hyperlink ref="G47" r:id="rId40"/>
    <hyperlink ref="G48" r:id="rId41"/>
    <hyperlink ref="G49" r:id="rId42"/>
    <hyperlink ref="G50" r:id="rId43"/>
    <hyperlink ref="G51" r:id="rId44"/>
    <hyperlink ref="G52" r:id="rId45"/>
    <hyperlink ref="G53" r:id="rId46"/>
    <hyperlink ref="G54" r:id="rId47"/>
    <hyperlink ref="G55" r:id="rId48"/>
    <hyperlink ref="G56" r:id="rId49"/>
    <hyperlink ref="G57" r:id="rId50"/>
    <hyperlink ref="G58" r:id="rId51"/>
    <hyperlink ref="G59" r:id="rId52"/>
    <hyperlink ref="G60" r:id="rId53"/>
    <hyperlink ref="G61" r:id="rId54"/>
    <hyperlink ref="G62" r:id="rId55"/>
    <hyperlink ref="G63" r:id="rId56"/>
    <hyperlink ref="G64" r:id="rId57"/>
    <hyperlink ref="G65" r:id="rId58"/>
    <hyperlink ref="G66" r:id="rId59"/>
    <hyperlink ref="G67" r:id="rId60"/>
    <hyperlink ref="G68" r:id="rId61"/>
    <hyperlink ref="G69" r:id="rId62"/>
    <hyperlink ref="G70" r:id="rId63"/>
    <hyperlink ref="G71" r:id="rId64"/>
    <hyperlink ref="G72" r:id="rId65"/>
    <hyperlink ref="G73" r:id="rId66"/>
    <hyperlink ref="G74" r:id="rId67"/>
    <hyperlink ref="G75" r:id="rId68"/>
    <hyperlink ref="G76" r:id="rId69"/>
    <hyperlink ref="G77" r:id="rId70"/>
    <hyperlink ref="G78" r:id="rId71"/>
    <hyperlink ref="G79" r:id="rId72"/>
    <hyperlink ref="G80" r:id="rId73"/>
    <hyperlink ref="G81" r:id="rId74"/>
    <hyperlink ref="G82" r:id="rId75"/>
    <hyperlink ref="G83" r:id="rId76"/>
    <hyperlink ref="G84" r:id="rId77"/>
    <hyperlink ref="G85" r:id="rId78"/>
    <hyperlink ref="G86" r:id="rId79"/>
    <hyperlink ref="G87" r:id="rId80"/>
    <hyperlink ref="G88" r:id="rId81"/>
    <hyperlink ref="G89" r:id="rId82"/>
    <hyperlink ref="G90" r:id="rId83"/>
    <hyperlink ref="G91" r:id="rId84"/>
    <hyperlink ref="G92" r:id="rId85"/>
    <hyperlink ref="G93" r:id="rId86"/>
    <hyperlink ref="G94" r:id="rId87"/>
    <hyperlink ref="G95" r:id="rId88"/>
    <hyperlink ref="G96" r:id="rId89"/>
    <hyperlink ref="G97" r:id="rId90"/>
    <hyperlink ref="G98" r:id="rId91"/>
    <hyperlink ref="G99" r:id="rId92"/>
    <hyperlink ref="G100" r:id="rId93"/>
    <hyperlink ref="G101" r:id="rId94"/>
    <hyperlink ref="G102" r:id="rId95"/>
    <hyperlink ref="G103" r:id="rId96"/>
    <hyperlink ref="G104" r:id="rId97"/>
    <hyperlink ref="G105" r:id="rId98"/>
    <hyperlink ref="G106" r:id="rId99"/>
    <hyperlink ref="G107" r:id="rId100"/>
    <hyperlink ref="G108" r:id="rId101"/>
    <hyperlink ref="G109" r:id="rId102"/>
    <hyperlink ref="G112" r:id="rId103"/>
    <hyperlink ref="G113" r:id="rId104"/>
    <hyperlink ref="G114" r:id="rId105"/>
    <hyperlink ref="G115" r:id="rId106"/>
    <hyperlink ref="G116" r:id="rId107"/>
    <hyperlink ref="G117" r:id="rId108"/>
    <hyperlink ref="G118" r:id="rId109"/>
    <hyperlink ref="G119" r:id="rId110"/>
    <hyperlink ref="G120" r:id="rId111"/>
    <hyperlink ref="G121" r:id="rId112"/>
    <hyperlink ref="G122" r:id="rId1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433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22" t="s">
        <v>397</v>
      </c>
      <c r="D5" s="14" t="s">
        <v>398</v>
      </c>
      <c r="E5" s="22" t="s">
        <v>399</v>
      </c>
      <c r="F5" s="23" t="s">
        <v>180</v>
      </c>
    </row>
    <row r="6" spans="1:6" x14ac:dyDescent="0.25">
      <c r="A6" s="19" t="s">
        <v>6</v>
      </c>
      <c r="B6" s="19" t="s">
        <v>6</v>
      </c>
      <c r="C6" s="20" t="s">
        <v>400</v>
      </c>
      <c r="D6" s="19" t="s">
        <v>401</v>
      </c>
      <c r="E6" s="20" t="s">
        <v>6</v>
      </c>
      <c r="F6" s="21" t="s">
        <v>206</v>
      </c>
    </row>
    <row r="7" spans="1:6" x14ac:dyDescent="0.25">
      <c r="A7" s="19" t="s">
        <v>6</v>
      </c>
      <c r="B7" s="19" t="s">
        <v>6</v>
      </c>
      <c r="C7" s="20" t="s">
        <v>402</v>
      </c>
      <c r="D7" s="19" t="s">
        <v>403</v>
      </c>
      <c r="E7" s="20" t="s">
        <v>6</v>
      </c>
      <c r="F7" s="21" t="s">
        <v>206</v>
      </c>
    </row>
  </sheetData>
  <autoFilter ref="A4:F7"/>
  <mergeCells count="1">
    <mergeCell ref="A1:F1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434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152</v>
      </c>
      <c r="C5" s="17" t="s">
        <v>215</v>
      </c>
      <c r="D5" s="16" t="s">
        <v>216</v>
      </c>
      <c r="E5" s="17" t="s">
        <v>217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218</v>
      </c>
      <c r="D6" s="19" t="s">
        <v>219</v>
      </c>
      <c r="E6" s="20" t="s">
        <v>220</v>
      </c>
      <c r="F6" s="21" t="s">
        <v>206</v>
      </c>
    </row>
  </sheetData>
  <autoFilter ref="A4:F6"/>
  <mergeCells count="1">
    <mergeCell ref="A1:F1"/>
  </mergeCells>
  <hyperlinks>
    <hyperlink ref="F5" r:id="rId1"/>
    <hyperlink ref="F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435</v>
      </c>
    </row>
    <row r="4" spans="1:1" x14ac:dyDescent="0.25">
      <c r="A4" s="29" t="s">
        <v>436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437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38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6" t="s">
        <v>13</v>
      </c>
      <c r="B6" s="16" t="s">
        <v>70</v>
      </c>
      <c r="C6" s="17" t="s">
        <v>190</v>
      </c>
      <c r="D6" s="16" t="s">
        <v>191</v>
      </c>
      <c r="E6" s="17" t="s">
        <v>192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198</v>
      </c>
      <c r="D7" s="16" t="s">
        <v>199</v>
      </c>
      <c r="E7" s="17" t="s">
        <v>200</v>
      </c>
      <c r="F7" s="18" t="s">
        <v>180</v>
      </c>
    </row>
    <row r="8" spans="1:6" x14ac:dyDescent="0.25">
      <c r="A8" s="16" t="s">
        <v>13</v>
      </c>
      <c r="B8" s="16" t="s">
        <v>110</v>
      </c>
      <c r="C8" s="17" t="s">
        <v>201</v>
      </c>
      <c r="D8" s="16" t="s">
        <v>202</v>
      </c>
      <c r="E8" s="17" t="s">
        <v>200</v>
      </c>
      <c r="F8" s="18" t="s">
        <v>180</v>
      </c>
    </row>
    <row r="9" spans="1:6" x14ac:dyDescent="0.25">
      <c r="A9" s="19" t="s">
        <v>6</v>
      </c>
      <c r="B9" s="19" t="s">
        <v>6</v>
      </c>
      <c r="C9" s="20" t="s">
        <v>203</v>
      </c>
      <c r="D9" s="19" t="s">
        <v>204</v>
      </c>
      <c r="E9" s="20" t="s">
        <v>205</v>
      </c>
      <c r="F9" s="21" t="s">
        <v>206</v>
      </c>
    </row>
    <row r="10" spans="1:6" x14ac:dyDescent="0.25">
      <c r="A10" s="16" t="s">
        <v>13</v>
      </c>
      <c r="B10" s="16" t="s">
        <v>110</v>
      </c>
      <c r="C10" s="17" t="s">
        <v>207</v>
      </c>
      <c r="D10" s="16" t="s">
        <v>208</v>
      </c>
      <c r="E10" s="17" t="s">
        <v>200</v>
      </c>
      <c r="F10" s="18" t="s">
        <v>180</v>
      </c>
    </row>
    <row r="11" spans="1:6" x14ac:dyDescent="0.25">
      <c r="A11" s="16" t="s">
        <v>13</v>
      </c>
      <c r="B11" s="16" t="s">
        <v>110</v>
      </c>
      <c r="C11" s="17" t="s">
        <v>209</v>
      </c>
      <c r="D11" s="16" t="s">
        <v>210</v>
      </c>
      <c r="E11" s="17" t="s">
        <v>200</v>
      </c>
      <c r="F11" s="18" t="s">
        <v>180</v>
      </c>
    </row>
    <row r="12" spans="1:6" x14ac:dyDescent="0.25">
      <c r="A12" s="16" t="s">
        <v>13</v>
      </c>
      <c r="B12" s="16" t="s">
        <v>110</v>
      </c>
      <c r="C12" s="17" t="s">
        <v>211</v>
      </c>
      <c r="D12" s="16" t="s">
        <v>191</v>
      </c>
      <c r="E12" s="17" t="s">
        <v>200</v>
      </c>
      <c r="F12" s="18" t="s">
        <v>180</v>
      </c>
    </row>
    <row r="13" spans="1:6" x14ac:dyDescent="0.25">
      <c r="A13" s="16" t="s">
        <v>13</v>
      </c>
      <c r="B13" s="16" t="s">
        <v>110</v>
      </c>
      <c r="C13" s="17" t="s">
        <v>212</v>
      </c>
      <c r="D13" s="16" t="s">
        <v>213</v>
      </c>
      <c r="E13" s="17" t="s">
        <v>200</v>
      </c>
      <c r="F13" s="18" t="s">
        <v>180</v>
      </c>
    </row>
    <row r="14" spans="1:6" x14ac:dyDescent="0.25">
      <c r="A14" s="14" t="s">
        <v>14</v>
      </c>
      <c r="B14" s="14" t="s">
        <v>60</v>
      </c>
      <c r="C14" s="22" t="s">
        <v>229</v>
      </c>
      <c r="D14" s="14" t="s">
        <v>230</v>
      </c>
      <c r="E14" s="22" t="s">
        <v>231</v>
      </c>
      <c r="F14" s="23" t="s">
        <v>180</v>
      </c>
    </row>
    <row r="15" spans="1:6" x14ac:dyDescent="0.25">
      <c r="A15" s="14" t="s">
        <v>14</v>
      </c>
      <c r="B15" s="14" t="s">
        <v>62</v>
      </c>
      <c r="C15" s="22" t="s">
        <v>232</v>
      </c>
      <c r="D15" s="14" t="s">
        <v>233</v>
      </c>
      <c r="E15" s="22" t="s">
        <v>234</v>
      </c>
      <c r="F15" s="23" t="s">
        <v>180</v>
      </c>
    </row>
    <row r="16" spans="1:6" x14ac:dyDescent="0.25">
      <c r="A16" s="14" t="s">
        <v>14</v>
      </c>
      <c r="B16" s="14" t="s">
        <v>62</v>
      </c>
      <c r="C16" s="22" t="s">
        <v>235</v>
      </c>
      <c r="D16" s="14" t="s">
        <v>236</v>
      </c>
      <c r="E16" s="22" t="s">
        <v>234</v>
      </c>
      <c r="F16" s="23" t="s">
        <v>180</v>
      </c>
    </row>
    <row r="17" spans="1:6" x14ac:dyDescent="0.25">
      <c r="A17" s="14" t="s">
        <v>14</v>
      </c>
      <c r="B17" s="14" t="s">
        <v>62</v>
      </c>
      <c r="C17" s="22" t="s">
        <v>237</v>
      </c>
      <c r="D17" s="14" t="s">
        <v>238</v>
      </c>
      <c r="E17" s="22" t="s">
        <v>234</v>
      </c>
      <c r="F17" s="23" t="s">
        <v>180</v>
      </c>
    </row>
    <row r="18" spans="1:6" x14ac:dyDescent="0.25">
      <c r="A18" s="14" t="s">
        <v>14</v>
      </c>
      <c r="B18" s="14" t="s">
        <v>62</v>
      </c>
      <c r="C18" s="22" t="s">
        <v>239</v>
      </c>
      <c r="D18" s="14" t="s">
        <v>240</v>
      </c>
      <c r="E18" s="22" t="s">
        <v>234</v>
      </c>
      <c r="F18" s="23" t="s">
        <v>180</v>
      </c>
    </row>
    <row r="19" spans="1:6" x14ac:dyDescent="0.25">
      <c r="A19" s="14" t="s">
        <v>14</v>
      </c>
      <c r="B19" s="14" t="s">
        <v>62</v>
      </c>
      <c r="C19" s="22" t="s">
        <v>241</v>
      </c>
      <c r="D19" s="14" t="s">
        <v>242</v>
      </c>
      <c r="E19" s="22" t="s">
        <v>234</v>
      </c>
      <c r="F19" s="23" t="s">
        <v>180</v>
      </c>
    </row>
    <row r="20" spans="1:6" x14ac:dyDescent="0.25">
      <c r="A20" s="14" t="s">
        <v>14</v>
      </c>
      <c r="B20" s="14" t="s">
        <v>112</v>
      </c>
      <c r="C20" s="22" t="s">
        <v>270</v>
      </c>
      <c r="D20" s="14" t="s">
        <v>271</v>
      </c>
      <c r="E20" s="22" t="s">
        <v>272</v>
      </c>
      <c r="F20" s="23" t="s">
        <v>180</v>
      </c>
    </row>
    <row r="21" spans="1:6" x14ac:dyDescent="0.25">
      <c r="A21" s="19" t="s">
        <v>6</v>
      </c>
      <c r="B21" s="19" t="s">
        <v>6</v>
      </c>
      <c r="C21" s="20" t="s">
        <v>273</v>
      </c>
      <c r="D21" s="19" t="s">
        <v>274</v>
      </c>
      <c r="E21" s="20" t="s">
        <v>6</v>
      </c>
      <c r="F21" s="21" t="s">
        <v>206</v>
      </c>
    </row>
    <row r="22" spans="1:6" x14ac:dyDescent="0.25">
      <c r="A22" s="19" t="s">
        <v>6</v>
      </c>
      <c r="B22" s="19" t="s">
        <v>6</v>
      </c>
      <c r="C22" s="20" t="s">
        <v>275</v>
      </c>
      <c r="D22" s="19" t="s">
        <v>276</v>
      </c>
      <c r="E22" s="20" t="s">
        <v>6</v>
      </c>
      <c r="F22" s="21" t="s">
        <v>206</v>
      </c>
    </row>
    <row r="23" spans="1:6" x14ac:dyDescent="0.25">
      <c r="A23" s="19" t="s">
        <v>6</v>
      </c>
      <c r="B23" s="19" t="s">
        <v>6</v>
      </c>
      <c r="C23" s="20" t="s">
        <v>277</v>
      </c>
      <c r="D23" s="19" t="s">
        <v>278</v>
      </c>
      <c r="E23" s="20" t="s">
        <v>6</v>
      </c>
      <c r="F23" s="21" t="s">
        <v>206</v>
      </c>
    </row>
    <row r="24" spans="1:6" x14ac:dyDescent="0.25">
      <c r="A24" s="19" t="s">
        <v>6</v>
      </c>
      <c r="B24" s="19" t="s">
        <v>6</v>
      </c>
      <c r="C24" s="20" t="s">
        <v>279</v>
      </c>
      <c r="D24" s="19" t="s">
        <v>280</v>
      </c>
      <c r="E24" s="20" t="s">
        <v>6</v>
      </c>
      <c r="F24" s="21" t="s">
        <v>206</v>
      </c>
    </row>
    <row r="25" spans="1:6" x14ac:dyDescent="0.25">
      <c r="A25" s="19" t="s">
        <v>6</v>
      </c>
      <c r="B25" s="19" t="s">
        <v>6</v>
      </c>
      <c r="C25" s="20" t="s">
        <v>281</v>
      </c>
      <c r="D25" s="19" t="s">
        <v>282</v>
      </c>
      <c r="E25" s="20" t="s">
        <v>6</v>
      </c>
      <c r="F25" s="21" t="s">
        <v>206</v>
      </c>
    </row>
    <row r="26" spans="1:6" x14ac:dyDescent="0.25">
      <c r="A26" s="14" t="s">
        <v>14</v>
      </c>
      <c r="B26" s="14" t="s">
        <v>112</v>
      </c>
      <c r="C26" s="22" t="s">
        <v>283</v>
      </c>
      <c r="D26" s="14" t="s">
        <v>284</v>
      </c>
      <c r="E26" s="22" t="s">
        <v>272</v>
      </c>
      <c r="F26" s="23" t="s">
        <v>180</v>
      </c>
    </row>
    <row r="27" spans="1:6" x14ac:dyDescent="0.25">
      <c r="A27" s="19" t="s">
        <v>6</v>
      </c>
      <c r="B27" s="19" t="s">
        <v>6</v>
      </c>
      <c r="C27" s="20" t="s">
        <v>273</v>
      </c>
      <c r="D27" s="19" t="s">
        <v>285</v>
      </c>
      <c r="E27" s="20" t="s">
        <v>6</v>
      </c>
      <c r="F27" s="21" t="s">
        <v>206</v>
      </c>
    </row>
    <row r="28" spans="1:6" x14ac:dyDescent="0.25">
      <c r="A28" s="19" t="s">
        <v>6</v>
      </c>
      <c r="B28" s="19" t="s">
        <v>6</v>
      </c>
      <c r="C28" s="20" t="s">
        <v>286</v>
      </c>
      <c r="D28" s="19" t="s">
        <v>287</v>
      </c>
      <c r="E28" s="20" t="s">
        <v>6</v>
      </c>
      <c r="F28" s="21" t="s">
        <v>206</v>
      </c>
    </row>
    <row r="29" spans="1:6" x14ac:dyDescent="0.25">
      <c r="A29" s="19" t="s">
        <v>6</v>
      </c>
      <c r="B29" s="19" t="s">
        <v>6</v>
      </c>
      <c r="C29" s="20" t="s">
        <v>288</v>
      </c>
      <c r="D29" s="19" t="s">
        <v>289</v>
      </c>
      <c r="E29" s="20" t="s">
        <v>6</v>
      </c>
      <c r="F29" s="21" t="s">
        <v>206</v>
      </c>
    </row>
    <row r="30" spans="1:6" x14ac:dyDescent="0.25">
      <c r="A30" s="19" t="s">
        <v>6</v>
      </c>
      <c r="B30" s="19" t="s">
        <v>6</v>
      </c>
      <c r="C30" s="20" t="s">
        <v>290</v>
      </c>
      <c r="D30" s="19" t="s">
        <v>291</v>
      </c>
      <c r="E30" s="20" t="s">
        <v>6</v>
      </c>
      <c r="F30" s="21" t="s">
        <v>206</v>
      </c>
    </row>
    <row r="31" spans="1:6" x14ac:dyDescent="0.25">
      <c r="A31" s="14" t="s">
        <v>14</v>
      </c>
      <c r="B31" s="14" t="s">
        <v>112</v>
      </c>
      <c r="C31" s="22" t="s">
        <v>292</v>
      </c>
      <c r="D31" s="14" t="s">
        <v>293</v>
      </c>
      <c r="E31" s="22" t="s">
        <v>272</v>
      </c>
      <c r="F31" s="23" t="s">
        <v>180</v>
      </c>
    </row>
    <row r="32" spans="1:6" x14ac:dyDescent="0.25">
      <c r="A32" s="19" t="s">
        <v>6</v>
      </c>
      <c r="B32" s="19" t="s">
        <v>6</v>
      </c>
      <c r="C32" s="20" t="s">
        <v>273</v>
      </c>
      <c r="D32" s="19" t="s">
        <v>294</v>
      </c>
      <c r="E32" s="20" t="s">
        <v>6</v>
      </c>
      <c r="F32" s="21" t="s">
        <v>206</v>
      </c>
    </row>
    <row r="33" spans="1:6" x14ac:dyDescent="0.25">
      <c r="A33" s="19" t="s">
        <v>6</v>
      </c>
      <c r="B33" s="19" t="s">
        <v>6</v>
      </c>
      <c r="C33" s="20" t="s">
        <v>295</v>
      </c>
      <c r="D33" s="19" t="s">
        <v>296</v>
      </c>
      <c r="E33" s="20" t="s">
        <v>6</v>
      </c>
      <c r="F33" s="21" t="s">
        <v>206</v>
      </c>
    </row>
    <row r="34" spans="1:6" x14ac:dyDescent="0.25">
      <c r="A34" s="19" t="s">
        <v>6</v>
      </c>
      <c r="B34" s="19" t="s">
        <v>6</v>
      </c>
      <c r="C34" s="20" t="s">
        <v>297</v>
      </c>
      <c r="D34" s="19" t="s">
        <v>298</v>
      </c>
      <c r="E34" s="20" t="s">
        <v>6</v>
      </c>
      <c r="F34" s="21" t="s">
        <v>206</v>
      </c>
    </row>
    <row r="35" spans="1:6" x14ac:dyDescent="0.25">
      <c r="A35" s="19" t="s">
        <v>6</v>
      </c>
      <c r="B35" s="19" t="s">
        <v>6</v>
      </c>
      <c r="C35" s="20" t="s">
        <v>299</v>
      </c>
      <c r="D35" s="19" t="s">
        <v>300</v>
      </c>
      <c r="E35" s="20" t="s">
        <v>6</v>
      </c>
      <c r="F35" s="21" t="s">
        <v>206</v>
      </c>
    </row>
    <row r="36" spans="1:6" x14ac:dyDescent="0.25">
      <c r="A36" s="19" t="s">
        <v>6</v>
      </c>
      <c r="B36" s="19" t="s">
        <v>6</v>
      </c>
      <c r="C36" s="20" t="s">
        <v>281</v>
      </c>
      <c r="D36" s="19" t="s">
        <v>301</v>
      </c>
      <c r="E36" s="20" t="s">
        <v>6</v>
      </c>
      <c r="F36" s="21" t="s">
        <v>206</v>
      </c>
    </row>
    <row r="37" spans="1:6" x14ac:dyDescent="0.25">
      <c r="A37" s="14" t="s">
        <v>14</v>
      </c>
      <c r="B37" s="14" t="s">
        <v>112</v>
      </c>
      <c r="C37" s="22" t="s">
        <v>302</v>
      </c>
      <c r="D37" s="14" t="s">
        <v>303</v>
      </c>
      <c r="E37" s="22" t="s">
        <v>272</v>
      </c>
      <c r="F37" s="23" t="s">
        <v>180</v>
      </c>
    </row>
    <row r="38" spans="1:6" x14ac:dyDescent="0.25">
      <c r="A38" s="19" t="s">
        <v>6</v>
      </c>
      <c r="B38" s="19" t="s">
        <v>6</v>
      </c>
      <c r="C38" s="20" t="s">
        <v>304</v>
      </c>
      <c r="D38" s="19" t="s">
        <v>305</v>
      </c>
      <c r="E38" s="20" t="s">
        <v>6</v>
      </c>
      <c r="F38" s="21" t="s">
        <v>206</v>
      </c>
    </row>
    <row r="39" spans="1:6" x14ac:dyDescent="0.25">
      <c r="A39" s="19" t="s">
        <v>6</v>
      </c>
      <c r="B39" s="19" t="s">
        <v>6</v>
      </c>
      <c r="C39" s="20" t="s">
        <v>306</v>
      </c>
      <c r="D39" s="19" t="s">
        <v>307</v>
      </c>
      <c r="E39" s="20" t="s">
        <v>6</v>
      </c>
      <c r="F39" s="21" t="s">
        <v>206</v>
      </c>
    </row>
    <row r="40" spans="1:6" x14ac:dyDescent="0.25">
      <c r="A40" s="19" t="s">
        <v>6</v>
      </c>
      <c r="B40" s="19" t="s">
        <v>6</v>
      </c>
      <c r="C40" s="20" t="s">
        <v>308</v>
      </c>
      <c r="D40" s="19" t="s">
        <v>309</v>
      </c>
      <c r="E40" s="20" t="s">
        <v>6</v>
      </c>
      <c r="F40" s="21" t="s">
        <v>206</v>
      </c>
    </row>
    <row r="41" spans="1:6" x14ac:dyDescent="0.25">
      <c r="A41" s="19" t="s">
        <v>6</v>
      </c>
      <c r="B41" s="19" t="s">
        <v>6</v>
      </c>
      <c r="C41" s="20" t="s">
        <v>310</v>
      </c>
      <c r="D41" s="19" t="s">
        <v>311</v>
      </c>
      <c r="E41" s="20" t="s">
        <v>6</v>
      </c>
      <c r="F41" s="21" t="s">
        <v>206</v>
      </c>
    </row>
    <row r="42" spans="1:6" x14ac:dyDescent="0.25">
      <c r="A42" s="14" t="s">
        <v>14</v>
      </c>
      <c r="B42" s="14" t="s">
        <v>112</v>
      </c>
      <c r="C42" s="22" t="s">
        <v>312</v>
      </c>
      <c r="D42" s="14" t="s">
        <v>313</v>
      </c>
      <c r="E42" s="22" t="s">
        <v>272</v>
      </c>
      <c r="F42" s="23" t="s">
        <v>180</v>
      </c>
    </row>
    <row r="43" spans="1:6" x14ac:dyDescent="0.25">
      <c r="A43" s="19" t="s">
        <v>6</v>
      </c>
      <c r="B43" s="19" t="s">
        <v>6</v>
      </c>
      <c r="C43" s="20" t="s">
        <v>273</v>
      </c>
      <c r="D43" s="19" t="s">
        <v>314</v>
      </c>
      <c r="E43" s="20" t="s">
        <v>6</v>
      </c>
      <c r="F43" s="21" t="s">
        <v>206</v>
      </c>
    </row>
    <row r="44" spans="1:6" x14ac:dyDescent="0.25">
      <c r="A44" s="19" t="s">
        <v>6</v>
      </c>
      <c r="B44" s="19" t="s">
        <v>6</v>
      </c>
      <c r="C44" s="20" t="s">
        <v>315</v>
      </c>
      <c r="D44" s="19" t="s">
        <v>316</v>
      </c>
      <c r="E44" s="20" t="s">
        <v>6</v>
      </c>
      <c r="F44" s="21" t="s">
        <v>206</v>
      </c>
    </row>
    <row r="45" spans="1:6" x14ac:dyDescent="0.25">
      <c r="A45" s="19" t="s">
        <v>6</v>
      </c>
      <c r="B45" s="19" t="s">
        <v>6</v>
      </c>
      <c r="C45" s="20" t="s">
        <v>317</v>
      </c>
      <c r="D45" s="19" t="s">
        <v>318</v>
      </c>
      <c r="E45" s="20" t="s">
        <v>6</v>
      </c>
      <c r="F45" s="21" t="s">
        <v>206</v>
      </c>
    </row>
    <row r="46" spans="1:6" x14ac:dyDescent="0.25">
      <c r="A46" s="19" t="s">
        <v>6</v>
      </c>
      <c r="B46" s="19" t="s">
        <v>6</v>
      </c>
      <c r="C46" s="20" t="s">
        <v>319</v>
      </c>
      <c r="D46" s="19" t="s">
        <v>320</v>
      </c>
      <c r="E46" s="20" t="s">
        <v>6</v>
      </c>
      <c r="F46" s="21" t="s">
        <v>206</v>
      </c>
    </row>
    <row r="47" spans="1:6" x14ac:dyDescent="0.25">
      <c r="A47" s="19" t="s">
        <v>6</v>
      </c>
      <c r="B47" s="19" t="s">
        <v>6</v>
      </c>
      <c r="C47" s="20" t="s">
        <v>321</v>
      </c>
      <c r="D47" s="19" t="s">
        <v>322</v>
      </c>
      <c r="E47" s="20" t="s">
        <v>6</v>
      </c>
      <c r="F47" s="21" t="s">
        <v>206</v>
      </c>
    </row>
    <row r="48" spans="1:6" x14ac:dyDescent="0.25">
      <c r="A48" s="14" t="s">
        <v>14</v>
      </c>
      <c r="B48" s="14" t="s">
        <v>112</v>
      </c>
      <c r="C48" s="22" t="s">
        <v>323</v>
      </c>
      <c r="D48" s="14" t="s">
        <v>324</v>
      </c>
      <c r="E48" s="22" t="s">
        <v>272</v>
      </c>
      <c r="F48" s="23" t="s">
        <v>180</v>
      </c>
    </row>
    <row r="49" spans="1:6" x14ac:dyDescent="0.25">
      <c r="A49" s="19" t="s">
        <v>6</v>
      </c>
      <c r="B49" s="19" t="s">
        <v>6</v>
      </c>
      <c r="C49" s="20" t="s">
        <v>317</v>
      </c>
      <c r="D49" s="19" t="s">
        <v>325</v>
      </c>
      <c r="E49" s="20" t="s">
        <v>6</v>
      </c>
      <c r="F49" s="21" t="s">
        <v>206</v>
      </c>
    </row>
    <row r="50" spans="1:6" x14ac:dyDescent="0.25">
      <c r="A50" s="19" t="s">
        <v>6</v>
      </c>
      <c r="B50" s="19" t="s">
        <v>6</v>
      </c>
      <c r="C50" s="20" t="s">
        <v>315</v>
      </c>
      <c r="D50" s="19" t="s">
        <v>326</v>
      </c>
      <c r="E50" s="20" t="s">
        <v>6</v>
      </c>
      <c r="F50" s="21" t="s">
        <v>206</v>
      </c>
    </row>
    <row r="51" spans="1:6" x14ac:dyDescent="0.25">
      <c r="A51" s="14" t="s">
        <v>14</v>
      </c>
      <c r="B51" s="14" t="s">
        <v>112</v>
      </c>
      <c r="C51" s="22" t="s">
        <v>327</v>
      </c>
      <c r="D51" s="14" t="s">
        <v>328</v>
      </c>
      <c r="E51" s="22" t="s">
        <v>272</v>
      </c>
      <c r="F51" s="23" t="s">
        <v>180</v>
      </c>
    </row>
    <row r="52" spans="1:6" x14ac:dyDescent="0.25">
      <c r="A52" s="19" t="s">
        <v>6</v>
      </c>
      <c r="B52" s="19" t="s">
        <v>6</v>
      </c>
      <c r="C52" s="20" t="s">
        <v>288</v>
      </c>
      <c r="D52" s="19" t="s">
        <v>329</v>
      </c>
      <c r="E52" s="20" t="s">
        <v>6</v>
      </c>
      <c r="F52" s="21" t="s">
        <v>206</v>
      </c>
    </row>
    <row r="53" spans="1:6" x14ac:dyDescent="0.25">
      <c r="A53" s="19" t="s">
        <v>6</v>
      </c>
      <c r="B53" s="19" t="s">
        <v>6</v>
      </c>
      <c r="C53" s="20" t="s">
        <v>279</v>
      </c>
      <c r="D53" s="19" t="s">
        <v>329</v>
      </c>
      <c r="E53" s="20" t="s">
        <v>6</v>
      </c>
      <c r="F53" s="21" t="s">
        <v>206</v>
      </c>
    </row>
    <row r="54" spans="1:6" x14ac:dyDescent="0.25">
      <c r="A54" s="14" t="s">
        <v>14</v>
      </c>
      <c r="B54" s="14" t="s">
        <v>112</v>
      </c>
      <c r="C54" s="22" t="s">
        <v>330</v>
      </c>
      <c r="D54" s="14" t="s">
        <v>331</v>
      </c>
      <c r="E54" s="22" t="s">
        <v>272</v>
      </c>
      <c r="F54" s="23" t="s">
        <v>180</v>
      </c>
    </row>
    <row r="55" spans="1:6" x14ac:dyDescent="0.25">
      <c r="A55" s="19" t="s">
        <v>6</v>
      </c>
      <c r="B55" s="19" t="s">
        <v>6</v>
      </c>
      <c r="C55" s="20" t="s">
        <v>277</v>
      </c>
      <c r="D55" s="19" t="s">
        <v>332</v>
      </c>
      <c r="E55" s="20" t="s">
        <v>6</v>
      </c>
      <c r="F55" s="21" t="s">
        <v>206</v>
      </c>
    </row>
    <row r="56" spans="1:6" x14ac:dyDescent="0.25">
      <c r="A56" s="19" t="s">
        <v>6</v>
      </c>
      <c r="B56" s="19" t="s">
        <v>6</v>
      </c>
      <c r="C56" s="20" t="s">
        <v>333</v>
      </c>
      <c r="D56" s="19" t="s">
        <v>334</v>
      </c>
      <c r="E56" s="20" t="s">
        <v>6</v>
      </c>
      <c r="F56" s="21" t="s">
        <v>206</v>
      </c>
    </row>
    <row r="57" spans="1:6" x14ac:dyDescent="0.25">
      <c r="A57" s="14" t="s">
        <v>14</v>
      </c>
      <c r="B57" s="14" t="s">
        <v>112</v>
      </c>
      <c r="C57" s="22" t="s">
        <v>335</v>
      </c>
      <c r="D57" s="14" t="s">
        <v>336</v>
      </c>
      <c r="E57" s="22" t="s">
        <v>272</v>
      </c>
      <c r="F57" s="23" t="s">
        <v>180</v>
      </c>
    </row>
    <row r="58" spans="1:6" x14ac:dyDescent="0.25">
      <c r="A58" s="19" t="s">
        <v>6</v>
      </c>
      <c r="B58" s="19" t="s">
        <v>6</v>
      </c>
      <c r="C58" s="20" t="s">
        <v>273</v>
      </c>
      <c r="D58" s="19" t="s">
        <v>337</v>
      </c>
      <c r="E58" s="20" t="s">
        <v>6</v>
      </c>
      <c r="F58" s="21" t="s">
        <v>206</v>
      </c>
    </row>
    <row r="59" spans="1:6" x14ac:dyDescent="0.25">
      <c r="A59" s="19" t="s">
        <v>6</v>
      </c>
      <c r="B59" s="19" t="s">
        <v>6</v>
      </c>
      <c r="C59" s="20" t="s">
        <v>338</v>
      </c>
      <c r="D59" s="19" t="s">
        <v>339</v>
      </c>
      <c r="E59" s="20" t="s">
        <v>6</v>
      </c>
      <c r="F59" s="21" t="s">
        <v>206</v>
      </c>
    </row>
    <row r="60" spans="1:6" x14ac:dyDescent="0.25">
      <c r="A60" s="14" t="s">
        <v>14</v>
      </c>
      <c r="B60" s="14" t="s">
        <v>112</v>
      </c>
      <c r="C60" s="22" t="s">
        <v>340</v>
      </c>
      <c r="D60" s="14" t="s">
        <v>341</v>
      </c>
      <c r="E60" s="22" t="s">
        <v>272</v>
      </c>
      <c r="F60" s="23" t="s">
        <v>180</v>
      </c>
    </row>
    <row r="61" spans="1:6" x14ac:dyDescent="0.25">
      <c r="A61" s="19" t="s">
        <v>6</v>
      </c>
      <c r="B61" s="19" t="s">
        <v>6</v>
      </c>
      <c r="C61" s="20" t="s">
        <v>342</v>
      </c>
      <c r="D61" s="19" t="s">
        <v>343</v>
      </c>
      <c r="E61" s="20" t="s">
        <v>6</v>
      </c>
      <c r="F61" s="21" t="s">
        <v>206</v>
      </c>
    </row>
    <row r="62" spans="1:6" x14ac:dyDescent="0.25">
      <c r="A62" s="14" t="s">
        <v>14</v>
      </c>
      <c r="B62" s="14" t="s">
        <v>112</v>
      </c>
      <c r="C62" s="22" t="s">
        <v>344</v>
      </c>
      <c r="D62" s="14" t="s">
        <v>345</v>
      </c>
      <c r="E62" s="22" t="s">
        <v>272</v>
      </c>
      <c r="F62" s="23" t="s">
        <v>180</v>
      </c>
    </row>
    <row r="63" spans="1:6" x14ac:dyDescent="0.25">
      <c r="A63" s="19" t="s">
        <v>6</v>
      </c>
      <c r="B63" s="19" t="s">
        <v>6</v>
      </c>
      <c r="C63" s="20" t="s">
        <v>273</v>
      </c>
      <c r="D63" s="19" t="s">
        <v>346</v>
      </c>
      <c r="E63" s="20" t="s">
        <v>6</v>
      </c>
      <c r="F63" s="21" t="s">
        <v>206</v>
      </c>
    </row>
    <row r="64" spans="1:6" x14ac:dyDescent="0.25">
      <c r="A64" s="19" t="s">
        <v>6</v>
      </c>
      <c r="B64" s="19" t="s">
        <v>6</v>
      </c>
      <c r="C64" s="20" t="s">
        <v>347</v>
      </c>
      <c r="D64" s="19" t="s">
        <v>348</v>
      </c>
      <c r="E64" s="20" t="s">
        <v>6</v>
      </c>
      <c r="F64" s="21" t="s">
        <v>206</v>
      </c>
    </row>
    <row r="65" spans="1:6" x14ac:dyDescent="0.25">
      <c r="A65" s="19" t="s">
        <v>6</v>
      </c>
      <c r="B65" s="19" t="s">
        <v>6</v>
      </c>
      <c r="C65" s="20" t="s">
        <v>304</v>
      </c>
      <c r="D65" s="19" t="s">
        <v>349</v>
      </c>
      <c r="E65" s="20" t="s">
        <v>6</v>
      </c>
      <c r="F65" s="21" t="s">
        <v>206</v>
      </c>
    </row>
    <row r="66" spans="1:6" x14ac:dyDescent="0.25">
      <c r="A66" s="19" t="s">
        <v>6</v>
      </c>
      <c r="B66" s="19" t="s">
        <v>6</v>
      </c>
      <c r="C66" s="20" t="s">
        <v>350</v>
      </c>
      <c r="D66" s="19" t="s">
        <v>351</v>
      </c>
      <c r="E66" s="20" t="s">
        <v>6</v>
      </c>
      <c r="F66" s="21" t="s">
        <v>206</v>
      </c>
    </row>
    <row r="67" spans="1:6" x14ac:dyDescent="0.25">
      <c r="A67" s="19" t="s">
        <v>6</v>
      </c>
      <c r="B67" s="19" t="s">
        <v>6</v>
      </c>
      <c r="C67" s="20" t="s">
        <v>352</v>
      </c>
      <c r="D67" s="19" t="s">
        <v>353</v>
      </c>
      <c r="E67" s="20" t="s">
        <v>6</v>
      </c>
      <c r="F67" s="21" t="s">
        <v>206</v>
      </c>
    </row>
    <row r="68" spans="1:6" x14ac:dyDescent="0.25">
      <c r="A68" s="14" t="s">
        <v>14</v>
      </c>
      <c r="B68" s="14" t="s">
        <v>112</v>
      </c>
      <c r="C68" s="22" t="s">
        <v>354</v>
      </c>
      <c r="D68" s="14" t="s">
        <v>355</v>
      </c>
      <c r="E68" s="22" t="s">
        <v>272</v>
      </c>
      <c r="F68" s="23" t="s">
        <v>180</v>
      </c>
    </row>
    <row r="69" spans="1:6" x14ac:dyDescent="0.25">
      <c r="A69" s="19" t="s">
        <v>6</v>
      </c>
      <c r="B69" s="19" t="s">
        <v>6</v>
      </c>
      <c r="C69" s="20" t="s">
        <v>273</v>
      </c>
      <c r="D69" s="19" t="s">
        <v>356</v>
      </c>
      <c r="E69" s="20" t="s">
        <v>6</v>
      </c>
      <c r="F69" s="21" t="s">
        <v>206</v>
      </c>
    </row>
    <row r="70" spans="1:6" x14ac:dyDescent="0.25">
      <c r="A70" s="19" t="s">
        <v>6</v>
      </c>
      <c r="B70" s="19" t="s">
        <v>6</v>
      </c>
      <c r="C70" s="20" t="s">
        <v>357</v>
      </c>
      <c r="D70" s="19" t="s">
        <v>358</v>
      </c>
      <c r="E70" s="20" t="s">
        <v>6</v>
      </c>
      <c r="F70" s="21" t="s">
        <v>206</v>
      </c>
    </row>
    <row r="71" spans="1:6" x14ac:dyDescent="0.25">
      <c r="A71" s="19" t="s">
        <v>6</v>
      </c>
      <c r="B71" s="19" t="s">
        <v>6</v>
      </c>
      <c r="C71" s="20" t="s">
        <v>359</v>
      </c>
      <c r="D71" s="19" t="s">
        <v>360</v>
      </c>
      <c r="E71" s="20" t="s">
        <v>6</v>
      </c>
      <c r="F71" s="21" t="s">
        <v>206</v>
      </c>
    </row>
    <row r="72" spans="1:6" x14ac:dyDescent="0.25">
      <c r="A72" s="19" t="s">
        <v>6</v>
      </c>
      <c r="B72" s="19" t="s">
        <v>6</v>
      </c>
      <c r="C72" s="20" t="s">
        <v>310</v>
      </c>
      <c r="D72" s="19" t="s">
        <v>361</v>
      </c>
      <c r="E72" s="20" t="s">
        <v>6</v>
      </c>
      <c r="F72" s="21" t="s">
        <v>206</v>
      </c>
    </row>
    <row r="73" spans="1:6" x14ac:dyDescent="0.25">
      <c r="A73" s="19" t="s">
        <v>6</v>
      </c>
      <c r="B73" s="19" t="s">
        <v>6</v>
      </c>
      <c r="C73" s="20" t="s">
        <v>362</v>
      </c>
      <c r="D73" s="19" t="s">
        <v>363</v>
      </c>
      <c r="E73" s="20" t="s">
        <v>6</v>
      </c>
      <c r="F73" s="21" t="s">
        <v>206</v>
      </c>
    </row>
    <row r="74" spans="1:6" x14ac:dyDescent="0.25">
      <c r="A74" s="14" t="s">
        <v>14</v>
      </c>
      <c r="B74" s="14" t="s">
        <v>112</v>
      </c>
      <c r="C74" s="22" t="s">
        <v>364</v>
      </c>
      <c r="D74" s="14" t="s">
        <v>365</v>
      </c>
      <c r="E74" s="22" t="s">
        <v>272</v>
      </c>
      <c r="F74" s="23" t="s">
        <v>180</v>
      </c>
    </row>
    <row r="75" spans="1:6" x14ac:dyDescent="0.25">
      <c r="A75" s="19" t="s">
        <v>6</v>
      </c>
      <c r="B75" s="19" t="s">
        <v>6</v>
      </c>
      <c r="C75" s="20" t="s">
        <v>366</v>
      </c>
      <c r="D75" s="19" t="s">
        <v>367</v>
      </c>
      <c r="E75" s="20" t="s">
        <v>6</v>
      </c>
      <c r="F75" s="21" t="s">
        <v>206</v>
      </c>
    </row>
    <row r="76" spans="1:6" x14ac:dyDescent="0.25">
      <c r="A76" s="19" t="s">
        <v>6</v>
      </c>
      <c r="B76" s="19" t="s">
        <v>6</v>
      </c>
      <c r="C76" s="20" t="s">
        <v>295</v>
      </c>
      <c r="D76" s="19" t="s">
        <v>368</v>
      </c>
      <c r="E76" s="20" t="s">
        <v>6</v>
      </c>
      <c r="F76" s="21" t="s">
        <v>206</v>
      </c>
    </row>
    <row r="77" spans="1:6" x14ac:dyDescent="0.25">
      <c r="A77" s="14" t="s">
        <v>14</v>
      </c>
      <c r="B77" s="14" t="s">
        <v>112</v>
      </c>
      <c r="C77" s="22" t="s">
        <v>369</v>
      </c>
      <c r="D77" s="14" t="s">
        <v>370</v>
      </c>
      <c r="E77" s="22" t="s">
        <v>272</v>
      </c>
      <c r="F77" s="23" t="s">
        <v>180</v>
      </c>
    </row>
    <row r="78" spans="1:6" x14ac:dyDescent="0.25">
      <c r="A78" s="19" t="s">
        <v>6</v>
      </c>
      <c r="B78" s="19" t="s">
        <v>6</v>
      </c>
      <c r="C78" s="20" t="s">
        <v>281</v>
      </c>
      <c r="D78" s="19" t="s">
        <v>371</v>
      </c>
      <c r="E78" s="20" t="s">
        <v>6</v>
      </c>
      <c r="F78" s="21" t="s">
        <v>206</v>
      </c>
    </row>
    <row r="79" spans="1:6" x14ac:dyDescent="0.25">
      <c r="A79" s="19" t="s">
        <v>6</v>
      </c>
      <c r="B79" s="19" t="s">
        <v>6</v>
      </c>
      <c r="C79" s="20" t="s">
        <v>288</v>
      </c>
      <c r="D79" s="19" t="s">
        <v>372</v>
      </c>
      <c r="E79" s="20" t="s">
        <v>6</v>
      </c>
      <c r="F79" s="21" t="s">
        <v>206</v>
      </c>
    </row>
    <row r="80" spans="1:6" x14ac:dyDescent="0.25">
      <c r="A80" s="19" t="s">
        <v>6</v>
      </c>
      <c r="B80" s="19" t="s">
        <v>6</v>
      </c>
      <c r="C80" s="20" t="s">
        <v>279</v>
      </c>
      <c r="D80" s="19" t="s">
        <v>373</v>
      </c>
      <c r="E80" s="20" t="s">
        <v>6</v>
      </c>
      <c r="F80" s="21" t="s">
        <v>206</v>
      </c>
    </row>
    <row r="81" spans="1:6" x14ac:dyDescent="0.25">
      <c r="A81" s="19" t="s">
        <v>6</v>
      </c>
      <c r="B81" s="19" t="s">
        <v>6</v>
      </c>
      <c r="C81" s="20" t="s">
        <v>273</v>
      </c>
      <c r="D81" s="19" t="s">
        <v>374</v>
      </c>
      <c r="E81" s="20" t="s">
        <v>6</v>
      </c>
      <c r="F81" s="21" t="s">
        <v>206</v>
      </c>
    </row>
    <row r="82" spans="1:6" x14ac:dyDescent="0.25">
      <c r="A82" s="14" t="s">
        <v>14</v>
      </c>
      <c r="B82" s="14" t="s">
        <v>114</v>
      </c>
      <c r="C82" s="22" t="s">
        <v>375</v>
      </c>
      <c r="D82" s="14" t="s">
        <v>343</v>
      </c>
      <c r="E82" s="22" t="s">
        <v>376</v>
      </c>
      <c r="F82" s="23" t="s">
        <v>180</v>
      </c>
    </row>
    <row r="83" spans="1:6" x14ac:dyDescent="0.25">
      <c r="A83" s="19" t="s">
        <v>6</v>
      </c>
      <c r="B83" s="19" t="s">
        <v>6</v>
      </c>
      <c r="C83" s="20" t="s">
        <v>377</v>
      </c>
      <c r="D83" s="19" t="s">
        <v>343</v>
      </c>
      <c r="E83" s="20" t="s">
        <v>6</v>
      </c>
      <c r="F83" s="21" t="s">
        <v>206</v>
      </c>
    </row>
    <row r="84" spans="1:6" x14ac:dyDescent="0.25">
      <c r="A84" s="14" t="s">
        <v>14</v>
      </c>
      <c r="B84" s="14" t="s">
        <v>116</v>
      </c>
      <c r="C84" s="22" t="s">
        <v>378</v>
      </c>
      <c r="D84" s="14" t="s">
        <v>379</v>
      </c>
      <c r="E84" s="22" t="s">
        <v>380</v>
      </c>
      <c r="F84" s="23" t="s">
        <v>180</v>
      </c>
    </row>
    <row r="85" spans="1:6" x14ac:dyDescent="0.25">
      <c r="A85" s="19" t="s">
        <v>6</v>
      </c>
      <c r="B85" s="19" t="s">
        <v>6</v>
      </c>
      <c r="C85" s="20" t="s">
        <v>381</v>
      </c>
      <c r="D85" s="19" t="s">
        <v>382</v>
      </c>
      <c r="E85" s="20" t="s">
        <v>205</v>
      </c>
      <c r="F85" s="21" t="s">
        <v>206</v>
      </c>
    </row>
    <row r="86" spans="1:6" x14ac:dyDescent="0.25">
      <c r="A86" s="14" t="s">
        <v>14</v>
      </c>
      <c r="B86" s="14" t="s">
        <v>116</v>
      </c>
      <c r="C86" s="22" t="s">
        <v>383</v>
      </c>
      <c r="D86" s="14" t="s">
        <v>384</v>
      </c>
      <c r="E86" s="22" t="s">
        <v>380</v>
      </c>
      <c r="F86" s="23" t="s">
        <v>180</v>
      </c>
    </row>
    <row r="87" spans="1:6" x14ac:dyDescent="0.25">
      <c r="A87" s="24" t="s">
        <v>15</v>
      </c>
      <c r="B87" s="24" t="s">
        <v>118</v>
      </c>
      <c r="C87" s="25" t="s">
        <v>423</v>
      </c>
      <c r="D87" s="24" t="s">
        <v>187</v>
      </c>
      <c r="E87" s="25" t="s">
        <v>376</v>
      </c>
      <c r="F87" s="26" t="s">
        <v>180</v>
      </c>
    </row>
    <row r="88" spans="1:6" x14ac:dyDescent="0.25">
      <c r="A88" s="19" t="s">
        <v>6</v>
      </c>
      <c r="B88" s="19" t="s">
        <v>6</v>
      </c>
      <c r="C88" s="20" t="s">
        <v>381</v>
      </c>
      <c r="D88" s="19" t="s">
        <v>382</v>
      </c>
      <c r="E88" s="20" t="s">
        <v>205</v>
      </c>
      <c r="F88" s="21" t="s">
        <v>206</v>
      </c>
    </row>
  </sheetData>
  <autoFilter ref="A4:F88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  <hyperlink ref="F76" r:id="rId72"/>
    <hyperlink ref="F77" r:id="rId73"/>
    <hyperlink ref="F78" r:id="rId74"/>
    <hyperlink ref="F79" r:id="rId75"/>
    <hyperlink ref="F80" r:id="rId76"/>
    <hyperlink ref="F81" r:id="rId77"/>
    <hyperlink ref="F82" r:id="rId78"/>
    <hyperlink ref="F83" r:id="rId79"/>
    <hyperlink ref="F84" r:id="rId80"/>
    <hyperlink ref="F85" r:id="rId81"/>
    <hyperlink ref="F86" r:id="rId82"/>
    <hyperlink ref="F87" r:id="rId83"/>
    <hyperlink ref="F88" r:id="rId8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438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194</v>
      </c>
      <c r="D5" s="16" t="s">
        <v>195</v>
      </c>
      <c r="E5" s="17" t="s">
        <v>196</v>
      </c>
      <c r="F5" s="18" t="s">
        <v>180</v>
      </c>
    </row>
    <row r="6" spans="1:6" x14ac:dyDescent="0.25">
      <c r="A6" s="14" t="s">
        <v>14</v>
      </c>
      <c r="B6" s="14" t="s">
        <v>78</v>
      </c>
      <c r="C6" s="22" t="s">
        <v>244</v>
      </c>
      <c r="D6" s="14" t="s">
        <v>195</v>
      </c>
      <c r="E6" s="22" t="s">
        <v>245</v>
      </c>
      <c r="F6" s="23" t="s">
        <v>180</v>
      </c>
    </row>
    <row r="7" spans="1:6" x14ac:dyDescent="0.25">
      <c r="A7" s="14" t="s">
        <v>14</v>
      </c>
      <c r="B7" s="14" t="s">
        <v>88</v>
      </c>
      <c r="C7" s="22" t="s">
        <v>246</v>
      </c>
      <c r="D7" s="14" t="s">
        <v>247</v>
      </c>
      <c r="E7" s="22" t="s">
        <v>248</v>
      </c>
      <c r="F7" s="23" t="s">
        <v>180</v>
      </c>
    </row>
    <row r="8" spans="1:6" x14ac:dyDescent="0.25">
      <c r="A8" s="14" t="s">
        <v>14</v>
      </c>
      <c r="B8" s="14" t="s">
        <v>92</v>
      </c>
      <c r="C8" s="22" t="s">
        <v>250</v>
      </c>
      <c r="D8" s="14" t="s">
        <v>251</v>
      </c>
      <c r="E8" s="22" t="s">
        <v>252</v>
      </c>
      <c r="F8" s="23" t="s">
        <v>180</v>
      </c>
    </row>
    <row r="9" spans="1:6" x14ac:dyDescent="0.25">
      <c r="A9" s="14" t="s">
        <v>14</v>
      </c>
      <c r="B9" s="14" t="s">
        <v>96</v>
      </c>
      <c r="C9" s="22" t="s">
        <v>254</v>
      </c>
      <c r="D9" s="14" t="s">
        <v>255</v>
      </c>
      <c r="E9" s="22" t="s">
        <v>256</v>
      </c>
      <c r="F9" s="14" t="s">
        <v>6</v>
      </c>
    </row>
    <row r="10" spans="1:6" x14ac:dyDescent="0.25">
      <c r="A10" s="14" t="s">
        <v>14</v>
      </c>
      <c r="B10" s="14" t="s">
        <v>96</v>
      </c>
      <c r="C10" s="22" t="s">
        <v>257</v>
      </c>
      <c r="D10" s="14" t="s">
        <v>255</v>
      </c>
      <c r="E10" s="22" t="s">
        <v>258</v>
      </c>
      <c r="F10" s="14" t="s">
        <v>6</v>
      </c>
    </row>
    <row r="11" spans="1:6" x14ac:dyDescent="0.25">
      <c r="A11" s="14" t="s">
        <v>14</v>
      </c>
      <c r="B11" s="14" t="s">
        <v>98</v>
      </c>
      <c r="C11" s="22" t="s">
        <v>259</v>
      </c>
      <c r="D11" s="14" t="s">
        <v>260</v>
      </c>
      <c r="E11" s="22" t="s">
        <v>261</v>
      </c>
      <c r="F11" s="23" t="s">
        <v>180</v>
      </c>
    </row>
    <row r="12" spans="1:6" x14ac:dyDescent="0.25">
      <c r="A12" s="14" t="s">
        <v>14</v>
      </c>
      <c r="B12" s="14" t="s">
        <v>98</v>
      </c>
      <c r="C12" s="22" t="s">
        <v>262</v>
      </c>
      <c r="D12" s="14" t="s">
        <v>263</v>
      </c>
      <c r="E12" s="22" t="s">
        <v>261</v>
      </c>
      <c r="F12" s="23" t="s">
        <v>180</v>
      </c>
    </row>
    <row r="13" spans="1:6" x14ac:dyDescent="0.25">
      <c r="A13" s="14" t="s">
        <v>14</v>
      </c>
      <c r="B13" s="14" t="s">
        <v>104</v>
      </c>
      <c r="C13" s="22" t="s">
        <v>265</v>
      </c>
      <c r="D13" s="14" t="s">
        <v>266</v>
      </c>
      <c r="E13" s="22" t="s">
        <v>267</v>
      </c>
      <c r="F13" s="23" t="s">
        <v>180</v>
      </c>
    </row>
    <row r="14" spans="1:6" x14ac:dyDescent="0.25">
      <c r="A14" s="14" t="s">
        <v>14</v>
      </c>
      <c r="B14" s="14" t="s">
        <v>104</v>
      </c>
      <c r="C14" s="22" t="s">
        <v>268</v>
      </c>
      <c r="D14" s="14" t="s">
        <v>269</v>
      </c>
      <c r="E14" s="22" t="s">
        <v>267</v>
      </c>
      <c r="F14" s="23" t="s">
        <v>180</v>
      </c>
    </row>
    <row r="15" spans="1:6" x14ac:dyDescent="0.25">
      <c r="A15" s="14" t="s">
        <v>14</v>
      </c>
      <c r="B15" s="14" t="s">
        <v>120</v>
      </c>
      <c r="C15" s="22" t="s">
        <v>386</v>
      </c>
      <c r="D15" s="14" t="s">
        <v>303</v>
      </c>
      <c r="E15" s="22" t="s">
        <v>387</v>
      </c>
      <c r="F15" s="23" t="s">
        <v>180</v>
      </c>
    </row>
    <row r="16" spans="1:6" x14ac:dyDescent="0.25">
      <c r="A16" s="19" t="s">
        <v>6</v>
      </c>
      <c r="B16" s="19" t="s">
        <v>6</v>
      </c>
      <c r="C16" s="20" t="s">
        <v>377</v>
      </c>
      <c r="D16" s="19" t="s">
        <v>388</v>
      </c>
      <c r="E16" s="20" t="s">
        <v>6</v>
      </c>
      <c r="F16" s="21" t="s">
        <v>206</v>
      </c>
    </row>
    <row r="17" spans="1:6" x14ac:dyDescent="0.25">
      <c r="A17" s="14" t="s">
        <v>14</v>
      </c>
      <c r="B17" s="14" t="s">
        <v>126</v>
      </c>
      <c r="C17" s="22" t="s">
        <v>389</v>
      </c>
      <c r="D17" s="14" t="s">
        <v>390</v>
      </c>
      <c r="E17" s="22" t="s">
        <v>391</v>
      </c>
      <c r="F17" s="23" t="s">
        <v>180</v>
      </c>
    </row>
    <row r="18" spans="1:6" x14ac:dyDescent="0.25">
      <c r="A18" s="14" t="s">
        <v>14</v>
      </c>
      <c r="B18" s="14" t="s">
        <v>126</v>
      </c>
      <c r="C18" s="22" t="s">
        <v>392</v>
      </c>
      <c r="D18" s="14" t="s">
        <v>390</v>
      </c>
      <c r="E18" s="22" t="s">
        <v>393</v>
      </c>
      <c r="F18" s="23" t="s">
        <v>180</v>
      </c>
    </row>
    <row r="19" spans="1:6" x14ac:dyDescent="0.25">
      <c r="A19" s="14" t="s">
        <v>14</v>
      </c>
      <c r="B19" s="14" t="s">
        <v>126</v>
      </c>
      <c r="C19" s="22" t="s">
        <v>394</v>
      </c>
      <c r="D19" s="14" t="s">
        <v>390</v>
      </c>
      <c r="E19" s="22" t="s">
        <v>395</v>
      </c>
      <c r="F19" s="23" t="s">
        <v>180</v>
      </c>
    </row>
    <row r="20" spans="1:6" x14ac:dyDescent="0.25">
      <c r="A20" s="24" t="s">
        <v>15</v>
      </c>
      <c r="B20" s="24" t="s">
        <v>90</v>
      </c>
      <c r="C20" s="25" t="s">
        <v>410</v>
      </c>
      <c r="D20" s="24" t="s">
        <v>195</v>
      </c>
      <c r="E20" s="25" t="s">
        <v>411</v>
      </c>
      <c r="F20" s="24" t="s">
        <v>6</v>
      </c>
    </row>
    <row r="21" spans="1:6" x14ac:dyDescent="0.25">
      <c r="A21" s="24" t="s">
        <v>15</v>
      </c>
      <c r="B21" s="24" t="s">
        <v>108</v>
      </c>
      <c r="C21" s="25" t="s">
        <v>412</v>
      </c>
      <c r="D21" s="24" t="s">
        <v>413</v>
      </c>
      <c r="E21" s="25" t="s">
        <v>414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415</v>
      </c>
      <c r="D22" s="24" t="s">
        <v>416</v>
      </c>
      <c r="E22" s="25" t="s">
        <v>414</v>
      </c>
      <c r="F22" s="26" t="s">
        <v>180</v>
      </c>
    </row>
    <row r="23" spans="1:6" x14ac:dyDescent="0.25">
      <c r="A23" s="24" t="s">
        <v>15</v>
      </c>
      <c r="B23" s="24" t="s">
        <v>108</v>
      </c>
      <c r="C23" s="25" t="s">
        <v>417</v>
      </c>
      <c r="D23" s="24" t="s">
        <v>418</v>
      </c>
      <c r="E23" s="25" t="s">
        <v>414</v>
      </c>
      <c r="F23" s="26" t="s">
        <v>180</v>
      </c>
    </row>
    <row r="24" spans="1:6" x14ac:dyDescent="0.25">
      <c r="A24" s="24" t="s">
        <v>15</v>
      </c>
      <c r="B24" s="24" t="s">
        <v>108</v>
      </c>
      <c r="C24" s="25" t="s">
        <v>419</v>
      </c>
      <c r="D24" s="24" t="s">
        <v>420</v>
      </c>
      <c r="E24" s="25" t="s">
        <v>414</v>
      </c>
      <c r="F24" s="26" t="s">
        <v>180</v>
      </c>
    </row>
    <row r="25" spans="1:6" x14ac:dyDescent="0.25">
      <c r="A25" s="24" t="s">
        <v>15</v>
      </c>
      <c r="B25" s="24" t="s">
        <v>108</v>
      </c>
      <c r="C25" s="25" t="s">
        <v>421</v>
      </c>
      <c r="D25" s="24" t="s">
        <v>422</v>
      </c>
      <c r="E25" s="25" t="s">
        <v>414</v>
      </c>
      <c r="F25" s="26" t="s">
        <v>180</v>
      </c>
    </row>
    <row r="26" spans="1:6" x14ac:dyDescent="0.25">
      <c r="A26" s="24" t="s">
        <v>15</v>
      </c>
      <c r="B26" s="24" t="s">
        <v>128</v>
      </c>
      <c r="C26" s="25" t="s">
        <v>424</v>
      </c>
      <c r="D26" s="24" t="s">
        <v>425</v>
      </c>
      <c r="E26" s="25" t="s">
        <v>426</v>
      </c>
      <c r="F26" s="26" t="s">
        <v>180</v>
      </c>
    </row>
    <row r="27" spans="1:6" x14ac:dyDescent="0.25">
      <c r="A27" s="24" t="s">
        <v>15</v>
      </c>
      <c r="B27" s="24" t="s">
        <v>128</v>
      </c>
      <c r="C27" s="25" t="s">
        <v>427</v>
      </c>
      <c r="D27" s="24" t="s">
        <v>428</v>
      </c>
      <c r="E27" s="25" t="s">
        <v>426</v>
      </c>
      <c r="F27" s="26" t="s">
        <v>180</v>
      </c>
    </row>
    <row r="28" spans="1:6" x14ac:dyDescent="0.25">
      <c r="A28" s="24" t="s">
        <v>15</v>
      </c>
      <c r="B28" s="24" t="s">
        <v>128</v>
      </c>
      <c r="C28" s="25" t="s">
        <v>429</v>
      </c>
      <c r="D28" s="24" t="s">
        <v>430</v>
      </c>
      <c r="E28" s="25" t="s">
        <v>426</v>
      </c>
      <c r="F28" s="26" t="s">
        <v>180</v>
      </c>
    </row>
    <row r="29" spans="1:6" x14ac:dyDescent="0.25">
      <c r="A29" s="24" t="s">
        <v>15</v>
      </c>
      <c r="B29" s="24" t="s">
        <v>128</v>
      </c>
      <c r="C29" s="25" t="s">
        <v>431</v>
      </c>
      <c r="D29" s="24" t="s">
        <v>432</v>
      </c>
      <c r="E29" s="25" t="s">
        <v>426</v>
      </c>
      <c r="F29" s="26" t="s">
        <v>180</v>
      </c>
    </row>
  </sheetData>
  <autoFilter ref="A4:F29"/>
  <mergeCells count="1">
    <mergeCell ref="A1:F1"/>
  </mergeCells>
  <hyperlinks>
    <hyperlink ref="F5" r:id="rId1"/>
    <hyperlink ref="F6" r:id="rId2"/>
    <hyperlink ref="F7" r:id="rId3"/>
    <hyperlink ref="F8" r:id="rId4"/>
    <hyperlink ref="F11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1" r:id="rId14"/>
    <hyperlink ref="F22" r:id="rId15"/>
    <hyperlink ref="F23" r:id="rId16"/>
    <hyperlink ref="F24" r:id="rId17"/>
    <hyperlink ref="F25" r:id="rId18"/>
    <hyperlink ref="F26" r:id="rId19"/>
    <hyperlink ref="F27" r:id="rId20"/>
    <hyperlink ref="F28" r:id="rId21"/>
    <hyperlink ref="F29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439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46</v>
      </c>
      <c r="C6" s="17" t="s">
        <v>186</v>
      </c>
      <c r="D6" s="16" t="s">
        <v>187</v>
      </c>
      <c r="E6" s="17" t="s">
        <v>188</v>
      </c>
      <c r="F6" s="16" t="s">
        <v>6</v>
      </c>
    </row>
    <row r="7" spans="1:6" x14ac:dyDescent="0.25">
      <c r="A7" s="14" t="s">
        <v>14</v>
      </c>
      <c r="B7" s="14" t="s">
        <v>31</v>
      </c>
      <c r="C7" s="22" t="s">
        <v>221</v>
      </c>
      <c r="D7" s="14" t="s">
        <v>222</v>
      </c>
      <c r="E7" s="22" t="s">
        <v>223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224</v>
      </c>
      <c r="D8" s="14" t="s">
        <v>225</v>
      </c>
      <c r="E8" s="22" t="s">
        <v>223</v>
      </c>
      <c r="F8" s="14" t="s">
        <v>6</v>
      </c>
    </row>
    <row r="9" spans="1:6" x14ac:dyDescent="0.25">
      <c r="A9" s="14" t="s">
        <v>14</v>
      </c>
      <c r="B9" s="14" t="s">
        <v>31</v>
      </c>
      <c r="C9" s="22" t="s">
        <v>226</v>
      </c>
      <c r="D9" s="14" t="s">
        <v>227</v>
      </c>
      <c r="E9" s="22" t="s">
        <v>223</v>
      </c>
      <c r="F9" s="14" t="s">
        <v>6</v>
      </c>
    </row>
    <row r="10" spans="1:6" x14ac:dyDescent="0.25">
      <c r="A10" s="24" t="s">
        <v>15</v>
      </c>
      <c r="B10" s="24" t="s">
        <v>54</v>
      </c>
      <c r="C10" s="25" t="s">
        <v>404</v>
      </c>
      <c r="D10" s="24" t="s">
        <v>405</v>
      </c>
      <c r="E10" s="25" t="s">
        <v>406</v>
      </c>
      <c r="F10" s="26" t="s">
        <v>180</v>
      </c>
    </row>
    <row r="11" spans="1:6" x14ac:dyDescent="0.25">
      <c r="A11" s="24" t="s">
        <v>15</v>
      </c>
      <c r="B11" s="24" t="s">
        <v>56</v>
      </c>
      <c r="C11" s="25" t="s">
        <v>407</v>
      </c>
      <c r="D11" s="24" t="s">
        <v>408</v>
      </c>
      <c r="E11" s="25" t="s">
        <v>409</v>
      </c>
      <c r="F11" s="24" t="s">
        <v>6</v>
      </c>
    </row>
  </sheetData>
  <autoFilter ref="A4:F11"/>
  <mergeCells count="1">
    <mergeCell ref="A1:F1"/>
  </mergeCells>
  <hyperlinks>
    <hyperlink ref="F5" r:id="rId1"/>
    <hyperlink ref="F10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440</v>
      </c>
      <c r="B1" s="5" t="s">
        <v>441</v>
      </c>
      <c r="C1" s="5" t="s">
        <v>442</v>
      </c>
      <c r="D1" s="5" t="s">
        <v>443</v>
      </c>
      <c r="E1" s="5" t="s">
        <v>444</v>
      </c>
      <c r="F1" s="5" t="s">
        <v>445</v>
      </c>
      <c r="G1" s="5" t="s">
        <v>446</v>
      </c>
    </row>
    <row r="2" spans="1:7" x14ac:dyDescent="0.25">
      <c r="A2" s="10" t="s">
        <v>447</v>
      </c>
      <c r="B2" s="30">
        <v>25471581</v>
      </c>
      <c r="C2" s="30">
        <v>22964730</v>
      </c>
      <c r="D2" s="30">
        <v>2506851</v>
      </c>
      <c r="E2" s="31" t="s">
        <v>448</v>
      </c>
      <c r="F2" s="10" t="s">
        <v>6</v>
      </c>
      <c r="G2" s="32" t="s">
        <v>449</v>
      </c>
    </row>
    <row r="3" spans="1:7" x14ac:dyDescent="0.25">
      <c r="A3" s="10" t="s">
        <v>450</v>
      </c>
      <c r="B3" s="30">
        <v>1031441</v>
      </c>
      <c r="C3" s="30">
        <v>1031441</v>
      </c>
      <c r="D3" s="30">
        <v>0</v>
      </c>
      <c r="E3" s="31" t="s">
        <v>451</v>
      </c>
      <c r="F3" s="10" t="s">
        <v>6</v>
      </c>
      <c r="G3" s="32" t="s">
        <v>449</v>
      </c>
    </row>
    <row r="4" spans="1:7" x14ac:dyDescent="0.25">
      <c r="A4" s="10" t="s">
        <v>452</v>
      </c>
      <c r="B4" s="30">
        <v>310384</v>
      </c>
      <c r="C4" s="30">
        <v>310384</v>
      </c>
      <c r="D4" s="30">
        <v>0</v>
      </c>
      <c r="E4" s="31" t="s">
        <v>451</v>
      </c>
      <c r="F4" s="10" t="s">
        <v>6</v>
      </c>
      <c r="G4" s="32" t="s">
        <v>449</v>
      </c>
    </row>
    <row r="5" spans="1:7" x14ac:dyDescent="0.25">
      <c r="A5" s="10" t="s">
        <v>453</v>
      </c>
      <c r="B5" s="33">
        <v>-350413</v>
      </c>
      <c r="C5" s="30">
        <v>-350413</v>
      </c>
      <c r="D5" s="30">
        <v>0</v>
      </c>
      <c r="E5" s="31" t="s">
        <v>451</v>
      </c>
      <c r="F5" s="10" t="s">
        <v>30</v>
      </c>
      <c r="G5" s="32" t="s">
        <v>449</v>
      </c>
    </row>
    <row r="6" spans="1:7" x14ac:dyDescent="0.25">
      <c r="A6" s="10" t="s">
        <v>454</v>
      </c>
      <c r="B6" s="30">
        <v>19045379</v>
      </c>
      <c r="C6" s="30">
        <v>17263679</v>
      </c>
      <c r="D6" s="30">
        <v>1781700</v>
      </c>
      <c r="E6" s="31" t="s">
        <v>455</v>
      </c>
      <c r="F6" s="10" t="s">
        <v>6</v>
      </c>
      <c r="G6" s="32" t="s">
        <v>449</v>
      </c>
    </row>
    <row r="7" spans="1:7" x14ac:dyDescent="0.25">
      <c r="A7" s="10" t="s">
        <v>456</v>
      </c>
      <c r="B7" s="33">
        <v>-50000</v>
      </c>
      <c r="C7" s="30">
        <v>-50000</v>
      </c>
      <c r="D7" s="30">
        <v>0</v>
      </c>
      <c r="E7" s="31" t="s">
        <v>451</v>
      </c>
      <c r="F7" s="10" t="s">
        <v>30</v>
      </c>
      <c r="G7" s="32" t="s">
        <v>449</v>
      </c>
    </row>
    <row r="8" spans="1:7" x14ac:dyDescent="0.25">
      <c r="A8" s="10" t="s">
        <v>457</v>
      </c>
      <c r="B8" s="30">
        <v>162374</v>
      </c>
      <c r="C8" s="30">
        <v>162062</v>
      </c>
      <c r="D8" s="30">
        <v>312</v>
      </c>
      <c r="E8" s="31" t="s">
        <v>458</v>
      </c>
      <c r="F8" s="10" t="s">
        <v>6</v>
      </c>
      <c r="G8" s="32" t="s">
        <v>449</v>
      </c>
    </row>
    <row r="9" spans="1:7" x14ac:dyDescent="0.25">
      <c r="A9" s="10" t="s">
        <v>459</v>
      </c>
      <c r="B9" s="30">
        <v>812709</v>
      </c>
      <c r="C9" s="30">
        <v>812709</v>
      </c>
      <c r="D9" s="30">
        <v>0</v>
      </c>
      <c r="E9" s="31" t="s">
        <v>451</v>
      </c>
      <c r="F9" s="10" t="s">
        <v>6</v>
      </c>
      <c r="G9" s="32" t="s">
        <v>449</v>
      </c>
    </row>
    <row r="10" spans="1:7" x14ac:dyDescent="0.25">
      <c r="A10" s="10" t="s">
        <v>460</v>
      </c>
      <c r="B10" s="30">
        <v>0</v>
      </c>
      <c r="C10" s="30">
        <v>0</v>
      </c>
      <c r="D10" s="30">
        <v>0</v>
      </c>
      <c r="E10" s="31" t="s">
        <v>6</v>
      </c>
      <c r="F10" s="10" t="s">
        <v>6</v>
      </c>
      <c r="G10" s="32" t="s">
        <v>449</v>
      </c>
    </row>
    <row r="11" spans="1:7" x14ac:dyDescent="0.25">
      <c r="A11" s="10" t="s">
        <v>461</v>
      </c>
      <c r="B11" s="30">
        <v>0</v>
      </c>
      <c r="C11" s="30">
        <v>0</v>
      </c>
      <c r="D11" s="30">
        <v>0</v>
      </c>
      <c r="E11" s="31" t="s">
        <v>6</v>
      </c>
      <c r="F11" s="10" t="s">
        <v>6</v>
      </c>
      <c r="G11" s="32" t="s">
        <v>449</v>
      </c>
    </row>
    <row r="12" spans="1:7" x14ac:dyDescent="0.25">
      <c r="A12" s="10" t="s">
        <v>462</v>
      </c>
      <c r="B12" s="33">
        <v>-1644</v>
      </c>
      <c r="C12" s="30">
        <v>-1644</v>
      </c>
      <c r="D12" s="30">
        <v>0</v>
      </c>
      <c r="E12" s="31" t="s">
        <v>451</v>
      </c>
      <c r="F12" s="10" t="s">
        <v>30</v>
      </c>
      <c r="G12" s="32" t="s">
        <v>449</v>
      </c>
    </row>
    <row r="13" spans="1:7" x14ac:dyDescent="0.25">
      <c r="A13" s="10" t="s">
        <v>463</v>
      </c>
      <c r="B13" s="30">
        <v>510490</v>
      </c>
      <c r="C13" s="30">
        <v>510490</v>
      </c>
      <c r="D13" s="30">
        <v>0</v>
      </c>
      <c r="E13" s="31" t="s">
        <v>451</v>
      </c>
      <c r="F13" s="10" t="s">
        <v>6</v>
      </c>
      <c r="G13" s="32" t="s">
        <v>449</v>
      </c>
    </row>
    <row r="14" spans="1:7" x14ac:dyDescent="0.25">
      <c r="A14" s="10" t="s">
        <v>464</v>
      </c>
      <c r="B14" s="30">
        <v>327800</v>
      </c>
      <c r="C14" s="30">
        <v>327800</v>
      </c>
      <c r="D14" s="30">
        <v>0</v>
      </c>
      <c r="E14" s="31" t="s">
        <v>451</v>
      </c>
      <c r="F14" s="10" t="s">
        <v>6</v>
      </c>
      <c r="G14" s="32" t="s">
        <v>449</v>
      </c>
    </row>
    <row r="15" spans="1:7" x14ac:dyDescent="0.25">
      <c r="A15" s="10" t="s">
        <v>465</v>
      </c>
      <c r="B15" s="33">
        <v>-472984</v>
      </c>
      <c r="C15" s="30">
        <v>-462946</v>
      </c>
      <c r="D15" s="30">
        <v>-10038</v>
      </c>
      <c r="E15" s="31" t="s">
        <v>466</v>
      </c>
      <c r="F15" s="10" t="s">
        <v>30</v>
      </c>
      <c r="G15" s="32" t="s">
        <v>449</v>
      </c>
    </row>
    <row r="16" spans="1:7" x14ac:dyDescent="0.25">
      <c r="A16" s="10" t="s">
        <v>467</v>
      </c>
      <c r="B16" s="30">
        <v>3084000</v>
      </c>
      <c r="C16" s="30">
        <v>3175250</v>
      </c>
      <c r="D16" s="30">
        <v>-91250</v>
      </c>
      <c r="E16" s="31" t="s">
        <v>468</v>
      </c>
      <c r="F16" s="10" t="s">
        <v>6</v>
      </c>
      <c r="G16" s="32" t="s">
        <v>449</v>
      </c>
    </row>
    <row r="17" spans="1:7" x14ac:dyDescent="0.25">
      <c r="A17" s="10" t="s">
        <v>469</v>
      </c>
      <c r="B17" s="30">
        <v>20000</v>
      </c>
      <c r="C17" s="30">
        <v>20000</v>
      </c>
      <c r="D17" s="30">
        <v>0</v>
      </c>
      <c r="E17" s="31" t="s">
        <v>451</v>
      </c>
      <c r="F17" s="10" t="s">
        <v>6</v>
      </c>
      <c r="G17" s="32" t="s">
        <v>449</v>
      </c>
    </row>
    <row r="18" spans="1:7" x14ac:dyDescent="0.25">
      <c r="A18" s="10" t="s">
        <v>470</v>
      </c>
      <c r="B18" s="30">
        <v>262000</v>
      </c>
      <c r="C18" s="30">
        <v>262000</v>
      </c>
      <c r="D18" s="30">
        <v>0</v>
      </c>
      <c r="E18" s="31" t="s">
        <v>451</v>
      </c>
      <c r="F18" s="10" t="s">
        <v>6</v>
      </c>
      <c r="G18" s="32" t="s">
        <v>449</v>
      </c>
    </row>
    <row r="19" spans="1:7" x14ac:dyDescent="0.25">
      <c r="A19" s="10" t="s">
        <v>471</v>
      </c>
      <c r="B19" s="30">
        <v>547635</v>
      </c>
      <c r="C19" s="30">
        <v>566912</v>
      </c>
      <c r="D19" s="30">
        <v>-19277</v>
      </c>
      <c r="E19" s="31" t="s">
        <v>472</v>
      </c>
      <c r="F19" s="10" t="s">
        <v>6</v>
      </c>
      <c r="G19" s="32" t="s">
        <v>449</v>
      </c>
    </row>
    <row r="20" spans="1:7" x14ac:dyDescent="0.25">
      <c r="A20" s="10" t="s">
        <v>473</v>
      </c>
      <c r="B20" s="30">
        <v>9676750</v>
      </c>
      <c r="C20" s="30">
        <v>9676750</v>
      </c>
      <c r="D20" s="30">
        <v>0</v>
      </c>
      <c r="E20" s="31" t="s">
        <v>451</v>
      </c>
      <c r="F20" s="10" t="s">
        <v>6</v>
      </c>
      <c r="G20" s="32" t="s">
        <v>449</v>
      </c>
    </row>
    <row r="21" spans="1:7" x14ac:dyDescent="0.25">
      <c r="A21" s="10" t="s">
        <v>474</v>
      </c>
      <c r="B21" s="30">
        <v>12000000</v>
      </c>
      <c r="C21" s="30">
        <v>7000000</v>
      </c>
      <c r="D21" s="34">
        <v>5000000</v>
      </c>
      <c r="E21" s="31" t="s">
        <v>475</v>
      </c>
      <c r="F21" s="10" t="s">
        <v>476</v>
      </c>
      <c r="G21" s="32" t="s">
        <v>449</v>
      </c>
    </row>
    <row r="22" spans="1:7" x14ac:dyDescent="0.25">
      <c r="A22" s="10" t="s">
        <v>477</v>
      </c>
      <c r="B22" s="30">
        <v>2873403</v>
      </c>
      <c r="C22" s="30">
        <v>2873403</v>
      </c>
      <c r="D22" s="30">
        <v>0</v>
      </c>
      <c r="E22" s="31" t="s">
        <v>451</v>
      </c>
      <c r="F22" s="10" t="s">
        <v>6</v>
      </c>
      <c r="G22" s="32" t="s">
        <v>449</v>
      </c>
    </row>
    <row r="23" spans="1:7" x14ac:dyDescent="0.25">
      <c r="A23" s="10" t="s">
        <v>478</v>
      </c>
      <c r="B23" s="30">
        <v>2559468</v>
      </c>
      <c r="C23" s="30">
        <v>6040473</v>
      </c>
      <c r="D23" s="34">
        <v>-3481005</v>
      </c>
      <c r="E23" s="31" t="s">
        <v>479</v>
      </c>
      <c r="F23" s="10" t="s">
        <v>476</v>
      </c>
      <c r="G23" s="32" t="s">
        <v>449</v>
      </c>
    </row>
    <row r="24" spans="1:7" x14ac:dyDescent="0.25">
      <c r="A24" s="10" t="s">
        <v>480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449</v>
      </c>
    </row>
    <row r="25" spans="1:7" x14ac:dyDescent="0.25">
      <c r="A25" s="10" t="s">
        <v>481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449</v>
      </c>
    </row>
    <row r="26" spans="1:7" x14ac:dyDescent="0.25">
      <c r="A26" s="10" t="s">
        <v>482</v>
      </c>
      <c r="B26" s="33">
        <v>-1897000</v>
      </c>
      <c r="C26" s="30">
        <v>0</v>
      </c>
      <c r="D26" s="30">
        <v>-1897000</v>
      </c>
      <c r="E26" s="31" t="s">
        <v>6</v>
      </c>
      <c r="F26" s="10" t="s">
        <v>30</v>
      </c>
      <c r="G26" s="32" t="s">
        <v>449</v>
      </c>
    </row>
    <row r="27" spans="1:7" x14ac:dyDescent="0.25">
      <c r="A27" s="10" t="s">
        <v>483</v>
      </c>
      <c r="B27" s="30">
        <v>113300</v>
      </c>
      <c r="C27" s="30">
        <v>113300</v>
      </c>
      <c r="D27" s="30">
        <v>0</v>
      </c>
      <c r="E27" s="31" t="s">
        <v>451</v>
      </c>
      <c r="F27" s="10" t="s">
        <v>6</v>
      </c>
      <c r="G27" s="32" t="s">
        <v>449</v>
      </c>
    </row>
    <row r="28" spans="1:7" x14ac:dyDescent="0.25">
      <c r="A28" s="10" t="s">
        <v>484</v>
      </c>
      <c r="B28" s="30">
        <v>729853</v>
      </c>
      <c r="C28" s="30">
        <v>1443916</v>
      </c>
      <c r="D28" s="30">
        <v>-714063</v>
      </c>
      <c r="E28" s="31" t="s">
        <v>485</v>
      </c>
      <c r="F28" s="10" t="s">
        <v>6</v>
      </c>
      <c r="G28" s="32" t="s">
        <v>449</v>
      </c>
    </row>
    <row r="29" spans="1:7" x14ac:dyDescent="0.25">
      <c r="A29" s="10" t="s">
        <v>486</v>
      </c>
      <c r="B29" s="30">
        <v>373434</v>
      </c>
      <c r="C29" s="30">
        <v>272340</v>
      </c>
      <c r="D29" s="30">
        <v>101094</v>
      </c>
      <c r="E29" s="31" t="s">
        <v>487</v>
      </c>
      <c r="F29" s="10" t="s">
        <v>6</v>
      </c>
      <c r="G29" s="32" t="s">
        <v>449</v>
      </c>
    </row>
    <row r="30" spans="1:7" x14ac:dyDescent="0.25">
      <c r="A30" s="10" t="s">
        <v>488</v>
      </c>
      <c r="B30" s="33">
        <v>-11395</v>
      </c>
      <c r="C30" s="30">
        <v>27563</v>
      </c>
      <c r="D30" s="30">
        <v>-38958</v>
      </c>
      <c r="E30" s="31" t="s">
        <v>489</v>
      </c>
      <c r="F30" s="10" t="s">
        <v>30</v>
      </c>
      <c r="G30" s="32" t="s">
        <v>449</v>
      </c>
    </row>
    <row r="31" spans="1:7" x14ac:dyDescent="0.25">
      <c r="A31" s="10" t="s">
        <v>490</v>
      </c>
      <c r="B31" s="33">
        <v>-137018</v>
      </c>
      <c r="C31" s="30">
        <v>-139997</v>
      </c>
      <c r="D31" s="30">
        <v>2979</v>
      </c>
      <c r="E31" s="31" t="s">
        <v>491</v>
      </c>
      <c r="F31" s="10" t="s">
        <v>30</v>
      </c>
      <c r="G31" s="32" t="s">
        <v>449</v>
      </c>
    </row>
    <row r="32" spans="1:7" x14ac:dyDescent="0.25">
      <c r="A32" s="10" t="s">
        <v>492</v>
      </c>
      <c r="B32" s="30">
        <v>11880</v>
      </c>
      <c r="C32" s="30">
        <v>11880</v>
      </c>
      <c r="D32" s="30">
        <v>0</v>
      </c>
      <c r="E32" s="31" t="s">
        <v>451</v>
      </c>
      <c r="F32" s="10" t="s">
        <v>6</v>
      </c>
      <c r="G32" s="32" t="s">
        <v>449</v>
      </c>
    </row>
    <row r="33" spans="1:7" x14ac:dyDescent="0.25">
      <c r="A33" s="10" t="s">
        <v>493</v>
      </c>
      <c r="B33" s="33">
        <v>-148743</v>
      </c>
      <c r="C33" s="30">
        <v>-159343</v>
      </c>
      <c r="D33" s="30">
        <v>10600</v>
      </c>
      <c r="E33" s="31" t="s">
        <v>494</v>
      </c>
      <c r="F33" s="10" t="s">
        <v>30</v>
      </c>
      <c r="G33" s="32" t="s">
        <v>449</v>
      </c>
    </row>
    <row r="34" spans="1:7" x14ac:dyDescent="0.25">
      <c r="A34" s="10" t="s">
        <v>495</v>
      </c>
      <c r="B34" s="30">
        <v>129052</v>
      </c>
      <c r="C34" s="30">
        <v>129052</v>
      </c>
      <c r="D34" s="30">
        <v>0</v>
      </c>
      <c r="E34" s="31" t="s">
        <v>451</v>
      </c>
      <c r="F34" s="10" t="s">
        <v>6</v>
      </c>
      <c r="G34" s="32" t="s">
        <v>449</v>
      </c>
    </row>
    <row r="35" spans="1:7" x14ac:dyDescent="0.25">
      <c r="A35" s="10" t="s">
        <v>496</v>
      </c>
      <c r="B35" s="30">
        <v>1331810</v>
      </c>
      <c r="C35" s="30">
        <v>1331810</v>
      </c>
      <c r="D35" s="30">
        <v>0</v>
      </c>
      <c r="E35" s="31" t="s">
        <v>451</v>
      </c>
      <c r="F35" s="10" t="s">
        <v>6</v>
      </c>
      <c r="G35" s="32" t="s">
        <v>449</v>
      </c>
    </row>
    <row r="36" spans="1:7" x14ac:dyDescent="0.25">
      <c r="A36" s="10" t="s">
        <v>497</v>
      </c>
      <c r="B36" s="33">
        <v>-17878</v>
      </c>
      <c r="C36" s="30">
        <v>-4767</v>
      </c>
      <c r="D36" s="30">
        <v>-13111</v>
      </c>
      <c r="E36" s="31" t="s">
        <v>498</v>
      </c>
      <c r="F36" s="10" t="s">
        <v>30</v>
      </c>
      <c r="G36" s="32" t="s">
        <v>449</v>
      </c>
    </row>
    <row r="37" spans="1:7" x14ac:dyDescent="0.25">
      <c r="A37" s="10" t="s">
        <v>499</v>
      </c>
      <c r="B37" s="30">
        <v>13255000</v>
      </c>
      <c r="C37" s="30">
        <v>13255000</v>
      </c>
      <c r="D37" s="30">
        <v>0</v>
      </c>
      <c r="E37" s="31" t="s">
        <v>451</v>
      </c>
      <c r="F37" s="10" t="s">
        <v>6</v>
      </c>
      <c r="G37" s="32" t="s">
        <v>449</v>
      </c>
    </row>
    <row r="38" spans="1:7" x14ac:dyDescent="0.25">
      <c r="A38" s="10" t="s">
        <v>500</v>
      </c>
      <c r="B38" s="30">
        <v>3325000</v>
      </c>
      <c r="C38" s="30">
        <v>3375000</v>
      </c>
      <c r="D38" s="30">
        <v>-50000</v>
      </c>
      <c r="E38" s="31" t="s">
        <v>501</v>
      </c>
      <c r="F38" s="10" t="s">
        <v>6</v>
      </c>
      <c r="G38" s="32" t="s">
        <v>449</v>
      </c>
    </row>
    <row r="39" spans="1:7" x14ac:dyDescent="0.25">
      <c r="A39" s="10" t="s">
        <v>502</v>
      </c>
      <c r="B39" s="30">
        <v>1500000</v>
      </c>
      <c r="C39" s="30">
        <v>1500000</v>
      </c>
      <c r="D39" s="30">
        <v>0</v>
      </c>
      <c r="E39" s="31" t="s">
        <v>451</v>
      </c>
      <c r="F39" s="10" t="s">
        <v>6</v>
      </c>
      <c r="G39" s="32" t="s">
        <v>449</v>
      </c>
    </row>
    <row r="40" spans="1:7" x14ac:dyDescent="0.25">
      <c r="A40" s="10" t="s">
        <v>503</v>
      </c>
      <c r="B40" s="30">
        <v>25021393</v>
      </c>
      <c r="C40" s="30">
        <v>25021393</v>
      </c>
      <c r="D40" s="30">
        <v>0</v>
      </c>
      <c r="E40" s="31" t="s">
        <v>451</v>
      </c>
      <c r="F40" s="10" t="s">
        <v>6</v>
      </c>
      <c r="G40" s="32" t="s">
        <v>449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44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35" t="s">
        <v>504</v>
      </c>
      <c r="B1" s="35"/>
      <c r="C1" s="35"/>
      <c r="D1" s="35"/>
      <c r="E1" s="35"/>
      <c r="F1" s="35"/>
      <c r="G1" s="35"/>
      <c r="H1" s="35"/>
      <c r="I1" s="35"/>
    </row>
    <row r="3" ht="22" customHeight="1" spans="1:9" x14ac:dyDescent="0.25">
      <c r="A3" s="5" t="s">
        <v>440</v>
      </c>
      <c r="B3" s="5" t="s">
        <v>505</v>
      </c>
      <c r="C3" s="5" t="s">
        <v>506</v>
      </c>
      <c r="D3" s="5" t="s">
        <v>507</v>
      </c>
      <c r="E3" s="5" t="s">
        <v>508</v>
      </c>
      <c r="F3" s="5" t="s">
        <v>509</v>
      </c>
      <c r="G3" s="36" t="s">
        <v>510</v>
      </c>
      <c r="H3" s="5" t="s">
        <v>511</v>
      </c>
      <c r="I3" s="5" t="s">
        <v>446</v>
      </c>
    </row>
    <row r="4" spans="1:9" x14ac:dyDescent="0.25">
      <c r="A4" s="10" t="s">
        <v>512</v>
      </c>
      <c r="B4" s="30">
        <v>6688314</v>
      </c>
      <c r="C4" s="30">
        <v>7553184</v>
      </c>
      <c r="D4" s="30">
        <v>7894139</v>
      </c>
      <c r="E4" s="30">
        <v>13950459</v>
      </c>
      <c r="F4" s="30">
        <v>8050804</v>
      </c>
      <c r="G4" s="37">
        <v>16377655</v>
      </c>
      <c r="H4" s="38">
        <f>SUM(B4:G4)</f>
        <v>60514555</v>
      </c>
      <c r="I4" s="39"/>
    </row>
    <row r="5" spans="1:9" x14ac:dyDescent="0.25">
      <c r="A5" s="10" t="s">
        <v>513</v>
      </c>
      <c r="B5" s="40">
        <v>0</v>
      </c>
      <c r="C5" s="40">
        <v>0</v>
      </c>
      <c r="D5" s="40">
        <v>0</v>
      </c>
      <c r="E5" s="40">
        <v>0</v>
      </c>
      <c r="F5" s="40">
        <v>0</v>
      </c>
      <c r="G5" s="41">
        <v>0</v>
      </c>
      <c r="H5" s="38">
        <f>SUM(B5:G5)</f>
        <v>0</v>
      </c>
      <c r="I5" s="39"/>
    </row>
    <row r="6" spans="1:9" x14ac:dyDescent="0.25">
      <c r="A6" s="42" t="s">
        <v>514</v>
      </c>
      <c r="B6" s="43">
        <v>6688314</v>
      </c>
      <c r="C6" s="43">
        <v>7553184</v>
      </c>
      <c r="D6" s="43">
        <v>7894139</v>
      </c>
      <c r="E6" s="43">
        <v>13950459</v>
      </c>
      <c r="F6" s="43">
        <v>8050804</v>
      </c>
      <c r="G6" s="43">
        <v>16377655</v>
      </c>
      <c r="H6" s="43">
        <f>SUM(B6:G6)</f>
        <v>60514555</v>
      </c>
      <c r="I6" s="44"/>
    </row>
    <row r="7" spans="1:9" x14ac:dyDescent="0.25">
      <c r="A7" s="10" t="s">
        <v>515</v>
      </c>
      <c r="B7" s="30">
        <f>HYPERLINK("https://secure.freee.co.jp/reports/general_ledgers/show?adjustment=all&amp;name=%E5%BD%B9%E5%93%A1%E5%A0%B1%E9%85%AC&amp;start_date=2025-10-01&amp;end_date=2025-10-31",2790000)</f>
        <v>2790000</v>
      </c>
      <c r="C7" s="30">
        <f>HYPERLINK("https://secure.freee.co.jp/reports/general_ledgers/show?adjustment=all&amp;name=%E5%BD%B9%E5%93%A1%E5%A0%B1%E9%85%AC&amp;start_date=2025-11-01&amp;end_date=2025-11-30",2780000)</f>
        <v>2780000</v>
      </c>
      <c r="D7" s="30">
        <f>HYPERLINK("https://secure.freee.co.jp/reports/general_ledgers/show?adjustment=all&amp;name=%E5%BD%B9%E5%93%A1%E5%A0%B1%E9%85%AC&amp;start_date=2025-12-01&amp;end_date=2025-12-31",2780000)</f>
        <v>2780000</v>
      </c>
      <c r="E7" s="30">
        <f>HYPERLINK("https://secure.freee.co.jp/reports/general_ledgers/show?adjustment=all&amp;name=%E5%BD%B9%E5%93%A1%E5%A0%B1%E9%85%AC&amp;start_date=2026-01-01&amp;end_date=2026-01-31",2780000)</f>
        <v>2780000</v>
      </c>
      <c r="F7" s="30">
        <f>HYPERLINK("https://secure.freee.co.jp/reports/general_ledgers/show?adjustment=all&amp;name=%E5%BD%B9%E5%93%A1%E5%A0%B1%E9%85%AC&amp;start_date=2026-02-01&amp;end_date=2026-02-28",2780000)</f>
        <v>2780000</v>
      </c>
      <c r="G7" s="45">
        <v>0</v>
      </c>
      <c r="H7" s="38">
        <f>SUM(B7:G7)</f>
        <v>13910000</v>
      </c>
      <c r="I7" s="32" t="s">
        <v>446</v>
      </c>
    </row>
    <row r="8" spans="1:9" x14ac:dyDescent="0.25">
      <c r="A8" s="10" t="s">
        <v>516</v>
      </c>
      <c r="B8" s="30">
        <f>HYPERLINK("https://secure.freee.co.jp/reports/general_ledgers/show?adjustment=all&amp;name=%E7%B5%A6%E6%96%99%E6%89%8B%E5%BD%93&amp;start_date=2025-10-01&amp;end_date=2025-10-31",1981476)</f>
        <v>1981476</v>
      </c>
      <c r="C8" s="30">
        <f>HYPERLINK("https://secure.freee.co.jp/reports/general_ledgers/show?adjustment=all&amp;name=%E7%B5%A6%E6%96%99%E6%89%8B%E5%BD%93&amp;start_date=2025-11-01&amp;end_date=2025-11-30",2105118)</f>
        <v>2105118</v>
      </c>
      <c r="D8" s="30">
        <f>HYPERLINK("https://secure.freee.co.jp/reports/general_ledgers/show?adjustment=all&amp;name=%E7%B5%A6%E6%96%99%E6%89%8B%E5%BD%93&amp;start_date=2025-12-01&amp;end_date=2025-12-31",1983776)</f>
        <v>1983776</v>
      </c>
      <c r="E8" s="30">
        <f>HYPERLINK("https://secure.freee.co.jp/reports/general_ledgers/show?adjustment=all&amp;name=%E7%B5%A6%E6%96%99%E6%89%8B%E5%BD%93&amp;start_date=2026-01-01&amp;end_date=2026-01-31",1712708)</f>
        <v>1712708</v>
      </c>
      <c r="F8" s="30">
        <f>HYPERLINK("https://secure.freee.co.jp/reports/general_ledgers/show?adjustment=all&amp;name=%E7%B5%A6%E6%96%99%E6%89%8B%E5%BD%93&amp;start_date=2026-02-01&amp;end_date=2026-02-28",2010686)</f>
        <v>2010686</v>
      </c>
      <c r="G8" s="45">
        <v>0</v>
      </c>
      <c r="H8" s="38">
        <f>SUM(B8:G8)</f>
        <v>9793764</v>
      </c>
      <c r="I8" s="32" t="s">
        <v>446</v>
      </c>
    </row>
    <row r="9" spans="1:9" x14ac:dyDescent="0.25">
      <c r="A9" s="10" t="s">
        <v>517</v>
      </c>
      <c r="B9" s="40">
        <v>0</v>
      </c>
      <c r="C9" s="40">
        <v>0</v>
      </c>
      <c r="D9" s="30">
        <f>HYPERLINK("https://secure.freee.co.jp/reports/general_ledgers/show?adjustment=all&amp;name=%E8%B3%9E%E4%B8%8E&amp;start_date=2025-12-01&amp;end_date=2025-12-31",1265650)</f>
        <v>1265650</v>
      </c>
      <c r="E9" s="45">
        <v>0</v>
      </c>
      <c r="F9" s="40">
        <v>0</v>
      </c>
      <c r="G9" s="41">
        <v>0</v>
      </c>
      <c r="H9" s="38">
        <f>SUM(B9:G9)</f>
        <v>1265650</v>
      </c>
      <c r="I9" s="32" t="s">
        <v>446</v>
      </c>
    </row>
    <row r="10" spans="1:9" x14ac:dyDescent="0.25">
      <c r="A10" s="10" t="s">
        <v>518</v>
      </c>
      <c r="B10" s="30">
        <f>HYPERLINK("https://secure.freee.co.jp/reports/general_ledgers/show?adjustment=all&amp;name=%E9%80%80%E8%81%B7%E7%B5%A6%E4%BB%98%E8%B2%BB%E7%94%A8&amp;start_date=2025-10-01&amp;end_date=2025-10-31",110000)</f>
        <v>110000</v>
      </c>
      <c r="C10" s="30">
        <f>HYPERLINK("https://secure.freee.co.jp/reports/general_ledgers/show?adjustment=all&amp;name=%E9%80%80%E8%81%B7%E7%B5%A6%E4%BB%98%E8%B2%BB%E7%94%A8&amp;start_date=2025-11-01&amp;end_date=2025-11-30",110000)</f>
        <v>110000</v>
      </c>
      <c r="D10" s="30">
        <f>HYPERLINK("https://secure.freee.co.jp/reports/general_ledgers/show?adjustment=all&amp;name=%E9%80%80%E8%81%B7%E7%B5%A6%E4%BB%98%E8%B2%BB%E7%94%A8&amp;start_date=2025-12-01&amp;end_date=2025-12-31",110000)</f>
        <v>110000</v>
      </c>
      <c r="E10" s="30">
        <f>HYPERLINK("https://secure.freee.co.jp/reports/general_ledgers/show?adjustment=all&amp;name=%E9%80%80%E8%81%B7%E7%B5%A6%E4%BB%98%E8%B2%BB%E7%94%A8&amp;start_date=2026-01-01&amp;end_date=2026-01-31",110000)</f>
        <v>110000</v>
      </c>
      <c r="F10" s="34">
        <f>HYPERLINK("https://secure.freee.co.jp/reports/general_ledgers/show?adjustment=all&amp;name=%E9%80%80%E8%81%B7%E7%B5%A6%E4%BB%98%E8%B2%BB%E7%94%A8&amp;start_date=2026-02-01&amp;end_date=2026-02-28",-28500)</f>
        <v>-28500</v>
      </c>
      <c r="G10" s="34">
        <f>HYPERLINK("https://secure.freee.co.jp/reports/general_ledgers/show?adjustment=all&amp;name=%E9%80%80%E8%81%B7%E7%B5%A6%E4%BB%98%E8%B2%BB%E7%94%A8&amp;start_date=2026-03-01&amp;end_date=2026-03-31",125000)</f>
        <v>125000</v>
      </c>
      <c r="H10" s="38">
        <f>SUM(B10:G10)</f>
        <v>536500</v>
      </c>
      <c r="I10" s="32" t="s">
        <v>446</v>
      </c>
    </row>
    <row r="11" spans="1:9" x14ac:dyDescent="0.25">
      <c r="A11" s="10" t="s">
        <v>519</v>
      </c>
      <c r="B11" s="30">
        <f>HYPERLINK("https://secure.freee.co.jp/reports/general_ledgers/show?adjustment=all&amp;name=%E6%B3%95%E5%AE%9A%E7%A6%8F%E5%88%A9%E8%B2%BB&amp;start_date=2025-10-01&amp;end_date=2025-10-31",498775)</f>
        <v>498775</v>
      </c>
      <c r="C11" s="30">
        <f>HYPERLINK("https://secure.freee.co.jp/reports/general_ledgers/show?adjustment=all&amp;name=%E6%B3%95%E5%AE%9A%E7%A6%8F%E5%88%A9%E8%B2%BB&amp;start_date=2025-11-01&amp;end_date=2025-11-30",663322)</f>
        <v>663322</v>
      </c>
      <c r="D11" s="30">
        <f>HYPERLINK("https://secure.freee.co.jp/reports/general_ledgers/show?adjustment=all&amp;name=%E6%B3%95%E5%AE%9A%E7%A6%8F%E5%88%A9%E8%B2%BB&amp;start_date=2025-12-01&amp;end_date=2025-12-31",442688)</f>
        <v>442688</v>
      </c>
      <c r="E11" s="30">
        <f>HYPERLINK("https://secure.freee.co.jp/reports/general_ledgers/show?adjustment=all&amp;name=%E6%B3%95%E5%AE%9A%E7%A6%8F%E5%88%A9%E8%B2%BB&amp;start_date=2026-01-01&amp;end_date=2026-01-31",444861)</f>
        <v>444861</v>
      </c>
      <c r="F11" s="30">
        <f>HYPERLINK("https://secure.freee.co.jp/reports/general_ledgers/show?adjustment=all&amp;name=%E6%B3%95%E5%AE%9A%E7%A6%8F%E5%88%A9%E8%B2%BB&amp;start_date=2026-02-01&amp;end_date=2026-02-28",442560)</f>
        <v>442560</v>
      </c>
      <c r="G11" s="45">
        <v>0</v>
      </c>
      <c r="H11" s="38">
        <f>SUM(B11:G11)</f>
        <v>2492206</v>
      </c>
      <c r="I11" s="32" t="s">
        <v>446</v>
      </c>
    </row>
    <row r="12" spans="1:9" x14ac:dyDescent="0.25">
      <c r="A12" s="10" t="s">
        <v>520</v>
      </c>
      <c r="B12" s="30">
        <f>HYPERLINK("https://secure.freee.co.jp/reports/general_ledgers/show?adjustment=all&amp;name=%E7%A6%8F%E5%88%A9%E5%8E%9A%E7%94%9F%E8%B2%BB&amp;start_date=2025-10-01&amp;end_date=2025-10-31",48254)</f>
        <v>48254</v>
      </c>
      <c r="C12" s="30">
        <f>HYPERLINK("https://secure.freee.co.jp/reports/general_ledgers/show?adjustment=all&amp;name=%E7%A6%8F%E5%88%A9%E5%8E%9A%E7%94%9F%E8%B2%BB&amp;start_date=2025-11-01&amp;end_date=2025-11-30",48582)</f>
        <v>48582</v>
      </c>
      <c r="D12" s="34">
        <f>HYPERLINK("https://secure.freee.co.jp/reports/general_ledgers/show?adjustment=all&amp;name=%E7%A6%8F%E5%88%A9%E5%8E%9A%E7%94%9F%E8%B2%BB&amp;start_date=2025-12-01&amp;end_date=2025-12-31",4320)</f>
        <v>4320</v>
      </c>
      <c r="E12" s="30">
        <f>HYPERLINK("https://secure.freee.co.jp/reports/general_ledgers/show?adjustment=all&amp;name=%E7%A6%8F%E5%88%A9%E5%8E%9A%E7%94%9F%E8%B2%BB&amp;start_date=2026-01-01&amp;end_date=2026-01-31",2376)</f>
        <v>2376</v>
      </c>
      <c r="F12" s="45">
        <v>0</v>
      </c>
      <c r="G12" s="41">
        <v>0</v>
      </c>
      <c r="H12" s="38">
        <f>SUM(B12:G12)</f>
        <v>103532</v>
      </c>
      <c r="I12" s="32" t="s">
        <v>446</v>
      </c>
    </row>
    <row r="13" spans="1:9" x14ac:dyDescent="0.25">
      <c r="A13" s="10" t="s">
        <v>521</v>
      </c>
      <c r="B13" s="30">
        <f>HYPERLINK("https://secure.freee.co.jp/reports/general_ledgers/show?adjustment=all&amp;name=%E6%8E%A1%E7%94%A8%E6%95%99%E8%82%B2%E8%B2%BB&amp;start_date=2025-10-01&amp;end_date=2025-10-31",82165)</f>
        <v>82165</v>
      </c>
      <c r="C13" s="34">
        <f>HYPERLINK("https://secure.freee.co.jp/reports/general_ledgers/show?adjustment=all&amp;name=%E6%8E%A1%E7%94%A8%E6%95%99%E8%82%B2%E8%B2%BB&amp;start_date=2025-11-01&amp;end_date=2025-11-30",39643)</f>
        <v>39643</v>
      </c>
      <c r="D13" s="34">
        <f>HYPERLINK("https://secure.freee.co.jp/reports/general_ledgers/show?adjustment=all&amp;name=%E6%8E%A1%E7%94%A8%E6%95%99%E8%82%B2%E8%B2%BB&amp;start_date=2025-12-01&amp;end_date=2025-12-31",1353000)</f>
        <v>1353000</v>
      </c>
      <c r="E13" s="34">
        <f>HYPERLINK("https://secure.freee.co.jp/reports/general_ledgers/show?adjustment=all&amp;name=%E6%8E%A1%E7%94%A8%E6%95%99%E8%82%B2%E8%B2%BB&amp;start_date=2026-01-01&amp;end_date=2026-01-31",33000)</f>
        <v>33000</v>
      </c>
      <c r="F13" s="30">
        <f>HYPERLINK("https://secure.freee.co.jp/reports/general_ledgers/show?adjustment=all&amp;name=%E6%8E%A1%E7%94%A8%E6%95%99%E8%82%B2%E8%B2%BB&amp;start_date=2026-02-01&amp;end_date=2026-02-28",33000)</f>
        <v>33000</v>
      </c>
      <c r="G13" s="34">
        <f>HYPERLINK("https://secure.freee.co.jp/reports/general_ledgers/show?adjustment=all&amp;name=%E6%8E%A1%E7%94%A8%E6%95%99%E8%82%B2%E8%B2%BB&amp;start_date=2026-03-01&amp;end_date=2026-03-31",11000)</f>
        <v>11000</v>
      </c>
      <c r="H13" s="38">
        <f>SUM(B13:G13)</f>
        <v>1551808</v>
      </c>
      <c r="I13" s="32" t="s">
        <v>446</v>
      </c>
    </row>
    <row r="14" spans="1:9" x14ac:dyDescent="0.25">
      <c r="A14" s="10" t="s">
        <v>522</v>
      </c>
      <c r="B14" s="30">
        <f>HYPERLINK("https://secure.freee.co.jp/reports/general_ledgers/show?adjustment=all&amp;name=%E5%A4%96%E6%B3%A8%E8%B2%BB&amp;start_date=2025-10-01&amp;end_date=2025-10-31",13800)</f>
        <v>13800</v>
      </c>
      <c r="C14" s="34">
        <f>HYPERLINK("https://secure.freee.co.jp/reports/general_ledgers/show?adjustment=all&amp;name=%E5%A4%96%E6%B3%A8%E8%B2%BB&amp;start_date=2025-11-01&amp;end_date=2025-11-30",27280)</f>
        <v>27280</v>
      </c>
      <c r="D14" s="34">
        <f>HYPERLINK("https://secure.freee.co.jp/reports/general_ledgers/show?adjustment=all&amp;name=%E5%A4%96%E6%B3%A8%E8%B2%BB&amp;start_date=2025-12-01&amp;end_date=2025-12-31",55850)</f>
        <v>55850</v>
      </c>
      <c r="E14" s="34">
        <f>HYPERLINK("https://secure.freee.co.jp/reports/general_ledgers/show?adjustment=all&amp;name=%E5%A4%96%E6%B3%A8%E8%B2%BB&amp;start_date=2026-01-01&amp;end_date=2026-01-31",111127)</f>
        <v>111127</v>
      </c>
      <c r="F14" s="30">
        <f>HYPERLINK("https://secure.freee.co.jp/reports/general_ledgers/show?adjustment=all&amp;name=%E5%A4%96%E6%B3%A8%E8%B2%BB&amp;start_date=2026-02-01&amp;end_date=2026-02-28",133554)</f>
        <v>133554</v>
      </c>
      <c r="G14" s="37">
        <f>HYPERLINK("https://secure.freee.co.jp/reports/general_ledgers/show?adjustment=all&amp;name=%E5%A4%96%E6%B3%A8%E8%B2%BB&amp;start_date=2026-03-01&amp;end_date=2026-03-31",76216)</f>
        <v>76216</v>
      </c>
      <c r="H14" s="38">
        <f>SUM(B14:G14)</f>
        <v>417827</v>
      </c>
      <c r="I14" s="32" t="s">
        <v>446</v>
      </c>
    </row>
    <row r="15" spans="1:9" x14ac:dyDescent="0.25">
      <c r="A15" s="10" t="s">
        <v>523</v>
      </c>
      <c r="B15" s="40">
        <v>0</v>
      </c>
      <c r="C15" s="30">
        <f>HYPERLINK("https://secure.freee.co.jp/reports/general_ledgers/show?adjustment=all&amp;name=%E5%BA%83%E5%91%8A%E5%AE%A3%E4%BC%9D%E8%B2%BB&amp;start_date=2025-11-01&amp;end_date=2025-11-30",6000)</f>
        <v>6000</v>
      </c>
      <c r="D15" s="30">
        <f>HYPERLINK("https://secure.freee.co.jp/reports/general_ledgers/show?adjustment=all&amp;name=%E5%BA%83%E5%91%8A%E5%AE%A3%E4%BC%9D%E8%B2%BB&amp;start_date=2025-12-01&amp;end_date=2025-12-31",5000)</f>
        <v>5000</v>
      </c>
      <c r="E15" s="30">
        <f>HYPERLINK("https://secure.freee.co.jp/reports/general_ledgers/show?adjustment=all&amp;name=%E5%BA%83%E5%91%8A%E5%AE%A3%E4%BC%9D%E8%B2%BB&amp;start_date=2026-01-01&amp;end_date=2026-01-31",4000)</f>
        <v>4000</v>
      </c>
      <c r="F15" s="45">
        <v>0</v>
      </c>
      <c r="G15" s="41">
        <v>0</v>
      </c>
      <c r="H15" s="38">
        <f>SUM(B15:G15)</f>
        <v>15000</v>
      </c>
      <c r="I15" s="32" t="s">
        <v>446</v>
      </c>
    </row>
    <row r="16" spans="1:9" x14ac:dyDescent="0.25">
      <c r="A16" s="10" t="s">
        <v>524</v>
      </c>
      <c r="B16" s="30">
        <f>HYPERLINK("https://secure.freee.co.jp/reports/general_ledgers/show?adjustment=all&amp;name=%E4%BA%A4%E9%9A%9B%E8%B2%BB&amp;start_date=2025-10-01&amp;end_date=2025-10-31",13500)</f>
        <v>13500</v>
      </c>
      <c r="C16" s="45">
        <v>0</v>
      </c>
      <c r="D16" s="30">
        <f>HYPERLINK("https://secure.freee.co.jp/reports/general_ledgers/show?adjustment=all&amp;name=%E4%BA%A4%E9%9A%9B%E8%B2%BB&amp;start_date=2025-12-01&amp;end_date=2025-12-31",40350)</f>
        <v>40350</v>
      </c>
      <c r="E16" s="45">
        <v>0</v>
      </c>
      <c r="F16" s="40">
        <v>0</v>
      </c>
      <c r="G16" s="41">
        <v>0</v>
      </c>
      <c r="H16" s="38">
        <f>SUM(B16:G16)</f>
        <v>53850</v>
      </c>
      <c r="I16" s="32" t="s">
        <v>446</v>
      </c>
    </row>
    <row r="17" spans="1:9" x14ac:dyDescent="0.25">
      <c r="A17" s="10" t="s">
        <v>525</v>
      </c>
      <c r="B17" s="30">
        <f>HYPERLINK("https://secure.freee.co.jp/reports/general_ledgers/show?adjustment=all&amp;name=%E4%BC%9A%E8%AD%B0%E8%B2%BB&amp;start_date=2025-10-01&amp;end_date=2025-10-31",13604)</f>
        <v>13604</v>
      </c>
      <c r="C17" s="34">
        <f>HYPERLINK("https://secure.freee.co.jp/reports/general_ledgers/show?adjustment=all&amp;name=%E4%BC%9A%E8%AD%B0%E8%B2%BB&amp;start_date=2025-11-01&amp;end_date=2025-11-30",2376)</f>
        <v>2376</v>
      </c>
      <c r="D17" s="34">
        <f>HYPERLINK("https://secure.freee.co.jp/reports/general_ledgers/show?adjustment=all&amp;name=%E4%BC%9A%E8%AD%B0%E8%B2%BB&amp;start_date=2025-12-01&amp;end_date=2025-12-31",4820)</f>
        <v>4820</v>
      </c>
      <c r="E17" s="34">
        <f>HYPERLINK("https://secure.freee.co.jp/reports/general_ledgers/show?adjustment=all&amp;name=%E4%BC%9A%E8%AD%B0%E8%B2%BB&amp;start_date=2026-01-01&amp;end_date=2026-01-31",720)</f>
        <v>720</v>
      </c>
      <c r="F17" s="30">
        <f>HYPERLINK("https://secure.freee.co.jp/reports/general_ledgers/show?adjustment=all&amp;name=%E4%BC%9A%E8%AD%B0%E8%B2%BB&amp;start_date=2026-02-01&amp;end_date=2026-02-28",790)</f>
        <v>790</v>
      </c>
      <c r="G17" s="37">
        <f>HYPERLINK("https://secure.freee.co.jp/reports/general_ledgers/show?adjustment=all&amp;name=%E4%BC%9A%E8%AD%B0%E8%B2%BB&amp;start_date=2026-03-01&amp;end_date=2026-03-31",780)</f>
        <v>780</v>
      </c>
      <c r="H17" s="38">
        <f>SUM(B17:G17)</f>
        <v>23090</v>
      </c>
      <c r="I17" s="32" t="s">
        <v>446</v>
      </c>
    </row>
    <row r="18" spans="1:9" x14ac:dyDescent="0.25">
      <c r="A18" s="10" t="s">
        <v>526</v>
      </c>
      <c r="B18" s="30">
        <f>HYPERLINK("https://secure.freee.co.jp/reports/general_ledgers/show?adjustment=all&amp;name=%E6%97%85%E8%B2%BB%E4%BA%A4%E9%80%9A%E8%B2%BB&amp;start_date=2025-10-01&amp;end_date=2025-10-31",83392)</f>
        <v>83392</v>
      </c>
      <c r="C18" s="34">
        <f>HYPERLINK("https://secure.freee.co.jp/reports/general_ledgers/show?adjustment=all&amp;name=%E6%97%85%E8%B2%BB%E4%BA%A4%E9%80%9A%E8%B2%BB&amp;start_date=2025-11-01&amp;end_date=2025-11-30",136960)</f>
        <v>136960</v>
      </c>
      <c r="D18" s="34">
        <f>HYPERLINK("https://secure.freee.co.jp/reports/general_ledgers/show?adjustment=all&amp;name=%E6%97%85%E8%B2%BB%E4%BA%A4%E9%80%9A%E8%B2%BB&amp;start_date=2025-12-01&amp;end_date=2025-12-31",38788)</f>
        <v>38788</v>
      </c>
      <c r="E18" s="34">
        <f>HYPERLINK("https://secure.freee.co.jp/reports/general_ledgers/show?adjustment=all&amp;name=%E6%97%85%E8%B2%BB%E4%BA%A4%E9%80%9A%E8%B2%BB&amp;start_date=2026-01-01&amp;end_date=2026-01-31",70086)</f>
        <v>70086</v>
      </c>
      <c r="F18" s="34">
        <f>HYPERLINK("https://secure.freee.co.jp/reports/general_ledgers/show?adjustment=all&amp;name=%E6%97%85%E8%B2%BB%E4%BA%A4%E9%80%9A%E8%B2%BB&amp;start_date=2026-02-01&amp;end_date=2026-02-28",34588)</f>
        <v>34588</v>
      </c>
      <c r="G18" s="34">
        <f>HYPERLINK("https://secure.freee.co.jp/reports/general_ledgers/show?adjustment=all&amp;name=%E6%97%85%E8%B2%BB%E4%BA%A4%E9%80%9A%E8%B2%BB&amp;start_date=2026-03-01&amp;end_date=2026-03-31",12000)</f>
        <v>12000</v>
      </c>
      <c r="H18" s="38">
        <f>SUM(B18:G18)</f>
        <v>375814</v>
      </c>
      <c r="I18" s="32" t="s">
        <v>446</v>
      </c>
    </row>
    <row r="19" spans="1:9" x14ac:dyDescent="0.25">
      <c r="A19" s="10" t="s">
        <v>527</v>
      </c>
      <c r="B19" s="30">
        <f>HYPERLINK("https://secure.freee.co.jp/reports/general_ledgers/show?adjustment=all&amp;name=%E9%80%9A%E4%BF%A1%E8%B2%BB&amp;start_date=2025-10-01&amp;end_date=2025-10-31",212846)</f>
        <v>212846</v>
      </c>
      <c r="C19" s="34">
        <f>HYPERLINK("https://secure.freee.co.jp/reports/general_ledgers/show?adjustment=all&amp;name=%E9%80%9A%E4%BF%A1%E8%B2%BB&amp;start_date=2025-11-01&amp;end_date=2025-11-30",83918)</f>
        <v>83918</v>
      </c>
      <c r="D19" s="34">
        <f>HYPERLINK("https://secure.freee.co.jp/reports/general_ledgers/show?adjustment=all&amp;name=%E9%80%9A%E4%BF%A1%E8%B2%BB&amp;start_date=2025-12-01&amp;end_date=2025-12-31",135951)</f>
        <v>135951</v>
      </c>
      <c r="E19" s="30">
        <f>HYPERLINK("https://secure.freee.co.jp/reports/general_ledgers/show?adjustment=all&amp;name=%E9%80%9A%E4%BF%A1%E8%B2%BB&amp;start_date=2026-01-01&amp;end_date=2026-01-31",121223)</f>
        <v>121223</v>
      </c>
      <c r="F19" s="30">
        <f>HYPERLINK("https://secure.freee.co.jp/reports/general_ledgers/show?adjustment=all&amp;name=%E9%80%9A%E4%BF%A1%E8%B2%BB&amp;start_date=2026-02-01&amp;end_date=2026-02-28",98867)</f>
        <v>98867</v>
      </c>
      <c r="G19" s="34">
        <f>HYPERLINK("https://secure.freee.co.jp/reports/general_ledgers/show?adjustment=all&amp;name=%E9%80%9A%E4%BF%A1%E8%B2%BB&amp;start_date=2026-03-01&amp;end_date=2026-03-31",308839)</f>
        <v>308839</v>
      </c>
      <c r="H19" s="38">
        <f>SUM(B19:G19)</f>
        <v>961644</v>
      </c>
      <c r="I19" s="32" t="s">
        <v>446</v>
      </c>
    </row>
    <row r="20" spans="1:9" x14ac:dyDescent="0.25">
      <c r="A20" s="10" t="s">
        <v>528</v>
      </c>
      <c r="B20" s="30">
        <f>HYPERLINK("https://secure.freee.co.jp/reports/general_ledgers/show?adjustment=all&amp;name=%E6%B6%88%E8%80%97%E5%93%81%E8%B2%BB&amp;start_date=2025-10-01&amp;end_date=2025-10-31",101307)</f>
        <v>101307</v>
      </c>
      <c r="C20" s="30">
        <f>HYPERLINK("https://secure.freee.co.jp/reports/general_ledgers/show?adjustment=all&amp;name=%E6%B6%88%E8%80%97%E5%93%81%E8%B2%BB&amp;start_date=2025-11-01&amp;end_date=2025-11-30",70288)</f>
        <v>70288</v>
      </c>
      <c r="D20" s="30">
        <f>HYPERLINK("https://secure.freee.co.jp/reports/general_ledgers/show?adjustment=all&amp;name=%E6%B6%88%E8%80%97%E5%93%81%E8%B2%BB&amp;start_date=2025-12-01&amp;end_date=2025-12-31",43638)</f>
        <v>43638</v>
      </c>
      <c r="E20" s="34">
        <f>HYPERLINK("https://secure.freee.co.jp/reports/general_ledgers/show?adjustment=all&amp;name=%E6%B6%88%E8%80%97%E5%93%81%E8%B2%BB&amp;start_date=2026-01-01&amp;end_date=2026-01-31",14975)</f>
        <v>14975</v>
      </c>
      <c r="F20" s="30">
        <f>HYPERLINK("https://secure.freee.co.jp/reports/general_ledgers/show?adjustment=all&amp;name=%E6%B6%88%E8%80%97%E5%93%81%E8%B2%BB&amp;start_date=2026-02-01&amp;end_date=2026-02-28",16943)</f>
        <v>16943</v>
      </c>
      <c r="G20" s="37">
        <f>HYPERLINK("https://secure.freee.co.jp/reports/general_ledgers/show?adjustment=all&amp;name=%E6%B6%88%E8%80%97%E5%93%81%E8%B2%BB&amp;start_date=2026-03-01&amp;end_date=2026-03-31",9582)</f>
        <v>9582</v>
      </c>
      <c r="H20" s="38">
        <f>SUM(B20:G20)</f>
        <v>256733</v>
      </c>
      <c r="I20" s="32" t="s">
        <v>446</v>
      </c>
    </row>
    <row r="21" spans="1:9" x14ac:dyDescent="0.25">
      <c r="A21" s="10" t="s">
        <v>529</v>
      </c>
      <c r="B21" s="30">
        <f>HYPERLINK("https://secure.freee.co.jp/reports/general_ledgers/show?adjustment=all&amp;name=%E6%B0%B4%E9%81%93%E5%85%89%E7%86%B1%E8%B2%BB&amp;start_date=2025-10-01&amp;end_date=2025-10-31",43946)</f>
        <v>43946</v>
      </c>
      <c r="C21" s="30">
        <f>HYPERLINK("https://secure.freee.co.jp/reports/general_ledgers/show?adjustment=all&amp;name=%E6%B0%B4%E9%81%93%E5%85%89%E7%86%B1%E8%B2%BB&amp;start_date=2025-11-01&amp;end_date=2025-11-30",33663)</f>
        <v>33663</v>
      </c>
      <c r="D21" s="30">
        <f>HYPERLINK("https://secure.freee.co.jp/reports/general_ledgers/show?adjustment=all&amp;name=%E6%B0%B4%E9%81%93%E5%85%89%E7%86%B1%E8%B2%BB&amp;start_date=2025-12-01&amp;end_date=2025-12-31",45561)</f>
        <v>45561</v>
      </c>
      <c r="E21" s="30">
        <f>HYPERLINK("https://secure.freee.co.jp/reports/general_ledgers/show?adjustment=all&amp;name=%E6%B0%B4%E9%81%93%E5%85%89%E7%86%B1%E8%B2%BB&amp;start_date=2026-01-01&amp;end_date=2026-01-31",60794)</f>
        <v>60794</v>
      </c>
      <c r="F21" s="30">
        <f>HYPERLINK("https://secure.freee.co.jp/reports/general_ledgers/show?adjustment=all&amp;name=%E6%B0%B4%E9%81%93%E5%85%89%E7%86%B1%E8%B2%BB&amp;start_date=2026-02-01&amp;end_date=2026-02-28",56722)</f>
        <v>56722</v>
      </c>
      <c r="G21" s="37">
        <f>HYPERLINK("https://secure.freee.co.jp/reports/general_ledgers/show?adjustment=all&amp;name=%E6%B0%B4%E9%81%93%E5%85%89%E7%86%B1%E8%B2%BB&amp;start_date=2026-03-01&amp;end_date=2026-03-31",50847)</f>
        <v>50847</v>
      </c>
      <c r="H21" s="38">
        <f>SUM(B21:G21)</f>
        <v>291533</v>
      </c>
      <c r="I21" s="32" t="s">
        <v>446</v>
      </c>
    </row>
    <row r="22" spans="1:9" x14ac:dyDescent="0.25">
      <c r="A22" s="10" t="s">
        <v>530</v>
      </c>
      <c r="B22" s="30">
        <f>HYPERLINK("https://secure.freee.co.jp/reports/general_ledgers/show?adjustment=all&amp;name=%E6%96%B0%E8%81%9E%E5%9B%B3%E6%9B%B8%E8%B2%BB&amp;start_date=2025-10-01&amp;end_date=2025-10-31",10720)</f>
        <v>10720</v>
      </c>
      <c r="C22" s="30">
        <f>HYPERLINK("https://secure.freee.co.jp/reports/general_ledgers/show?adjustment=all&amp;name=%E6%96%B0%E8%81%9E%E5%9B%B3%E6%9B%B8%E8%B2%BB&amp;start_date=2025-11-01&amp;end_date=2025-11-30",11990)</f>
        <v>11990</v>
      </c>
      <c r="D22" s="34">
        <f>HYPERLINK("https://secure.freee.co.jp/reports/general_ledgers/show?adjustment=all&amp;name=%E6%96%B0%E8%81%9E%E5%9B%B3%E6%9B%B8%E8%B2%BB&amp;start_date=2025-12-01&amp;end_date=2025-12-31",19360)</f>
        <v>19360</v>
      </c>
      <c r="E22" s="30">
        <f>HYPERLINK("https://secure.freee.co.jp/reports/general_ledgers/show?adjustment=all&amp;name=%E6%96%B0%E8%81%9E%E5%9B%B3%E6%9B%B8%E8%B2%BB&amp;start_date=2026-01-01&amp;end_date=2026-01-31",15745)</f>
        <v>15745</v>
      </c>
      <c r="F22" s="30">
        <f>HYPERLINK("https://secure.freee.co.jp/reports/general_ledgers/show?adjustment=all&amp;name=%E6%96%B0%E8%81%9E%E5%9B%B3%E6%9B%B8%E8%B2%BB&amp;start_date=2026-02-01&amp;end_date=2026-02-28",9872)</f>
        <v>9872</v>
      </c>
      <c r="G22" s="37">
        <f>HYPERLINK("https://secure.freee.co.jp/reports/general_ledgers/show?adjustment=all&amp;name=%E6%96%B0%E8%81%9E%E5%9B%B3%E6%9B%B8%E8%B2%BB&amp;start_date=2026-03-01&amp;end_date=2026-03-31",7480)</f>
        <v>7480</v>
      </c>
      <c r="H22" s="38">
        <f>SUM(B22:G22)</f>
        <v>75167</v>
      </c>
      <c r="I22" s="32" t="s">
        <v>446</v>
      </c>
    </row>
    <row r="23" spans="1:9" x14ac:dyDescent="0.25">
      <c r="A23" s="10" t="s">
        <v>531</v>
      </c>
      <c r="B23" s="30">
        <f>HYPERLINK("https://secure.freee.co.jp/reports/general_ledgers/show?adjustment=all&amp;name=%E8%AB%B8%E4%BC%9A%E8%B2%BB&amp;start_date=2025-10-01&amp;end_date=2025-10-31",99000)</f>
        <v>99000</v>
      </c>
      <c r="C23" s="30">
        <f>HYPERLINK("https://secure.freee.co.jp/reports/general_ledgers/show?adjustment=all&amp;name=%E8%AB%B8%E4%BC%9A%E8%B2%BB&amp;start_date=2025-11-01&amp;end_date=2025-11-30",57000)</f>
        <v>57000</v>
      </c>
      <c r="D23" s="45">
        <v>0</v>
      </c>
      <c r="E23" s="30">
        <f>HYPERLINK("https://secure.freee.co.jp/reports/general_ledgers/show?adjustment=all&amp;name=%E8%AB%B8%E4%BC%9A%E8%B2%BB&amp;start_date=2026-01-01&amp;end_date=2026-01-31",81000)</f>
        <v>81000</v>
      </c>
      <c r="F23" s="45">
        <v>0</v>
      </c>
      <c r="G23" s="41">
        <v>0</v>
      </c>
      <c r="H23" s="38">
        <f>SUM(B23:G23)</f>
        <v>237000</v>
      </c>
      <c r="I23" s="32" t="s">
        <v>446</v>
      </c>
    </row>
    <row r="24" spans="1:9" x14ac:dyDescent="0.25">
      <c r="A24" s="10" t="s">
        <v>532</v>
      </c>
      <c r="B24" s="30">
        <f>HYPERLINK("https://secure.freee.co.jp/reports/general_ledgers/show?adjustment=all&amp;name=%E6%94%AF%E6%89%95%E6%89%8B%E6%95%B0%E6%96%99&amp;start_date=2025-10-01&amp;end_date=2025-10-31",370658)</f>
        <v>370658</v>
      </c>
      <c r="C24" s="30">
        <f>HYPERLINK("https://secure.freee.co.jp/reports/general_ledgers/show?adjustment=all&amp;name=%E6%94%AF%E6%89%95%E6%89%8B%E6%95%B0%E6%96%99&amp;start_date=2025-11-01&amp;end_date=2025-11-30",427960)</f>
        <v>427960</v>
      </c>
      <c r="D24" s="34">
        <f>HYPERLINK("https://secure.freee.co.jp/reports/general_ledgers/show?adjustment=all&amp;name=%E6%94%AF%E6%89%95%E6%89%8B%E6%95%B0%E6%96%99&amp;start_date=2025-12-01&amp;end_date=2025-12-31",935158)</f>
        <v>935158</v>
      </c>
      <c r="E24" s="30">
        <f>HYPERLINK("https://secure.freee.co.jp/reports/general_ledgers/show?adjustment=all&amp;name=%E6%94%AF%E6%89%95%E6%89%8B%E6%95%B0%E6%96%99&amp;start_date=2026-01-01&amp;end_date=2026-01-31",526854)</f>
        <v>526854</v>
      </c>
      <c r="F24" s="30">
        <f>HYPERLINK("https://secure.freee.co.jp/reports/general_ledgers/show?adjustment=all&amp;name=%E6%94%AF%E6%89%95%E6%89%8B%E6%95%B0%E6%96%99&amp;start_date=2026-02-01&amp;end_date=2026-02-28",485365)</f>
        <v>485365</v>
      </c>
      <c r="G24" s="37">
        <f>HYPERLINK("https://secure.freee.co.jp/reports/general_ledgers/show?adjustment=all&amp;name=%E6%94%AF%E6%89%95%E6%89%8B%E6%95%B0%E6%96%99&amp;start_date=2026-03-01&amp;end_date=2026-03-31",253947)</f>
        <v>253947</v>
      </c>
      <c r="H24" s="38">
        <f>SUM(B24:G24)</f>
        <v>2999942</v>
      </c>
      <c r="I24" s="32" t="s">
        <v>446</v>
      </c>
    </row>
    <row r="25" spans="1:9" x14ac:dyDescent="0.25">
      <c r="A25" s="10" t="s">
        <v>533</v>
      </c>
      <c r="B25" s="30">
        <f>HYPERLINK("https://secure.freee.co.jp/reports/general_ledgers/show?adjustment=all&amp;name=%E5%9C%B0%E4%BB%A3%E5%AE%B6%E8%B3%83&amp;start_date=2025-10-01&amp;end_date=2025-10-31",141573)</f>
        <v>141573</v>
      </c>
      <c r="C25" s="30">
        <f>HYPERLINK("https://secure.freee.co.jp/reports/general_ledgers/show?adjustment=all&amp;name=%E5%9C%B0%E4%BB%A3%E5%AE%B6%E8%B3%83&amp;start_date=2025-11-01&amp;end_date=2025-11-30",141573)</f>
        <v>141573</v>
      </c>
      <c r="D25" s="30">
        <f>HYPERLINK("https://secure.freee.co.jp/reports/general_ledgers/show?adjustment=all&amp;name=%E5%9C%B0%E4%BB%A3%E5%AE%B6%E8%B3%83&amp;start_date=2025-12-01&amp;end_date=2025-12-31",141573)</f>
        <v>141573</v>
      </c>
      <c r="E25" s="30">
        <f>HYPERLINK("https://secure.freee.co.jp/reports/general_ledgers/show?adjustment=all&amp;name=%E5%9C%B0%E4%BB%A3%E5%AE%B6%E8%B3%83&amp;start_date=2026-01-01&amp;end_date=2026-01-31",141573)</f>
        <v>141573</v>
      </c>
      <c r="F25" s="34">
        <f>HYPERLINK("https://secure.freee.co.jp/reports/general_ledgers/show?adjustment=all&amp;name=%E5%9C%B0%E4%BB%A3%E5%AE%B6%E8%B3%83&amp;start_date=2026-02-01&amp;end_date=2026-02-28",280073)</f>
        <v>280073</v>
      </c>
      <c r="G25" s="45">
        <v>0</v>
      </c>
      <c r="H25" s="38">
        <f>SUM(B25:G25)</f>
        <v>846365</v>
      </c>
      <c r="I25" s="32" t="s">
        <v>446</v>
      </c>
    </row>
    <row r="26" spans="1:9" x14ac:dyDescent="0.25">
      <c r="A26" s="10" t="s">
        <v>534</v>
      </c>
      <c r="B26" s="30">
        <f>HYPERLINK("https://secure.freee.co.jp/reports/general_ledgers/show?adjustment=all&amp;name=%E4%BF%9D%E9%99%BA%E6%96%99&amp;start_date=2025-10-01&amp;end_date=2025-10-31",100410)</f>
        <v>100410</v>
      </c>
      <c r="C26" s="30">
        <f>HYPERLINK("https://secure.freee.co.jp/reports/general_ledgers/show?adjustment=all&amp;name=%E4%BF%9D%E9%99%BA%E6%96%99&amp;start_date=2025-11-01&amp;end_date=2025-11-30",100410)</f>
        <v>100410</v>
      </c>
      <c r="D26" s="30">
        <f>HYPERLINK("https://secure.freee.co.jp/reports/general_ledgers/show?adjustment=all&amp;name=%E4%BF%9D%E9%99%BA%E6%96%99&amp;start_date=2025-12-01&amp;end_date=2025-12-31",100410)</f>
        <v>100410</v>
      </c>
      <c r="E26" s="30">
        <f>HYPERLINK("https://secure.freee.co.jp/reports/general_ledgers/show?adjustment=all&amp;name=%E4%BF%9D%E9%99%BA%E6%96%99&amp;start_date=2026-01-01&amp;end_date=2026-01-31",100410)</f>
        <v>100410</v>
      </c>
      <c r="F26" s="30">
        <f>HYPERLINK("https://secure.freee.co.jp/reports/general_ledgers/show?adjustment=all&amp;name=%E4%BF%9D%E9%99%BA%E6%96%99&amp;start_date=2026-02-01&amp;end_date=2026-02-28",100410)</f>
        <v>100410</v>
      </c>
      <c r="G26" s="34">
        <f>HYPERLINK("https://secure.freee.co.jp/reports/general_ledgers/show?adjustment=all&amp;name=%E4%BF%9D%E9%99%BA%E6%96%99&amp;start_date=2026-03-01&amp;end_date=2026-03-31",163200)</f>
        <v>163200</v>
      </c>
      <c r="H26" s="38">
        <f>SUM(B26:G26)</f>
        <v>665250</v>
      </c>
      <c r="I26" s="32" t="s">
        <v>446</v>
      </c>
    </row>
    <row r="27" spans="1:9" x14ac:dyDescent="0.25">
      <c r="A27" s="10" t="s">
        <v>535</v>
      </c>
      <c r="B27" s="40">
        <v>0</v>
      </c>
      <c r="C27" s="40">
        <v>0</v>
      </c>
      <c r="D27" s="40">
        <v>0</v>
      </c>
      <c r="E27" s="40">
        <v>0</v>
      </c>
      <c r="F27" s="40">
        <v>0</v>
      </c>
      <c r="G27" s="37">
        <f>HYPERLINK("https://secure.freee.co.jp/reports/general_ledgers/show?adjustment=all&amp;name=%E7%A7%9F%E7%A8%8E%E5%85%AC%E8%AA%B2&amp;start_date=2026-03-01&amp;end_date=2026-03-31",600)</f>
        <v>600</v>
      </c>
      <c r="H27" s="38">
        <f>SUM(B27:G27)</f>
        <v>600</v>
      </c>
      <c r="I27" s="32" t="s">
        <v>446</v>
      </c>
    </row>
    <row r="28" spans="1:9" x14ac:dyDescent="0.25">
      <c r="A28" s="10" t="s">
        <v>536</v>
      </c>
      <c r="B28" s="30">
        <f>HYPERLINK("https://secure.freee.co.jp/reports/general_ledgers/show?adjustment=all&amp;name=%E6%B8%9B%E4%BE%A1%E5%84%9F%E5%8D%B4%E8%B2%BB&amp;start_date=2025-10-01&amp;end_date=2025-10-31",95688)</f>
        <v>95688</v>
      </c>
      <c r="C28" s="30">
        <f>HYPERLINK("https://secure.freee.co.jp/reports/general_ledgers/show?adjustment=all&amp;name=%E6%B8%9B%E4%BE%A1%E5%84%9F%E5%8D%B4%E8%B2%BB&amp;start_date=2025-11-01&amp;end_date=2025-11-30",95688)</f>
        <v>95688</v>
      </c>
      <c r="D28" s="30">
        <f>HYPERLINK("https://secure.freee.co.jp/reports/general_ledgers/show?adjustment=all&amp;name=%E6%B8%9B%E4%BE%A1%E5%84%9F%E5%8D%B4%E8%B2%BB&amp;start_date=2025-12-01&amp;end_date=2025-12-31",101288)</f>
        <v>101288</v>
      </c>
      <c r="E28" s="30">
        <f>HYPERLINK("https://secure.freee.co.jp/reports/general_ledgers/show?adjustment=all&amp;name=%E6%B8%9B%E4%BE%A1%E5%84%9F%E5%8D%B4%E8%B2%BB&amp;start_date=2026-01-01&amp;end_date=2026-01-31",101288)</f>
        <v>101288</v>
      </c>
      <c r="F28" s="30">
        <f>HYPERLINK("https://secure.freee.co.jp/reports/general_ledgers/show?adjustment=all&amp;name=%E6%B8%9B%E4%BE%A1%E5%84%9F%E5%8D%B4%E8%B2%BB&amp;start_date=2026-02-01&amp;end_date=2026-02-28",101288)</f>
        <v>101288</v>
      </c>
      <c r="G28" s="37">
        <f>HYPERLINK("https://secure.freee.co.jp/reports/general_ledgers/show?adjustment=all&amp;name=%E6%B8%9B%E4%BE%A1%E5%84%9F%E5%8D%B4%E8%B2%BB&amp;start_date=2026-03-01&amp;end_date=2026-03-31",101288)</f>
        <v>101288</v>
      </c>
      <c r="H28" s="38">
        <f>SUM(B28:G28)</f>
        <v>596528</v>
      </c>
      <c r="I28" s="32" t="s">
        <v>446</v>
      </c>
    </row>
    <row r="29" spans="1:9" x14ac:dyDescent="0.25">
      <c r="A29" s="10" t="s">
        <v>537</v>
      </c>
      <c r="B29" s="30">
        <f>HYPERLINK("https://secure.freee.co.jp/reports/general_ledgers/show?adjustment=all&amp;name=%E9%95%B7%E6%9C%9F%E5%89%8D%E6%89%95%E8%B2%BB%E7%94%A8%E5%84%9F%E5%8D%B4&amp;start_date=2025-10-01&amp;end_date=2025-10-31",12611)</f>
        <v>12611</v>
      </c>
      <c r="C29" s="30">
        <f>HYPERLINK("https://secure.freee.co.jp/reports/general_ledgers/show?adjustment=all&amp;name=%E9%95%B7%E6%9C%9F%E5%89%8D%E6%89%95%E8%B2%BB%E7%94%A8%E5%84%9F%E5%8D%B4&amp;start_date=2025-11-01&amp;end_date=2025-11-30",12611)</f>
        <v>12611</v>
      </c>
      <c r="D29" s="30">
        <f>HYPERLINK("https://secure.freee.co.jp/reports/general_ledgers/show?adjustment=all&amp;name=%E9%95%B7%E6%9C%9F%E5%89%8D%E6%89%95%E8%B2%BB%E7%94%A8%E5%84%9F%E5%8D%B4&amp;start_date=2025-12-01&amp;end_date=2025-12-31",12611)</f>
        <v>12611</v>
      </c>
      <c r="E29" s="30">
        <f>HYPERLINK("https://secure.freee.co.jp/reports/general_ledgers/show?adjustment=all&amp;name=%E9%95%B7%E6%9C%9F%E5%89%8D%E6%89%95%E8%B2%BB%E7%94%A8%E5%84%9F%E5%8D%B4&amp;start_date=2026-01-01&amp;end_date=2026-01-31",12611)</f>
        <v>12611</v>
      </c>
      <c r="F29" s="30">
        <f>HYPERLINK("https://secure.freee.co.jp/reports/general_ledgers/show?adjustment=all&amp;name=%E9%95%B7%E6%9C%9F%E5%89%8D%E6%89%95%E8%B2%BB%E7%94%A8%E5%84%9F%E5%8D%B4&amp;start_date=2026-02-01&amp;end_date=2026-02-28",12611)</f>
        <v>12611</v>
      </c>
      <c r="G29" s="37">
        <f>HYPERLINK("https://secure.freee.co.jp/reports/general_ledgers/show?adjustment=all&amp;name=%E9%95%B7%E6%9C%9F%E5%89%8D%E6%89%95%E8%B2%BB%E7%94%A8%E5%84%9F%E5%8D%B4&amp;start_date=2026-03-01&amp;end_date=2026-03-31",12611)</f>
        <v>12611</v>
      </c>
      <c r="H29" s="38">
        <f>SUM(B29:G29)</f>
        <v>75666</v>
      </c>
      <c r="I29" s="32" t="s">
        <v>446</v>
      </c>
    </row>
    <row r="30" spans="1:9" x14ac:dyDescent="0.25">
      <c r="A30" s="10" t="s">
        <v>538</v>
      </c>
      <c r="B30" s="30">
        <f>HYPERLINK("https://secure.freee.co.jp/reports/general_ledgers/show?adjustment=all&amp;name=%E9%9B%91%E8%B2%BB&amp;start_date=2025-10-01&amp;end_date=2025-10-31",6195)</f>
        <v>6195</v>
      </c>
      <c r="C30" s="45">
        <v>0</v>
      </c>
      <c r="D30" s="40">
        <v>0</v>
      </c>
      <c r="E30" s="40">
        <v>0</v>
      </c>
      <c r="F30" s="40">
        <v>0</v>
      </c>
      <c r="G30" s="41">
        <v>0</v>
      </c>
      <c r="H30" s="38">
        <f>SUM(B30:G30)</f>
        <v>6195</v>
      </c>
      <c r="I30" s="32" t="s">
        <v>446</v>
      </c>
    </row>
    <row r="31" spans="1:9" x14ac:dyDescent="0.25">
      <c r="A31" s="42" t="s">
        <v>539</v>
      </c>
      <c r="B31" s="43">
        <v>6829920</v>
      </c>
      <c r="C31" s="43">
        <v>6954382</v>
      </c>
      <c r="D31" s="43">
        <v>9619792</v>
      </c>
      <c r="E31" s="43">
        <v>6445351</v>
      </c>
      <c r="F31" s="43">
        <v>6568829</v>
      </c>
      <c r="G31" s="43">
        <v>1133390</v>
      </c>
      <c r="H31" s="43">
        <f>SUM(B31:G31)</f>
        <v>37551664</v>
      </c>
      <c r="I31" s="44"/>
    </row>
    <row r="32" spans="1:9" x14ac:dyDescent="0.25">
      <c r="A32" s="42" t="s">
        <v>540</v>
      </c>
      <c r="B32" s="43">
        <v>-141606</v>
      </c>
      <c r="C32" s="43">
        <v>598802</v>
      </c>
      <c r="D32" s="43">
        <v>-1725653</v>
      </c>
      <c r="E32" s="43">
        <v>7505108</v>
      </c>
      <c r="F32" s="43">
        <v>1481975</v>
      </c>
      <c r="G32" s="43">
        <v>15244265</v>
      </c>
      <c r="H32" s="43">
        <f>SUM(B32:G32)</f>
        <v>22962891</v>
      </c>
      <c r="I32" s="44"/>
    </row>
    <row r="33" spans="1:9" x14ac:dyDescent="0.25">
      <c r="A33" s="10" t="s">
        <v>541</v>
      </c>
      <c r="B33" s="30">
        <f>HYPERLINK("https://secure.freee.co.jp/reports/general_ledgers/show?adjustment=all&amp;name=%E5%8F%97%E5%8F%96%E5%88%A9%E6%81%AF&amp;start_date=2025-10-01&amp;end_date=2025-10-31",5742)</f>
        <v>5742</v>
      </c>
      <c r="C33" s="30">
        <f>HYPERLINK("https://secure.freee.co.jp/reports/general_ledgers/show?adjustment=all&amp;name=%E5%8F%97%E5%8F%96%E5%88%A9%E6%81%AF&amp;start_date=2025-11-01&amp;end_date=2025-11-30",5472)</f>
        <v>5472</v>
      </c>
      <c r="D33" s="30">
        <f>HYPERLINK("https://secure.freee.co.jp/reports/general_ledgers/show?adjustment=all&amp;name=%E5%8F%97%E5%8F%96%E5%88%A9%E6%81%AF&amp;start_date=2025-12-01&amp;end_date=2025-12-31",5557)</f>
        <v>5557</v>
      </c>
      <c r="E33" s="30">
        <f>HYPERLINK("https://secure.freee.co.jp/reports/general_ledgers/show?adjustment=all&amp;name=%E5%8F%97%E5%8F%96%E5%88%A9%E6%81%AF&amp;start_date=2026-01-01&amp;end_date=2026-01-31",4277)</f>
        <v>4277</v>
      </c>
      <c r="F33" s="30">
        <f>HYPERLINK("https://secure.freee.co.jp/reports/general_ledgers/show?adjustment=all&amp;name=%E5%8F%97%E5%8F%96%E5%88%A9%E6%81%AF&amp;start_date=2026-02-01&amp;end_date=2026-02-28",4290)</f>
        <v>4290</v>
      </c>
      <c r="G33" s="37">
        <f>HYPERLINK("https://secure.freee.co.jp/reports/general_ledgers/show?adjustment=all&amp;name=%E5%8F%97%E5%8F%96%E5%88%A9%E6%81%AF&amp;start_date=2026-03-01&amp;end_date=2026-03-31",4129)</f>
        <v>4129</v>
      </c>
      <c r="H33" s="38">
        <f>SUM(B33:G33)</f>
        <v>29467</v>
      </c>
      <c r="I33" s="32" t="s">
        <v>446</v>
      </c>
    </row>
    <row r="34" spans="1:9" x14ac:dyDescent="0.25">
      <c r="A34" s="10" t="s">
        <v>542</v>
      </c>
      <c r="B34" s="40">
        <v>0</v>
      </c>
      <c r="C34" s="40">
        <v>0</v>
      </c>
      <c r="D34" s="40">
        <v>0</v>
      </c>
      <c r="E34" s="30">
        <f>HYPERLINK("https://secure.freee.co.jp/reports/general_ledgers/show?adjustment=all&amp;name=%E9%9B%91%E5%8F%8E%E5%85%A5&amp;start_date=2026-01-01&amp;end_date=2026-01-31",400000)</f>
        <v>400000</v>
      </c>
      <c r="F34" s="45">
        <v>0</v>
      </c>
      <c r="G34" s="41">
        <v>0</v>
      </c>
      <c r="H34" s="38">
        <f>SUM(B34:G34)</f>
        <v>400000</v>
      </c>
      <c r="I34" s="32" t="s">
        <v>446</v>
      </c>
    </row>
    <row r="35" spans="1:9" x14ac:dyDescent="0.25">
      <c r="A35" s="10" t="s">
        <v>543</v>
      </c>
      <c r="B35" s="30">
        <v>5742</v>
      </c>
      <c r="C35" s="30">
        <v>5472</v>
      </c>
      <c r="D35" s="30">
        <v>5557</v>
      </c>
      <c r="E35" s="30">
        <v>404277</v>
      </c>
      <c r="F35" s="30">
        <v>4290</v>
      </c>
      <c r="G35" s="37">
        <v>4129</v>
      </c>
      <c r="H35" s="38">
        <f>SUM(B35:G35)</f>
        <v>429467</v>
      </c>
      <c r="I35" s="39"/>
    </row>
    <row r="36" spans="1:9" x14ac:dyDescent="0.25">
      <c r="A36" s="10" t="s">
        <v>544</v>
      </c>
      <c r="B36" s="30">
        <f>HYPERLINK("https://secure.freee.co.jp/reports/general_ledgers/show?adjustment=all&amp;name=%E6%94%AF%E6%89%95%E5%88%A9%E6%81%AF&amp;start_date=2025-10-01&amp;end_date=2025-10-31",11903)</f>
        <v>11903</v>
      </c>
      <c r="C36" s="45">
        <v>0</v>
      </c>
      <c r="D36" s="40">
        <v>0</v>
      </c>
      <c r="E36" s="40">
        <v>0</v>
      </c>
      <c r="F36" s="40">
        <v>0</v>
      </c>
      <c r="G36" s="41">
        <v>0</v>
      </c>
      <c r="H36" s="38">
        <f>SUM(B36:G36)</f>
        <v>11903</v>
      </c>
      <c r="I36" s="32" t="s">
        <v>446</v>
      </c>
    </row>
    <row r="37" spans="1:9" x14ac:dyDescent="0.25">
      <c r="A37" s="10" t="s">
        <v>545</v>
      </c>
      <c r="B37" s="30">
        <v>11903</v>
      </c>
      <c r="C37" s="40">
        <v>0</v>
      </c>
      <c r="D37" s="40">
        <v>0</v>
      </c>
      <c r="E37" s="40">
        <v>0</v>
      </c>
      <c r="F37" s="40">
        <v>0</v>
      </c>
      <c r="G37" s="41">
        <v>0</v>
      </c>
      <c r="H37" s="38">
        <f>SUM(B37:G37)</f>
        <v>11903</v>
      </c>
      <c r="I37" s="39"/>
    </row>
    <row r="38" spans="1:9" x14ac:dyDescent="0.25">
      <c r="A38" s="42" t="s">
        <v>546</v>
      </c>
      <c r="B38" s="43">
        <v>-147767</v>
      </c>
      <c r="C38" s="43">
        <v>604274</v>
      </c>
      <c r="D38" s="43">
        <v>-1720096</v>
      </c>
      <c r="E38" s="43">
        <v>7909385</v>
      </c>
      <c r="F38" s="43">
        <v>1486265</v>
      </c>
      <c r="G38" s="43">
        <v>15248394</v>
      </c>
      <c r="H38" s="43">
        <f>SUM(B38:G38)</f>
        <v>23380455</v>
      </c>
      <c r="I38" s="44"/>
    </row>
    <row r="39" spans="1:9" x14ac:dyDescent="0.25">
      <c r="A39" s="10" t="s">
        <v>547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1">
        <v>0</v>
      </c>
      <c r="H39" s="38">
        <f>SUM(B39:G39)</f>
        <v>0</v>
      </c>
      <c r="I39" s="39"/>
    </row>
    <row r="40" spans="1:9" x14ac:dyDescent="0.25">
      <c r="A40" s="10" t="s">
        <v>548</v>
      </c>
      <c r="B40" s="40">
        <v>0</v>
      </c>
      <c r="C40" s="40">
        <v>0</v>
      </c>
      <c r="D40" s="40">
        <v>0</v>
      </c>
      <c r="E40" s="40">
        <v>0</v>
      </c>
      <c r="F40" s="40">
        <v>0</v>
      </c>
      <c r="G40" s="41">
        <v>0</v>
      </c>
      <c r="H40" s="38">
        <f>SUM(B40:G40)</f>
        <v>0</v>
      </c>
      <c r="I40" s="39"/>
    </row>
    <row r="41" spans="1:9" x14ac:dyDescent="0.25">
      <c r="A41" s="42" t="s">
        <v>549</v>
      </c>
      <c r="B41" s="43">
        <v>-147767</v>
      </c>
      <c r="C41" s="43">
        <v>604274</v>
      </c>
      <c r="D41" s="43">
        <v>-1720096</v>
      </c>
      <c r="E41" s="43">
        <v>7909385</v>
      </c>
      <c r="F41" s="43">
        <v>1486265</v>
      </c>
      <c r="G41" s="43">
        <v>15248394</v>
      </c>
      <c r="H41" s="43">
        <f>SUM(B41:G41)</f>
        <v>23380455</v>
      </c>
      <c r="I41" s="44"/>
    </row>
    <row r="42" spans="1:9" x14ac:dyDescent="0.25">
      <c r="A42" s="10" t="s">
        <v>550</v>
      </c>
      <c r="B42" s="30">
        <f>HYPERLINK("https://secure.freee.co.jp/reports/general_ledgers/show?adjustment=all&amp;name=%E6%B3%95%E4%BA%BA%E7%A8%8E%E3%83%BB%E4%BD%8F%E6%B0%91%E7%A8%8E%E5%8F%8A%E3%81%B3%E4%BA%8B%E6%A5%AD%E7%A8%8E&amp;start_date=2025-10-01&amp;end_date=2025-10-31",879)</f>
        <v>879</v>
      </c>
      <c r="C42" s="30">
        <f>HYPERLINK("https://secure.freee.co.jp/reports/general_ledgers/show?adjustment=all&amp;name=%E6%B3%95%E4%BA%BA%E7%A8%8E%E3%83%BB%E4%BD%8F%E6%B0%91%E7%A8%8E%E5%8F%8A%E3%81%B3%E4%BA%8B%E6%A5%AD%E7%A8%8E&amp;start_date=2025-11-01&amp;end_date=2025-11-30",838)</f>
        <v>838</v>
      </c>
      <c r="D42" s="30">
        <f>HYPERLINK("https://secure.freee.co.jp/reports/general_ledgers/show?adjustment=all&amp;name=%E6%B3%95%E4%BA%BA%E7%A8%8E%E3%83%BB%E4%BD%8F%E6%B0%91%E7%A8%8E%E5%8F%8A%E3%81%B3%E4%BA%8B%E6%A5%AD%E7%A8%8E&amp;start_date=2025-12-01&amp;end_date=2025-12-31",851)</f>
        <v>851</v>
      </c>
      <c r="E42" s="30">
        <f>HYPERLINK("https://secure.freee.co.jp/reports/general_ledgers/show?adjustment=all&amp;name=%E6%B3%95%E4%BA%BA%E7%A8%8E%E3%83%BB%E4%BD%8F%E6%B0%91%E7%A8%8E%E5%8F%8A%E3%81%B3%E4%BA%8B%E6%A5%AD%E7%A8%8E&amp;start_date=2026-01-01&amp;end_date=2026-01-31",655)</f>
        <v>655</v>
      </c>
      <c r="F42" s="30">
        <f>HYPERLINK("https://secure.freee.co.jp/reports/general_ledgers/show?adjustment=all&amp;name=%E6%B3%95%E4%BA%BA%E7%A8%8E%E3%83%BB%E4%BD%8F%E6%B0%91%E7%A8%8E%E5%8F%8A%E3%81%B3%E4%BA%8B%E6%A5%AD%E7%A8%8E&amp;start_date=2026-02-01&amp;end_date=2026-02-28",657)</f>
        <v>657</v>
      </c>
      <c r="G42" s="37">
        <f>HYPERLINK("https://secure.freee.co.jp/reports/general_ledgers/show?adjustment=all&amp;name=%E6%B3%95%E4%BA%BA%E7%A8%8E%E3%83%BB%E4%BD%8F%E6%B0%91%E7%A8%8E%E5%8F%8A%E3%81%B3%E4%BA%8B%E6%A5%AD%E7%A8%8E&amp;start_date=2026-03-01&amp;end_date=2026-03-31",632)</f>
        <v>632</v>
      </c>
      <c r="H42" s="38">
        <f>SUM(B42:G42)</f>
        <v>4512</v>
      </c>
      <c r="I42" s="32" t="s">
        <v>446</v>
      </c>
    </row>
    <row r="43" spans="1:9" x14ac:dyDescent="0.25">
      <c r="A43" s="10" t="s">
        <v>551</v>
      </c>
      <c r="B43" s="30">
        <v>879</v>
      </c>
      <c r="C43" s="30">
        <v>838</v>
      </c>
      <c r="D43" s="30">
        <v>851</v>
      </c>
      <c r="E43" s="30">
        <v>655</v>
      </c>
      <c r="F43" s="30">
        <v>657</v>
      </c>
      <c r="G43" s="37">
        <v>632</v>
      </c>
      <c r="H43" s="38">
        <f>SUM(B43:G43)</f>
        <v>4512</v>
      </c>
      <c r="I43" s="39"/>
    </row>
    <row r="44" spans="1:9" x14ac:dyDescent="0.25">
      <c r="A44" s="42" t="s">
        <v>552</v>
      </c>
      <c r="B44" s="43">
        <v>-148646</v>
      </c>
      <c r="C44" s="43">
        <v>603436</v>
      </c>
      <c r="D44" s="43">
        <v>-1720947</v>
      </c>
      <c r="E44" s="43">
        <v>7908730</v>
      </c>
      <c r="F44" s="43">
        <v>1485608</v>
      </c>
      <c r="G44" s="43">
        <v>15247762</v>
      </c>
      <c r="H44" s="43">
        <f>SUM(B44:G44)</f>
        <v>23375943</v>
      </c>
      <c r="I44" s="44"/>
    </row>
  </sheetData>
  <mergeCells count="1">
    <mergeCell ref="A1:I1"/>
  </mergeCells>
  <hyperlinks>
    <hyperlink ref="I7" r:id="rId1"/>
    <hyperlink ref="I8" r:id="rId2"/>
    <hyperlink ref="I9" r:id="rId3"/>
    <hyperlink ref="I10" r:id="rId4"/>
    <hyperlink ref="I11" r:id="rId5"/>
    <hyperlink ref="I12" r:id="rId6"/>
    <hyperlink ref="I13" r:id="rId7"/>
    <hyperlink ref="I14" r:id="rId8"/>
    <hyperlink ref="I15" r:id="rId9"/>
    <hyperlink ref="I16" r:id="rId10"/>
    <hyperlink ref="I17" r:id="rId11"/>
    <hyperlink ref="I18" r:id="rId12"/>
    <hyperlink ref="I19" r:id="rId13"/>
    <hyperlink ref="I20" r:id="rId14"/>
    <hyperlink ref="I21" r:id="rId15"/>
    <hyperlink ref="I22" r:id="rId16"/>
    <hyperlink ref="I23" r:id="rId17"/>
    <hyperlink ref="I24" r:id="rId18"/>
    <hyperlink ref="I25" r:id="rId19"/>
    <hyperlink ref="I26" r:id="rId20"/>
    <hyperlink ref="I27" r:id="rId21"/>
    <hyperlink ref="I28" r:id="rId22"/>
    <hyperlink ref="I29" r:id="rId23"/>
    <hyperlink ref="I30" r:id="rId24"/>
    <hyperlink ref="I33" r:id="rId25"/>
    <hyperlink ref="I34" r:id="rId26"/>
    <hyperlink ref="I36" r:id="rId27"/>
    <hyperlink ref="I42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440</v>
      </c>
      <c r="B1" s="5" t="s">
        <v>553</v>
      </c>
      <c r="C1" s="5" t="s">
        <v>554</v>
      </c>
      <c r="D1" s="5" t="s">
        <v>555</v>
      </c>
    </row>
    <row r="2" spans="1:4" x14ac:dyDescent="0.25">
      <c r="A2" s="10" t="s">
        <v>454</v>
      </c>
      <c r="B2" s="10" t="s">
        <v>556</v>
      </c>
      <c r="C2" s="30">
        <v>16859895</v>
      </c>
      <c r="D2" s="14" t="s">
        <v>557</v>
      </c>
    </row>
    <row r="3" spans="1:4" x14ac:dyDescent="0.25">
      <c r="A3" s="10" t="s">
        <v>477</v>
      </c>
      <c r="B3" s="10" t="s">
        <v>558</v>
      </c>
      <c r="C3" s="30">
        <v>2471518</v>
      </c>
      <c r="D3" s="14" t="s">
        <v>557</v>
      </c>
    </row>
    <row r="4" spans="1:4" x14ac:dyDescent="0.25">
      <c r="A4" s="10" t="s">
        <v>454</v>
      </c>
      <c r="B4" s="10" t="s">
        <v>559</v>
      </c>
      <c r="C4" s="30">
        <v>880000</v>
      </c>
      <c r="D4" s="10" t="s">
        <v>6</v>
      </c>
    </row>
    <row r="5" spans="1:4" x14ac:dyDescent="0.25">
      <c r="A5" s="10" t="s">
        <v>477</v>
      </c>
      <c r="B5" s="10" t="s">
        <v>560</v>
      </c>
      <c r="C5" s="30">
        <v>401885</v>
      </c>
      <c r="D5" s="14" t="s">
        <v>557</v>
      </c>
    </row>
    <row r="6" spans="1:4" x14ac:dyDescent="0.25">
      <c r="A6" s="10" t="s">
        <v>454</v>
      </c>
      <c r="B6" s="10" t="s">
        <v>561</v>
      </c>
      <c r="C6" s="30">
        <v>300984</v>
      </c>
      <c r="D6" s="14" t="s">
        <v>557</v>
      </c>
    </row>
    <row r="7" spans="1:4" x14ac:dyDescent="0.25">
      <c r="A7" s="10" t="s">
        <v>454</v>
      </c>
      <c r="B7" s="10" t="s">
        <v>562</v>
      </c>
      <c r="C7" s="30">
        <v>176000</v>
      </c>
      <c r="D7" s="10" t="s">
        <v>6</v>
      </c>
    </row>
    <row r="8" spans="1:4" x14ac:dyDescent="0.25">
      <c r="A8" s="10" t="s">
        <v>454</v>
      </c>
      <c r="B8" s="10" t="s">
        <v>563</v>
      </c>
      <c r="C8" s="30">
        <v>143000</v>
      </c>
      <c r="D8" s="10" t="s">
        <v>6</v>
      </c>
    </row>
    <row r="9" spans="1:4" x14ac:dyDescent="0.25">
      <c r="A9" s="10" t="s">
        <v>454</v>
      </c>
      <c r="B9" s="10" t="s">
        <v>564</v>
      </c>
      <c r="C9" s="30">
        <v>111100</v>
      </c>
      <c r="D9" s="10" t="s">
        <v>6</v>
      </c>
    </row>
    <row r="10" spans="1:4" x14ac:dyDescent="0.25">
      <c r="A10" s="10" t="s">
        <v>454</v>
      </c>
      <c r="B10" s="10" t="s">
        <v>565</v>
      </c>
      <c r="C10" s="30">
        <v>110000</v>
      </c>
      <c r="D10" s="10" t="s">
        <v>6</v>
      </c>
    </row>
    <row r="11" spans="1:4" x14ac:dyDescent="0.25">
      <c r="A11" s="10" t="s">
        <v>454</v>
      </c>
      <c r="B11" s="10" t="s">
        <v>566</v>
      </c>
      <c r="C11" s="30">
        <v>93500</v>
      </c>
      <c r="D11" s="10" t="s">
        <v>6</v>
      </c>
    </row>
    <row r="12" spans="1:4" x14ac:dyDescent="0.25">
      <c r="A12" s="10" t="s">
        <v>454</v>
      </c>
      <c r="B12" s="10" t="s">
        <v>567</v>
      </c>
      <c r="C12" s="30">
        <v>85800</v>
      </c>
      <c r="D12" s="10" t="s">
        <v>6</v>
      </c>
    </row>
    <row r="13" spans="1:4" x14ac:dyDescent="0.25">
      <c r="A13" s="10" t="s">
        <v>454</v>
      </c>
      <c r="B13" s="10" t="s">
        <v>568</v>
      </c>
      <c r="C13" s="30">
        <v>66000</v>
      </c>
      <c r="D13" s="10" t="s">
        <v>6</v>
      </c>
    </row>
    <row r="14" spans="1:4" x14ac:dyDescent="0.25">
      <c r="A14" s="10" t="s">
        <v>454</v>
      </c>
      <c r="B14" s="10" t="s">
        <v>569</v>
      </c>
      <c r="C14" s="30">
        <v>61800</v>
      </c>
      <c r="D14" s="10" t="s">
        <v>6</v>
      </c>
    </row>
    <row r="15" spans="1:4" x14ac:dyDescent="0.25">
      <c r="A15" s="10" t="s">
        <v>454</v>
      </c>
      <c r="B15" s="10" t="s">
        <v>570</v>
      </c>
      <c r="C15" s="30">
        <v>38500</v>
      </c>
      <c r="D15" s="10" t="s">
        <v>6</v>
      </c>
    </row>
    <row r="16" spans="1:4" x14ac:dyDescent="0.25">
      <c r="A16" s="10" t="s">
        <v>454</v>
      </c>
      <c r="B16" s="10" t="s">
        <v>571</v>
      </c>
      <c r="C16" s="30">
        <v>31900</v>
      </c>
      <c r="D16" s="10" t="s">
        <v>6</v>
      </c>
    </row>
    <row r="17" spans="1:4" x14ac:dyDescent="0.25">
      <c r="A17" s="10" t="s">
        <v>454</v>
      </c>
      <c r="B17" s="10" t="s">
        <v>572</v>
      </c>
      <c r="C17" s="30">
        <v>29700</v>
      </c>
      <c r="D17" s="10" t="s">
        <v>6</v>
      </c>
    </row>
    <row r="18" spans="1:4" x14ac:dyDescent="0.25">
      <c r="A18" s="10" t="s">
        <v>454</v>
      </c>
      <c r="B18" s="10" t="s">
        <v>573</v>
      </c>
      <c r="C18" s="30">
        <v>27500</v>
      </c>
      <c r="D18" s="10" t="s">
        <v>6</v>
      </c>
    </row>
    <row r="19" spans="1:4" x14ac:dyDescent="0.25">
      <c r="A19" s="10" t="s">
        <v>454</v>
      </c>
      <c r="B19" s="10" t="s">
        <v>574</v>
      </c>
      <c r="C19" s="30">
        <v>18700</v>
      </c>
      <c r="D19" s="10" t="s">
        <v>6</v>
      </c>
    </row>
    <row r="20" spans="1:4" x14ac:dyDescent="0.25">
      <c r="A20" s="10" t="s">
        <v>454</v>
      </c>
      <c r="B20" s="10" t="s">
        <v>575</v>
      </c>
      <c r="C20" s="30">
        <v>11000</v>
      </c>
      <c r="D20" s="10" t="s">
        <v>6</v>
      </c>
    </row>
    <row r="21" spans="1:4" x14ac:dyDescent="0.25">
      <c r="A21" s="10" t="s">
        <v>454</v>
      </c>
      <c r="B21" s="10" t="s">
        <v>576</v>
      </c>
      <c r="C21" s="30">
        <v>0</v>
      </c>
      <c r="D21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2026-04-07T02:12:32Z</dcterms:created>
  <dcterms:modified xsi:type="dcterms:W3CDTF">2026-04-07T02:12:32Z</dcterms:modified>
</cp:coreProperties>
</file>