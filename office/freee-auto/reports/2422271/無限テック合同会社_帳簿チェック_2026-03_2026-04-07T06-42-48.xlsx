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<sst xmlns="http://schemas.openxmlformats.org/spreadsheetml/2006/main" count="1862" uniqueCount="550">
  <si>
    <t>無限テック合同会社 帳簿チェックレポート</t>
  </si>
  <si>
    <t>対象月</t>
  </si>
  <si>
    <t>2026年3月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</si>
  <si>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</si>
  <si>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</si>
  <si>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</si>
  <si>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</si>
  <si>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</si>
  <si>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</si>
  <si>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</si>
  <si>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</si>
  <si>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</si>
  <si>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</si>
  <si>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</si>
  <si>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</si>
  <si>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</si>
  <si>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</si>
  <si>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</si>
  <si>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</si>
  <si>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</si>
  <si>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</si>
  <si>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</si>
  <si>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</si>
  <si>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</si>
  <si>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</si>
  <si>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</si>
  <si>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</si>
  <si>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</si>
  <si>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</si>
  <si>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</si>
  <si>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</si>
  <si>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</si>
  <si>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</si>
  <si>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</si>
  <si>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</si>
  <si>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</si>
  <si>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</si>
  <si>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</si>
  <si>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</si>
  <si>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</si>
  <si>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</si>
  <si>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</si>
  <si>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</si>
  <si>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</si>
  <si>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</si>
  <si>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</si>
  <si>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</si>
  <si>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</si>
  <si>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</si>
  <si>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</si>
  <si>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</si>
  <si>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</si>
  <si>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</si>
  <si>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</si>
  <si>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</si>
  <si>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</si>
  <si>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</si>
  <si>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</si>
  <si>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</si>
  <si>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</si>
  <si>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</si>
  <si>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</si>
  <si>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</si>
  <si>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</si>
  <si>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</si>
  <si>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</si>
  <si>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</si>
  <si>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</si>
  <si>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</si>
  <si>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</si>
  <si>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</si>
  <si>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</si>
  <si>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</si>
  <si>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</si>
  <si>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</si>
  <si>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</si>
  <si>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</si>
  <si>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</si>
  <si>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</si>
  <si>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</si>
  <si>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</si>
  <si>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</si>
  <si>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</si>
  <si>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</si>
  <si>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</si>
  <si>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</si>
  <si>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</si>
  <si>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</si>
  <si>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</si>
  <si>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</si>
  <si>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</si>
  <si>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</si>
  <si>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</si>
  <si>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</si>
  <si>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</si>
  <si>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</si>
  <si>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</si>
  <si>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</si>
  <si>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</si>
  <si>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</si>
  <si>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</si>
  <si>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</si>
  <si>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</si>
  <si>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</si>
  <si>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</si>
  <si>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</si>
  <si>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</si>
  <si>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</si>
  <si>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</si>
  <si>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</si>
  <si>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</si>
  <si>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</si>
  <si>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</si>
  <si>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</si>
  <si>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</si>
  <si>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</si>
  <si>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</si>
  <si>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</si>
  <si>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</si>
  <si>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</si>
  <si>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</si>
  <si>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</si>
  <si>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</si>
  <si>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</si>
  <si>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</si>
  <si>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</si>
  <si>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</si>
  <si>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</si>
  <si>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</si>
  <si>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</si>
  <si>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</si>
  <si>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</si>
  <si>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</si>
  <si>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</si>
  <si>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</si>
  <si>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</si>
  <si>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</si>
  <si>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</si>
  <si>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</si>
  <si>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</si>
  <si>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</si>
  <si>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</si>
  <si>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</si>
  <si>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</si>
  <si>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</si>
  <si>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</si>
  <si>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</si>
  <si>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</si>
  <si>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</si>
  <si>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</si>
  <si>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</si>
  <si>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</si>
  <si>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</si>
  <si>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</si>
  <si>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</si>
  <si>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</si>
  <si>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</si>
  <si>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</si>
  <si>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</si>
  <si>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</si>
  <si>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</si>
  <si>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</si>
  <si>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</si>
  <si>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</si>
  <si>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</si>
  <si>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</si>
  <si>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</si>
  <si>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</si>
  <si>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</si>
  <si>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</si>
  <si>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</si>
  <si>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</si>
  <si>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</si>
  <si>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</si>
  <si>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</si>
  <si>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</si>
  <si>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</si>
  <si>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</si>
  <si>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</si>
  <si>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</si>
  <si>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</si>
  <si>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人件費</t>
  </si>
  <si>
    <t>役員報酬が前月と異なります。当月: 0円、前月平均: 800,000円（差額: -800,000円）。役員報酬は定期同額性（税務上の原則）を維持する必要があります。</t>
  </si>
  <si>
    <t>当月: 0円</t>
  </si>
  <si>
    <t>前月平均と同額の 800,000円 が正しいか確認してください</t>
  </si>
  <si>
    <t>残高異常</t>
  </si>
  <si>
    <t>「Amazon_本社」にマイナス残高 -672,695円があります。 取引先「未選択」: -2,407,691円 ※当月取引からは原因を特定できません。期首からの累積の可能性があります。</t>
  </si>
  <si>
    <t>-672,695円</t>
  </si>
  <si>
    <t>記帳漏れまたは過大計上を確認してください</t>
  </si>
  <si>
    <t>2026-03-31 に同日・同額（143円）・同科目(ID:386413714)の取引が 2 件あります。重複計上の可能性があります。</t>
  </si>
  <si>
    <t>deal_id: 3447562327, 3447562256</t>
  </si>
  <si>
    <t>重複していないか確認してください</t>
  </si>
  <si>
    <t>2026-03-25 に同日・同額（145円）・同科目(ID:386413714)の取引が 2 件あります。重複計上の可能性があります。</t>
  </si>
  <si>
    <t>deal_id: 3440656246, 3440656230</t>
  </si>
  <si>
    <t>2026-03-17 に同日・同額（1,100円）・同科目(ID:386413714)の取引が 2 件あります。重複計上の可能性があります。</t>
  </si>
  <si>
    <t>deal_id: 3425551569, 3425551557</t>
  </si>
  <si>
    <t>2026-03-16 に同日・同額（217円）・同科目(ID:386413701)の取引が 3 件あります。重複計上の可能性があります。</t>
  </si>
  <si>
    <t>deal_id: 3429813474, 3425551642, 3425551641</t>
  </si>
  <si>
    <t>2026-03-16 に同日・同額（143円）・同科目(ID:386413714)の取引が 2 件あります。重複計上の可能性があります。</t>
  </si>
  <si>
    <t>deal_id: 3421382768, 3421382667</t>
  </si>
  <si>
    <t>2026-03-15 に同日・同額（217円）・同科目(ID:386413701)の取引が 2 件あります。重複計上の可能性があります。</t>
  </si>
  <si>
    <t>deal_id: 3421037356, 3421037288</t>
  </si>
  <si>
    <t>2026-03-14 に同日・同額（217円）・同科目(ID:386413701)の取引が 2 件あります。重複計上の可能性があります。</t>
  </si>
  <si>
    <t>deal_id: 3421037215, 3421037146</t>
  </si>
  <si>
    <t>2026-03-13 に同日・同額（10,350円）・同科目(ID:386413704)の取引が 2 件あります。重複計上の可能性があります。</t>
  </si>
  <si>
    <t>deal_id: 3421101919, 3421101771</t>
  </si>
  <si>
    <t>2026-03-12 に同日・同額（300円）・同科目(ID:386413701)の取引が 2 件あります。重複計上の可能性があります。</t>
  </si>
  <si>
    <t>deal_id: 3421036693, 3421036512</t>
  </si>
  <si>
    <t>2026-03-10 に同日・同額（143円）・同科目(ID:386413714)の取引が 2 件あります。重複計上の可能性があります。</t>
  </si>
  <si>
    <t>deal_id: 3392835882, 3392835724</t>
  </si>
  <si>
    <t>2026-03-10 に同日・同額（145円）・同科目(ID:386413714)の取引が 2 件あります。重複計上の可能性があります。</t>
  </si>
  <si>
    <t>deal_id: 3392823271, 3392823150</t>
  </si>
  <si>
    <t>2026-03-10 に同日・同額（9円）・同科目(ID:386413714)の取引が 2 件あります。重複計上の可能性があります。</t>
  </si>
  <si>
    <t>deal_id: 3379884675, 3379884620</t>
  </si>
  <si>
    <t>現金・預金</t>
  </si>
  <si>
    <t>「住信ＳＢＩネット（法人）」の残高が前月比60%減少しています（前月: 3,423,086円 → 当月: 1,368,261円）。</t>
  </si>
  <si>
    <t>1,368,261円</t>
  </si>
  <si>
    <t>大型入出金の内容を確認してください</t>
  </si>
  <si>
    <t>「【飲食事業部】ＰａｙＰａｙ銀行（API） 005 普通 ***5573」の残高が前月比269%増加しています（前月: 932,816円 → 当月: 3,444,588円）。</t>
  </si>
  <si>
    <t>3,444,588円</t>
  </si>
  <si>
    <t>借入金・リース</t>
  </si>
  <si>
    <t>「長期借入金」の「足立成和信金⑤」で当月の返済が確認できません（残高変動なし: 5,000,000円）。</t>
  </si>
  <si>
    <t>前月: 5,000,000円 → 当月: 5,000,000円（変動 0円）</t>
  </si>
  <si>
    <t>返済日の出金が正しく記帳されているか確認してください。据置期間中の場合は問題ありません</t>
  </si>
  <si>
    <t>地代家賃</t>
  </si>
  <si>
    <t>地代家賃が前月平均比 53%減少しています（当月: 83,000円、前月平均: 176,774円）。（変動あり取引先: エルズサポート㈱、㈱セラピスト不動産、ヴィ・シティ草加管理組合(インボイス未登録)）</t>
  </si>
  <si>
    <t>当月: 83,000円</t>
  </si>
  <si>
    <t>新規契約・解約・更新料等の理由がなければ、仕訳内容を確認してください</t>
  </si>
  <si>
    <t>「預り金」の「住民税」（165,200円）が当月変動なしです。納付が未処理の可能性があります。</t>
  </si>
  <si>
    <t>165,200円（前月比 変動なし）</t>
  </si>
  <si>
    <t>翌月10日（納期の特例: 7/10 または 1/20）までに納付し、消込処理してください</t>
  </si>
  <si>
    <t>「預り金」の「源泉所得税（給与）」（271,937円）が当月変動なしです。納付が未処理の可能性があります。</t>
  </si>
  <si>
    <t>271,937円（前月比 変動なし）</t>
  </si>
  <si>
    <t>外注費</t>
  </si>
  <si>
    <t>「支払手数料」で士業取引先「あしたの会計事務所」への支払 37,180円があります。「預り金（源泉所得税（士業））」残高がゼロのため、未計上の可能性があります。源泉徴収（推定 3,796円 / 10.21%）の計上・納付を確認してください。</t>
  </si>
  <si>
    <t>支払額: 37,180円</t>
  </si>
  <si>
    <t>源泉所得税 約3,796円 を「預り金（源泉所得税（士業））」として計上し、翌月10日までに納付してください</t>
  </si>
  <si>
    <t>売上・売掛金</t>
  </si>
  <si>
    <t>売上高が前月平均比 55%減少しています（当月: 1,795,133円、前月平均: 4,002,428円）。</t>
  </si>
  <si>
    <t>当月: 1,795,133円</t>
  </si>
  <si>
    <t>季節要因・受注ピーク等の理由がなければ、売上の計上漏れや二重計上を確認してください</t>
  </si>
  <si>
    <t>売上高が前年同月比 63%減少しています（当月: 1,795,133円、前年同月推定: 4,869,525円）。</t>
  </si>
  <si>
    <t>顧客増減・単価変更・業務構成の変化等の背景を確認してください</t>
  </si>
  <si>
    <t>仕入・買掛金</t>
  </si>
  <si>
    <t>「仕入高」が前月平均比 80%減少しています（当月: 196,911円、前月平均: 964,451円）。</t>
  </si>
  <si>
    <t>当月: 196,911円</t>
  </si>
  <si>
    <t>季節変動・大口発注以外の原因がなければ、計上漏れや二重計上を確認してください</t>
  </si>
  <si>
    <t>「売上原価」が前月平均比 80%減少しています（当月: 196,911円、前月平均: 993,890円）。</t>
  </si>
  <si>
    <t>「外注費」が前月平均比 100%減少しています（当月: 0円、前月平均: 360,929円）。</t>
  </si>
  <si>
    <t>「未払金」の「㈱ミース」残高が2ヶ月連続で同額（2,112,000円）です。支払が滞留している可能性があります。</t>
  </si>
  <si>
    <t>2,112,000円（前月比変動なし）</t>
  </si>
  <si>
    <t>支払期日を確認し、消込処理または支払を実施してください</t>
  </si>
  <si>
    <t>「【飲食事業部】ＰａｙＰａｙ銀行VISAデビット」の残高が前月比 247,247円増加しています（前月: 16,399円 → 当月: 263,646円）。クレジットカードの支払が済んでいない可能性があります。</t>
  </si>
  <si>
    <t>-263,646円</t>
  </si>
  <si>
    <t>口座引落後に消込処理が完了しているか確認してください</t>
  </si>
  <si>
    <t>「楽天（法人）（API）」の残高 2,230,740円が前月から変動ありません（滞留の可能性）。</t>
  </si>
  <si>
    <t>2,230,740円（前月同額）</t>
  </si>
  <si>
    <t>回収・支払状況を確認し、必要に応じて貸倒処理や振替を検討してください</t>
  </si>
  <si>
    <t xml:space="preserve">　　取引先「未選択」で滞留</t>
  </si>
  <si>
    <t>8,066,894円</t>
  </si>
  <si>
    <t>明細を開く</t>
  </si>
  <si>
    <t xml:space="preserve">　　取引先「大連以恒」で滞留</t>
  </si>
  <si>
    <t>-5,275,000円</t>
  </si>
  <si>
    <t xml:space="preserve">　　取引先「㈲キタムラコーポレーション」で滞留</t>
  </si>
  <si>
    <t>-547,700円</t>
  </si>
  <si>
    <t xml:space="preserve">　　取引先「楽天銀行」で滞留</t>
  </si>
  <si>
    <t>-13,454円</t>
  </si>
  <si>
    <t>「前払費用」の残高 158,000円が前月から変動ありません（滞留の可能性）。</t>
  </si>
  <si>
    <t>158,000円（前月同額）</t>
  </si>
  <si>
    <t xml:space="preserve">　　取引先「㈱トラストアドバイザーズ」で滞留</t>
  </si>
  <si>
    <t>66,000円</t>
  </si>
  <si>
    <t xml:space="preserve">　　取引先「市ヶ谷孝(インボイス未登録)」で滞留</t>
  </si>
  <si>
    <t>50,000円</t>
  </si>
  <si>
    <t xml:space="preserve">　　取引先「㈱不動産照力」で滞留</t>
  </si>
  <si>
    <t>25,000円</t>
  </si>
  <si>
    <t xml:space="preserve">　　取引先「鴨下博充（インボイス未登録）」で滞留</t>
  </si>
  <si>
    <t>17,000円</t>
  </si>
  <si>
    <t>「土地」の残高 3,143,403円が前月から変動ありません（滞留の可能性）。</t>
  </si>
  <si>
    <t>3,143,403円（前月同額）</t>
  </si>
  <si>
    <t>3,143,403円</t>
  </si>
  <si>
    <t>「出資金」の残高 60,000円が前月から変動ありません（滞留の可能性）。</t>
  </si>
  <si>
    <t>60,000円（前月同額）</t>
  </si>
  <si>
    <t xml:space="preserve">　　取引先「足立成和信金」で滞留</t>
  </si>
  <si>
    <t xml:space="preserve">　　取引先「朝日信用金庫」で滞留</t>
  </si>
  <si>
    <t>10,000円</t>
  </si>
  <si>
    <t>「預託金」の残高 12,010円が前月から変動ありません（滞留の可能性）。</t>
  </si>
  <si>
    <t>12,010円（前月同額）</t>
  </si>
  <si>
    <t xml:space="preserve">　　取引先「東京マツダ販売㈱」で滞留</t>
  </si>
  <si>
    <t>12,010円</t>
  </si>
  <si>
    <t>「開業費」の残高 254,692円が前月から変動ありません（滞留の可能性）。</t>
  </si>
  <si>
    <t>254,692円（前月同額）</t>
  </si>
  <si>
    <t>254,692円</t>
  </si>
  <si>
    <t>「【エステ事業部】ライフカード」の残高 29,905円が前月から変動ありません（滞留の可能性）。</t>
  </si>
  <si>
    <t>29,905円（前月同額）</t>
  </si>
  <si>
    <t>17,096円</t>
  </si>
  <si>
    <t xml:space="preserve">　　取引先「Amazon」で滞留</t>
  </si>
  <si>
    <t>12,809円</t>
  </si>
  <si>
    <t>「預り金」の残高 401,337円が前月から変動ありません（滞留の可能性）。</t>
  </si>
  <si>
    <t>401,337円（前月同額）</t>
  </si>
  <si>
    <t xml:space="preserve">　　取引先「役員及び従業員」で滞留</t>
  </si>
  <si>
    <t>14,595,952円</t>
  </si>
  <si>
    <t>-8,629,220円</t>
  </si>
  <si>
    <t xml:space="preserve">　　取引先「上野年金事務所」で滞留</t>
  </si>
  <si>
    <t>-6,415,372円</t>
  </si>
  <si>
    <t xml:space="preserve">　　取引先「従業員」で滞留</t>
  </si>
  <si>
    <t>905,620円</t>
  </si>
  <si>
    <t xml:space="preserve">　　取引先「西新井税務署」で滞留</t>
  </si>
  <si>
    <t>-97,900円</t>
  </si>
  <si>
    <t>「前受収益」の残高 78,000円が前月から変動ありません（滞留の可能性）。</t>
  </si>
  <si>
    <t>78,000円（前月同額）</t>
  </si>
  <si>
    <t xml:space="preserve">　　取引先「セツ ホウ」で滞留</t>
  </si>
  <si>
    <t>48,000円</t>
  </si>
  <si>
    <t xml:space="preserve">　　取引先「クリエート合同会社」で滞留</t>
  </si>
  <si>
    <t>30,000円</t>
  </si>
  <si>
    <t>「住信ＳＢＩネット（法人）」が前月比 60% 変動（3,423,086円 → 1,368,261円）。</t>
  </si>
  <si>
    <t>1,368,261円（前月: 3,423,086円、変動率: 60%）</t>
  </si>
  <si>
    <t>変動原因を確認してください</t>
  </si>
  <si>
    <t>「売掛金」が前月比 100% 変動（1,922,799円 → 892円）。</t>
  </si>
  <si>
    <t>892円（前月: 1,922,799円、変動率: 100%）</t>
  </si>
  <si>
    <t>「未払金」が前月比 59% 変動（5,186,734円 → 2,112,000円）。</t>
  </si>
  <si>
    <t>2,112,000円（前月: 5,186,734円、変動率: 59%）</t>
  </si>
  <si>
    <t>「仮受金」が前月比 100% 変動（-2,440,000円 → 0円）。 主な取引: 2026-03-11 2,440,000円 （不明）。</t>
  </si>
  <si>
    <t>0円（前月: -2,440,000円、変動率: 100%）</t>
  </si>
  <si>
    <t xml:space="preserve">　　2026-03-11  </t>
  </si>
  <si>
    <t>2,440,000円</t>
  </si>
  <si>
    <t>（不明）</t>
  </si>
  <si>
    <t>期間配分</t>
  </si>
  <si>
    <t>「前払費用」の残高 158,000円が前月から変動していません。月割償却が行われていない可能性があります。</t>
  </si>
  <si>
    <t>月割で前払費用を取り崩す仕訳を確認してください</t>
  </si>
  <si>
    <t xml:space="preserve">　　[品目] 未選択</t>
  </si>
  <si>
    <t>158,000円</t>
  </si>
  <si>
    <t>「地代家賃」で以下の取引先への計上が当月ありません。計上漏れの可能性があります: 「エルズサポート㈱」（前月平均: 50,000円/月）、「㈱セラピスト不動産」（前月平均: 30,424円/月）</t>
  </si>
  <si>
    <t>当月 計上なし</t>
  </si>
  <si>
    <t>エルズサポート㈱: 約50,000円、㈱セラピスト不動産: 約30,424円</t>
  </si>
  <si>
    <t>「支払手数料」で以下の取引先への計上が当月ありません。計上漏れの可能性があります: 「AT-L社会保険労務士法人」（前月平均: 101,750円/月）、「㈱セラピスト不動産」（前月平均: 33,550円/月）</t>
  </si>
  <si>
    <t>AT-L社会保険労務士法人: 約101,750円、㈱セラピスト不動産: 約33,550円</t>
  </si>
  <si>
    <t>「通信費」で以下の取引先への計上が当月ありません。計上漏れの可能性があります: 「ドコモ」（前月平均: 25,589円/月）</t>
  </si>
  <si>
    <t>ドコモ: 約25,589円</t>
  </si>
  <si>
    <t>「水道光熱費」で以下の取引先への計上が当月ありません。計上漏れの可能性があります: 「東京電力エナジーパートナー㈱」（前月平均: 9,015円/月）</t>
  </si>
  <si>
    <t>東京電力エナジーパートナー㈱: 約9,015円</t>
  </si>
  <si>
    <t>消費税区分</t>
  </si>
  <si>
    <t>「広告宣伝費」に2種類の税区分が混在しています（対象外: 54件、課対仕入10%: 1件）。</t>
  </si>
  <si>
    <t>2種類混在</t>
  </si>
  <si>
    <t>税区分ごとの内訳を確認してください</t>
  </si>
  <si>
    <t xml:space="preserve">　　対象外（54件・計351,648円）</t>
  </si>
  <si>
    <t>351,648円</t>
  </si>
  <si>
    <t xml:space="preserve">　　課対仕入10%（1件・計44,000円）</t>
  </si>
  <si>
    <t>44,000円</t>
  </si>
  <si>
    <t>「支払手数料」に3種類の税区分が混在しています（課対仕入10%: 58件、非課仕入: 33件、課対仕入(控80)10%: 10件）。</t>
  </si>
  <si>
    <t>3種類混在</t>
  </si>
  <si>
    <t xml:space="preserve">　　課対仕入10%（58件・計69,593円）</t>
  </si>
  <si>
    <t>69,593円</t>
  </si>
  <si>
    <t xml:space="preserve">　　非課仕入（33件・計7,597円）</t>
  </si>
  <si>
    <t>7,597円</t>
  </si>
  <si>
    <t xml:space="preserve">　　課対仕入(控80)10%（10件・計1,420円）</t>
  </si>
  <si>
    <t>1,420円</t>
  </si>
  <si>
    <t>「売上高」に4種類の税区分が混在しています（課税売上8%(軽): 153件、課税売上10%: 1件、非課売上: 1件、課税売上8%: 1件）。</t>
  </si>
  <si>
    <t>4種類混在</t>
  </si>
  <si>
    <t xml:space="preserve">　　課税売上8%(軽)（153件・計1,726,134円）</t>
  </si>
  <si>
    <t>1,726,134円</t>
  </si>
  <si>
    <t xml:space="preserve">　　課税売上10%（1件・計30,000円）</t>
  </si>
  <si>
    <t xml:space="preserve">　　非課売上（1件・計39,000円）</t>
  </si>
  <si>
    <t>39,000円</t>
  </si>
  <si>
    <t xml:space="preserve">　　課税売上8%（1件・計1円）</t>
  </si>
  <si>
    <t>1円</t>
  </si>
  <si>
    <t>「地代家賃」に2種類の税区分が混在しています（課対仕入(控80)10%: 1件、課対仕入10%: 1件）。</t>
  </si>
  <si>
    <t xml:space="preserve">　　課対仕入(控80)10%（1件・計17,000円）</t>
  </si>
  <si>
    <t xml:space="preserve">　　課対仕入10%（1件・計66,000円）</t>
  </si>
  <si>
    <t>営業外・税金</t>
  </si>
  <si>
    <t>「雑収入」に347,107円が計上されています。内容を確認し、適切な科目で記録されているか確認してください。</t>
  </si>
  <si>
    <t>347,107円</t>
  </si>
  <si>
    <t>受取手数料・受取保険金等、適切な科目への振替を検討してください</t>
  </si>
  <si>
    <t>受取利息15,883円に対する源泉所得税（15.315%）の計上を確認してください。</t>
  </si>
  <si>
    <t>受取利息: 15,883円</t>
  </si>
  <si>
    <t>源泉税 約2,432円を「法人税・住民税及び事業税」または「仮払法人税等」で処理してください</t>
  </si>
  <si>
    <t>地代家賃に取引先タグなしの計上（42,900円）があります。どの物件・契約先の家賃か不明です。</t>
  </si>
  <si>
    <t>未選択: 42,900円</t>
  </si>
  <si>
    <t>各家賃支払に取引先タグ（家主・管理会社）を設定し、物件別に管理してください</t>
  </si>
  <si>
    <t>給料手当が前月平均比 100%減少しています（当月: 0円、前月平均: 1,204,404円）。</t>
  </si>
  <si>
    <t>入退社・昇給・賞与月などの理由がなければ内容を確認してください</t>
  </si>
  <si>
    <t>売上高に取引先タグなしの計上（8,185,333円）があります。どの顧客からの売上か不明です。</t>
  </si>
  <si>
    <t>未選択: 8,185,333円</t>
  </si>
  <si>
    <t>全ての売上取引に取引先タグを設定し、顧客別売上管理ができるようにしてください</t>
  </si>
  <si>
    <t>「衛��費」が今月新たに計上されています（57,800円）。</t>
  </si>
  <si>
    <t>当月: 57,800円</t>
  </si>
  <si>
    <t>計上内容と金額の妥当性を確認してください</t>
  </si>
  <si>
    <t>「広告宣伝費」が前月平均比 114%変動しています（当月: 395,648円、前月平均: 185,061円）。</t>
  </si>
  <si>
    <t>当月: 395,648円</t>
  </si>
  <si>
    <t>「保険料」が前月平均比 96%変動しています（当月: 1,008円、前月平均: 24,313円）。</t>
  </si>
  <si>
    <t>当月: 1,008円</t>
  </si>
  <si>
    <t>「採用教育費」が前月平均比 90%変動しています（当月: 17,595円、前月平均: 172,111円）。</t>
  </si>
  <si>
    <t>当月: 17,595円</t>
  </si>
  <si>
    <t>「旅費交通費」が前月平均比 67%変動しています（当月: 29,300円、前月平均: 87,558円）。</t>
  </si>
  <si>
    <t>当月: 29,300円</t>
  </si>
  <si>
    <t>「支払手数料」の取引先「あしたの会計事務所」が前月平均比 62% 変動しています（前月平均: 99,055円 → 当月: 37,180円）。期間配分の観点から確認を推奨します。</t>
  </si>
  <si>
    <t>当月: 37,180円（前月平均: 99,055円）</t>
  </si>
  <si>
    <t>一時的な金額増減か、契約変更等によるものか確認してください</t>
  </si>
  <si>
    <t>勘定科目と消費税区分の組み合わせの妥当性を検証します。</t>
  </si>
  <si>
    <t>士業報酬・外注費等の源泉徴収の漏れ・計算誤りを検出します。</t>
  </si>
  <si>
    <t>✅ 指摘事項はありません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</si>
  <si>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</si>
  <si>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</si>
  <si>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</si>
  <si>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</si>
  <si>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</si>
  <si>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</si>
  <si>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</si>
  <si>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</si>
  <si>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</si>
  <si>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</si>
  <si>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</si>
  <si>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</si>
  <si>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4.6%</t>
  </si>
  <si>
    <t>元帳を開く</t>
  </si>
  <si>
    <t>住信ＳＢＩネット（法人）</t>
  </si>
  <si>
    <t>-60.0%</t>
  </si>
  <si>
    <t>△</t>
  </si>
  <si>
    <t>朝日信金（法人）（API）</t>
  </si>
  <si>
    <t>-3.5%</t>
  </si>
  <si>
    <t>【エステ事業部】GMOあおぞらネット（法人）（API）</t>
  </si>
  <si>
    <t>25.0%</t>
  </si>
  <si>
    <t>楽天（法人）（API）</t>
  </si>
  <si>
    <t>0.0%</t>
  </si>
  <si>
    <t>城北信金（法人）（API）</t>
  </si>
  <si>
    <t>-4.6%</t>
  </si>
  <si>
    <t>足立成和信金（法人）（API）</t>
  </si>
  <si>
    <t>-19.8%</t>
  </si>
  <si>
    <t>【飲食事業部】ＰａｙＰａｙ銀行（API） 005 普通 ***5573</t>
  </si>
  <si>
    <t>269.3%</t>
  </si>
  <si>
    <t>売掛金</t>
  </si>
  <si>
    <t>-100.0%</t>
  </si>
  <si>
    <t>Airレジ</t>
  </si>
  <si>
    <t>0.6%</t>
  </si>
  <si>
    <t>商品</t>
  </si>
  <si>
    <t>未収消費税等</t>
  </si>
  <si>
    <t>前渡金</t>
  </si>
  <si>
    <t>前払費用</t>
  </si>
  <si>
    <t>役員貸付金</t>
  </si>
  <si>
    <t>未収還付法人税等</t>
  </si>
  <si>
    <t>建物</t>
  </si>
  <si>
    <t>-1.7%</t>
  </si>
  <si>
    <t>附属設備</t>
  </si>
  <si>
    <t>-0.6%</t>
  </si>
  <si>
    <t>車両運搬具</t>
  </si>
  <si>
    <t>-3.1%</t>
  </si>
  <si>
    <t>工具器具備品</t>
  </si>
  <si>
    <t>-5.8%</t>
  </si>
  <si>
    <t>土地</t>
  </si>
  <si>
    <t>出資金</t>
  </si>
  <si>
    <t>敷金</t>
  </si>
  <si>
    <t>長期前払費用</t>
  </si>
  <si>
    <t>-1.9%</t>
  </si>
  <si>
    <t>預託金</t>
  </si>
  <si>
    <t>保険積立金</t>
  </si>
  <si>
    <t>1.8%</t>
  </si>
  <si>
    <t>開業費</t>
  </si>
  <si>
    <t>買掛金</t>
  </si>
  <si>
    <t>立替経費（山田）</t>
  </si>
  <si>
    <t>-4.9%</t>
  </si>
  <si>
    <t>未払金</t>
  </si>
  <si>
    <t>-59.3%</t>
  </si>
  <si>
    <t>未払費用</t>
  </si>
  <si>
    <t>【飲食事業部】三井住友VISAカード</t>
  </si>
  <si>
    <t>-8.0%</t>
  </si>
  <si>
    <t>【システム開発事業部】オリコ　山田誠</t>
  </si>
  <si>
    <t>-41.9%</t>
  </si>
  <si>
    <t>【システム開発事業部】オリコ　山田明子</t>
  </si>
  <si>
    <t>-0.8%</t>
  </si>
  <si>
    <t>【エステ事業部】ライフカード</t>
  </si>
  <si>
    <t>【飲食事業部】ＰａｙＰａｙ銀行VISAデビット</t>
  </si>
  <si>
    <t>-1707.7%</t>
  </si>
  <si>
    <t>未払法人税等</t>
  </si>
  <si>
    <t>Amazon_本社</t>
  </si>
  <si>
    <t>-3058.9%</t>
  </si>
  <si>
    <t>預り金</t>
  </si>
  <si>
    <t>前受収益</t>
  </si>
  <si>
    <t>仮受金</t>
  </si>
  <si>
    <t>100.0%</t>
  </si>
  <si>
    <t>長期借入金</t>
  </si>
  <si>
    <t>-2.3%</t>
  </si>
  <si>
    <t>資本金</t>
  </si>
  <si>
    <t>繰越利益剰余金</t>
  </si>
  <si>
    <t>損益計算書 月次推移</t>
  </si>
  <si>
    <t>11月</t>
  </si>
  <si>
    <t>12月</t>
  </si>
  <si>
    <t>1月</t>
  </si>
  <si>
    <t>2月</t>
  </si>
  <si>
    <t>3月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</si>
  <si>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</si>
  <si>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</si>
  <si>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</si>
  <si>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</si>
  <si>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</si>
  <si>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</si>
  <si>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</si>
  <si>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</si>
  <si>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</si>
  <si>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</si>
  <si>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</si>
  <si>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</si>
  <si>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</si>
  <si>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</si>
  <si>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</si>
  <si>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販売手数料</t>
  </si>
  <si>
    <t xml:space="preserve">  消耗品費</t>
  </si>
  <si>
    <t xml:space="preserve">  修繕費</t>
  </si>
  <si>
    <t xml:space="preserve">  水道光熱費</t>
  </si>
  <si>
    <t xml:space="preserve">  支払手数料</t>
  </si>
  <si>
    <t xml:space="preserve">  車両費</t>
  </si>
  <si>
    <t xml:space="preserve">  管理諸費</t>
  </si>
  <si>
    <t xml:space="preserve">  衛��費</t>
  </si>
  <si>
    <t xml:space="preserve">  地代家賃</t>
  </si>
  <si>
    <t xml:space="preserve">  保険料</t>
  </si>
  <si>
    <t xml:space="preserve">  租税公課</t>
  </si>
  <si>
    <t xml:space="preserve">  研修費</t>
  </si>
  <si>
    <t xml:space="preserve">  減価償却費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</si>
  <si>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</si>
  <si>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</si>
  <si>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</si>
  <si>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</si>
  <si>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</si>
  <si>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</si>
  <si>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</si>
  <si>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</si>
  <si>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</si>
  <si>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 xml:space="preserve">  固定資産売却益</t>
  </si>
  <si>
    <t>特別利益 計</t>
  </si>
  <si>
    <t xml:space="preserve">  固定資産売却損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</si>
  <si>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</si>
  <si>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</si>
  <si>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</si>
  <si>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</si>
  <si>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</si>
  <si>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売上戻り高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</si>
  <si>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</si>
  <si>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</si>
  <si>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</si>
  <si>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</si>
  <si>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</si>
  <si>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</si>
  <si>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㈱ミース</t>
  </si>
  <si>
    <t>滞留</t>
  </si>
  <si>
    <t>Uber Eats</t>
  </si>
  <si>
    <t>Roket Now</t>
  </si>
  <si>
    <t>出前館</t>
  </si>
  <si>
    <t>株式会社ユニコーン</t>
  </si>
  <si>
    <t>あしたの会計事務所</t>
  </si>
  <si>
    <t>㈱リクルート</t>
  </si>
  <si>
    <t>上野年金事務所</t>
  </si>
  <si>
    <t>役員及び従業員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</si>
</sst>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3" Type="http://schemas.openxmlformats.org/officeDocument/2006/relationships/hyperlink" Target="https://secure.freee.co.jp/reports/general_ledgers/show?name=Amazon_%E6%9C%AC%E7%A4%BE&amp;start_date=2025-11-01&amp;end_date=2026-03-31&amp;fiscal_year_id=10456857" TargetMode="External"/><Relationship Id="rId4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6-03-01&amp;end_date=2026-03-31" TargetMode="External"/><Relationship Id="rId5" Type="http://schemas.openxmlformats.org/officeDocument/2006/relationships/hyperlink" Target="https://secure.freee.co.jp/reports/general_ledgers/show?name=%E3%80%90%E9%A3%B2%E9%A3%9F%E4%BA%8B%E6%A5%AD%E9%83%A8%E3%80%91%EF%BC%B0%EF%BD%81%EF%BD%99%EF%BC%B0%EF%BD%81%EF%BD%99%E9%8A%80%E8%A1%8C%EF%BC%88API%EF%BC%89+005+%E6%99%AE%E9%80%9A+***5573&amp;start_date=2026-03-01&amp;end_date=2026-03-31" TargetMode="External"/><Relationship Id="rId6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7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8" Type="http://schemas.openxmlformats.org/officeDocument/2006/relationships/hyperlink" Target="https://secure.freee.co.jp/reports/general_ledgers/show?name=%E9%A0%90%E3%82%8A%E9%87%91&amp;start_date=2026-03-01&amp;end_date=2026-03-31" TargetMode="External"/><Relationship Id="rId9" Type="http://schemas.openxmlformats.org/officeDocument/2006/relationships/hyperlink" Target="https://secure.freee.co.jp/reports/general_ledgers/show?name=%E9%A0%90%E3%82%8A%E9%87%91&amp;start_date=2026-03-01&amp;end_date=2026-03-31" TargetMode="External"/><Relationship Id="rId10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11" Type="http://schemas.openxmlformats.org/officeDocument/2006/relationships/hyperlink" Target="https://secure.freee.co.jp/reports/general_ledgers/show?name=%E4%BB%95%E5%85%A5%E9%AB%98&amp;start_date=2026-03-01&amp;end_date=2026-03-31" TargetMode="External"/><Relationship Id="rId12" Type="http://schemas.openxmlformats.org/officeDocument/2006/relationships/hyperlink" Target="https://secure.freee.co.jp/reports/general_ledgers/show?name=%E5%A3%B2%E4%B8%8A%E5%8E%9F%E4%BE%A1&amp;start_date=2026-03-01&amp;end_date=2026-03-31" TargetMode="External"/><Relationship Id="rId13" Type="http://schemas.openxmlformats.org/officeDocument/2006/relationships/hyperlink" Target="https://secure.freee.co.jp/reports/general_ledgers/show?name=%E5%A4%96%E6%B3%A8%E8%B2%BB&amp;start_date=2026-03-01&amp;end_date=2026-03-31" TargetMode="External"/><Relationship Id="rId14" Type="http://schemas.openxmlformats.org/officeDocument/2006/relationships/hyperlink" Target="https://secure.freee.co.jp/reports/general_ledgers/show?name=%E6%9C%AA%E6%89%95%E9%87%91&amp;start_date=2026-03-01&amp;end_date=2026-03-31" TargetMode="External"/><Relationship Id="rId15" Type="http://schemas.openxmlformats.org/officeDocument/2006/relationships/hyperlink" Target="https://secure.freee.co.jp/reports/general_ledgers/show?name=%E3%80%90%E9%A3%B2%E9%A3%9F%E4%BA%8B%E6%A5%AD%E9%83%A8%E3%80%91%EF%BC%B0%EF%BD%81%EF%BD%99%EF%BC%B0%EF%BD%81%EF%BD%99%E9%8A%80%E8%A1%8CVISA%E3%83%87%E3%83%93%E3%83%83%E3%83%88&amp;start_date=2026-03-01&amp;end_date=2026-03-31" TargetMode="External"/><Relationship Id="rId16" Type="http://schemas.openxmlformats.org/officeDocument/2006/relationships/hyperlink" Target="https://secure.freee.co.jp/reports/journals?start_date=2020-11-01&amp;end_date=2026-03-31&amp;name=%E6%A5%BD%E5%A4%A9%EF%BC%88%E6%B3%95%E4%BA%BA%EF%BC%89%EF%BC%88API%EF%BC%89" TargetMode="External"/><Relationship Id="rId17" Type="http://schemas.openxmlformats.org/officeDocument/2006/relationships/hyperlink" Target="https://secure.freee.co.jp/reports/journals?start_date=2020-11-01&amp;end_date=2026-03-31&amp;name=%E6%A5%BD%E5%A4%A9%EF%BC%88%E6%B3%95%E4%BA%BA%EF%BC%89%EF%BC%88API%EF%BC%89" TargetMode="External"/><Relationship Id="rId18" Type="http://schemas.openxmlformats.org/officeDocument/2006/relationships/hyperlink" Target="https://secure.freee.co.jp/reports/journals?start_date=2020-11-01&amp;end_date=2026-03-31&amp;name=%E6%A5%BD%E5%A4%A9%EF%BC%88%E6%B3%95%E4%BA%BA%EF%BC%89%EF%BC%88API%EF%BC%89&amp;partner_id=29804270" TargetMode="External"/><Relationship Id="rId19" Type="http://schemas.openxmlformats.org/officeDocument/2006/relationships/hyperlink" Target="https://secure.freee.co.jp/reports/journals?start_date=2020-11-01&amp;end_date=2026-03-31&amp;name=%E6%A5%BD%E5%A4%A9%EF%BC%88%E6%B3%95%E4%BA%BA%EF%BC%89%EF%BC%88API%EF%BC%89&amp;partner_id=96996843" TargetMode="External"/><Relationship Id="rId20" Type="http://schemas.openxmlformats.org/officeDocument/2006/relationships/hyperlink" Target="https://secure.freee.co.jp/reports/journals?start_date=2020-11-01&amp;end_date=2026-03-31&amp;name=%E6%A5%BD%E5%A4%A9%EF%BC%88%E6%B3%95%E4%BA%BA%EF%BC%89%EF%BC%88API%EF%BC%89&amp;partner_id=34375276" TargetMode="External"/><Relationship Id="rId21" Type="http://schemas.openxmlformats.org/officeDocument/2006/relationships/hyperlink" Target="https://secure.freee.co.jp/reports/journals?start_date=2024-11-01&amp;end_date=2026-03-31&amp;name=%E5%89%8D%E6%89%95%E8%B2%BB%E7%94%A8" TargetMode="External"/><Relationship Id="rId22" Type="http://schemas.openxmlformats.org/officeDocument/2006/relationships/hyperlink" Target="https://secure.freee.co.jp/reports/journals?start_date=2024-11-01&amp;end_date=2026-03-31&amp;name=%E5%89%8D%E6%89%95%E8%B2%BB%E7%94%A8&amp;partner_id=43409848" TargetMode="External"/><Relationship Id="rId23" Type="http://schemas.openxmlformats.org/officeDocument/2006/relationships/hyperlink" Target="https://secure.freee.co.jp/reports/journals?start_date=2024-11-01&amp;end_date=2026-03-31&amp;name=%E5%89%8D%E6%89%95%E8%B2%BB%E7%94%A8&amp;partner_id=107255929" TargetMode="External"/><Relationship Id="rId24" Type="http://schemas.openxmlformats.org/officeDocument/2006/relationships/hyperlink" Target="https://secure.freee.co.jp/reports/journals?start_date=2024-11-01&amp;end_date=2026-03-31&amp;name=%E5%89%8D%E6%89%95%E8%B2%BB%E7%94%A8&amp;partner_id=105641918" TargetMode="External"/><Relationship Id="rId25" Type="http://schemas.openxmlformats.org/officeDocument/2006/relationships/hyperlink" Target="https://secure.freee.co.jp/reports/journals?start_date=2024-11-01&amp;end_date=2026-03-31&amp;name=%E5%89%8D%E6%89%95%E8%B2%BB%E7%94%A8&amp;partner_id=87745690" TargetMode="External"/><Relationship Id="rId26" Type="http://schemas.openxmlformats.org/officeDocument/2006/relationships/hyperlink" Target="https://secure.freee.co.jp/reports/journals?start_date=2020-11-01&amp;end_date=2026-03-31&amp;name=%E5%9C%9F%E5%9C%B0" TargetMode="External"/><Relationship Id="rId27" Type="http://schemas.openxmlformats.org/officeDocument/2006/relationships/hyperlink" Target="https://secure.freee.co.jp/reports/journals?start_date=2020-11-01&amp;end_date=2026-03-31&amp;name=%E5%9C%9F%E5%9C%B0" TargetMode="External"/><Relationship Id="rId28" Type="http://schemas.openxmlformats.org/officeDocument/2006/relationships/hyperlink" Target="https://secure.freee.co.jp/reports/journals?start_date=2020-11-01&amp;end_date=2026-03-31&amp;name=%E5%87%BA%E8%B3%87%E9%87%91" TargetMode="External"/><Relationship Id="rId29" Type="http://schemas.openxmlformats.org/officeDocument/2006/relationships/hyperlink" Target="https://secure.freee.co.jp/reports/journals?start_date=2020-11-01&amp;end_date=2026-03-31&amp;name=%E5%87%BA%E8%B3%87%E9%87%91&amp;partner_id=47371610" TargetMode="External"/><Relationship Id="rId30" Type="http://schemas.openxmlformats.org/officeDocument/2006/relationships/hyperlink" Target="https://secure.freee.co.jp/reports/journals?start_date=2020-11-01&amp;end_date=2026-03-31&amp;name=%E5%87%BA%E8%B3%87%E9%87%91&amp;partner_id=29216979" TargetMode="External"/><Relationship Id="rId31" Type="http://schemas.openxmlformats.org/officeDocument/2006/relationships/hyperlink" Target="https://secure.freee.co.jp/reports/journals?start_date=2023-11-01&amp;end_date=2026-03-31&amp;name=%E9%A0%90%E8%A8%97%E9%87%91" TargetMode="External"/><Relationship Id="rId32" Type="http://schemas.openxmlformats.org/officeDocument/2006/relationships/hyperlink" Target="https://secure.freee.co.jp/reports/journals?start_date=2023-11-01&amp;end_date=2026-03-31&amp;name=%E9%A0%90%E8%A8%97%E9%87%91&amp;partner_id=99524684" TargetMode="External"/><Relationship Id="rId33" Type="http://schemas.openxmlformats.org/officeDocument/2006/relationships/hyperlink" Target="https://secure.freee.co.jp/reports/journals?start_date=2024-11-01&amp;end_date=2026-03-31&amp;name=%E9%96%8B%E6%A5%AD%E8%B2%BB" TargetMode="External"/><Relationship Id="rId34" Type="http://schemas.openxmlformats.org/officeDocument/2006/relationships/hyperlink" Target="https://secure.freee.co.jp/reports/journals?start_date=2024-11-01&amp;end_date=2026-03-31&amp;name=%E9%96%8B%E6%A5%AD%E8%B2%BB" TargetMode="External"/><Relationship Id="rId35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" TargetMode="External"/><Relationship Id="rId36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" TargetMode="External"/><Relationship Id="rId37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&amp;partner_id=34372573" TargetMode="External"/><Relationship Id="rId38" Type="http://schemas.openxmlformats.org/officeDocument/2006/relationships/hyperlink" Target="https://secure.freee.co.jp/reports/journals?start_date=2024-11-01&amp;end_date=2026-03-31&amp;name=%E9%A0%90%E3%82%8A%E9%87%91" TargetMode="External"/><Relationship Id="rId39" Type="http://schemas.openxmlformats.org/officeDocument/2006/relationships/hyperlink" Target="https://secure.freee.co.jp/reports/journals?start_date=2024-11-01&amp;end_date=2026-03-31&amp;name=%E9%A0%90%E3%82%8A%E9%87%91&amp;partner_id=41786973" TargetMode="External"/><Relationship Id="rId40" Type="http://schemas.openxmlformats.org/officeDocument/2006/relationships/hyperlink" Target="https://secure.freee.co.jp/reports/journals?start_date=2024-11-01&amp;end_date=2026-03-31&amp;name=%E9%A0%90%E3%82%8A%E9%87%91" TargetMode="External"/><Relationship Id="rId41" Type="http://schemas.openxmlformats.org/officeDocument/2006/relationships/hyperlink" Target="https://secure.freee.co.jp/reports/journals?start_date=2024-11-01&amp;end_date=2026-03-31&amp;name=%E9%A0%90%E3%82%8A%E9%87%91&amp;partner_id=30659850" TargetMode="External"/><Relationship Id="rId42" Type="http://schemas.openxmlformats.org/officeDocument/2006/relationships/hyperlink" Target="https://secure.freee.co.jp/reports/journals?start_date=2024-11-01&amp;end_date=2026-03-31&amp;name=%E9%A0%90%E3%82%8A%E9%87%91&amp;partner_id=30659841" TargetMode="External"/><Relationship Id="rId43" Type="http://schemas.openxmlformats.org/officeDocument/2006/relationships/hyperlink" Target="https://secure.freee.co.jp/reports/journals?start_date=2024-11-01&amp;end_date=2026-03-31&amp;name=%E9%A0%90%E3%82%8A%E9%87%91&amp;partner_id=66380321" TargetMode="External"/><Relationship Id="rId44" Type="http://schemas.openxmlformats.org/officeDocument/2006/relationships/hyperlink" Target="https://secure.freee.co.jp/reports/journals?start_date=2022-11-01&amp;end_date=2026-03-31&amp;name=%E5%89%8D%E5%8F%97%E5%8F%8E%E7%9B%8A" TargetMode="External"/><Relationship Id="rId45" Type="http://schemas.openxmlformats.org/officeDocument/2006/relationships/hyperlink" Target="https://secure.freee.co.jp/reports/journals?start_date=2022-11-01&amp;end_date=2026-03-31&amp;name=%E5%89%8D%E5%8F%97%E5%8F%8E%E7%9B%8A&amp;partner_id=67491965" TargetMode="External"/><Relationship Id="rId46" Type="http://schemas.openxmlformats.org/officeDocument/2006/relationships/hyperlink" Target="https://secure.freee.co.jp/reports/journals?start_date=2022-11-01&amp;end_date=2026-03-31&amp;name=%E5%89%8D%E5%8F%97%E5%8F%8E%E7%9B%8A&amp;partner_id=41128524" TargetMode="External"/><Relationship Id="rId47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6-03-01&amp;end_date=2026-03-31&amp;fiscal_year_id=10456857" TargetMode="External"/><Relationship Id="rId48" Type="http://schemas.openxmlformats.org/officeDocument/2006/relationships/hyperlink" Target="https://secure.freee.co.jp/reports/general_ledgers/show?name=%E5%A3%B2%E6%8E%9B%E9%87%91&amp;start_date=2026-03-01&amp;end_date=2026-03-31&amp;fiscal_year_id=10456857" TargetMode="External"/><Relationship Id="rId49" Type="http://schemas.openxmlformats.org/officeDocument/2006/relationships/hyperlink" Target="https://secure.freee.co.jp/reports/general_ledgers/show?name=%E6%9C%AA%E6%89%95%E9%87%91&amp;start_date=2026-03-01&amp;end_date=2026-03-31&amp;fiscal_year_id=10456857" TargetMode="External"/><Relationship Id="rId50" Type="http://schemas.openxmlformats.org/officeDocument/2006/relationships/hyperlink" Target="https://secure.freee.co.jp/reports/general_ledgers/show?name=%E4%BB%AE%E5%8F%97%E9%87%91&amp;start_date=2026-03-01&amp;end_date=2026-03-31&amp;fiscal_year_id=10456857" TargetMode="External"/><Relationship Id="rId51" Type="http://schemas.openxmlformats.org/officeDocument/2006/relationships/hyperlink" Target="https://secure.freee.co.jp/reports/journals?deal_id=3448844111" TargetMode="External"/><Relationship Id="rId52" Type="http://schemas.openxmlformats.org/officeDocument/2006/relationships/hyperlink" Target="https://secure.freee.co.jp/reports/journals?start_date=2024-11-01&amp;end_date=2026-03-31&amp;name=%E5%89%8D%E6%89%95%E8%B2%BB%E7%94%A8" TargetMode="External"/><Relationship Id="rId53" Type="http://schemas.openxmlformats.org/officeDocument/2006/relationships/hyperlink" Target="https://secure.freee.co.jp/reports/journals?start_date=2024-11-01&amp;end_date=2026-03-31&amp;name=%E5%89%8D%E6%89%95%E8%B2%BB%E7%94%A8" TargetMode="External"/><Relationship Id="rId54" Type="http://schemas.openxmlformats.org/officeDocument/2006/relationships/hyperlink" Target="https://secure.freee.co.jp/reports/journals?start_date=2025-11-01&amp;end_date=2026-03-31&amp;name=%E5%9C%B0%E4%BB%A3%E5%AE%B6%E8%B3%83" TargetMode="External"/><Relationship Id="rId55" Type="http://schemas.openxmlformats.org/officeDocument/2006/relationships/hyperlink" Target="https://secure.freee.co.jp/reports/journals?start_date=2025-11-01&amp;end_date=2026-03-31&amp;name=%E6%94%AF%E6%89%95%E6%89%8B%E6%95%B0%E6%96%99" TargetMode="External"/><Relationship Id="rId56" Type="http://schemas.openxmlformats.org/officeDocument/2006/relationships/hyperlink" Target="https://secure.freee.co.jp/reports/journals?start_date=2025-11-01&amp;end_date=2026-03-31&amp;name=%E9%80%9A%E4%BF%A1%E8%B2%BB" TargetMode="External"/><Relationship Id="rId57" Type="http://schemas.openxmlformats.org/officeDocument/2006/relationships/hyperlink" Target="https://secure.freee.co.jp/reports/journals?start_date=2025-11-01&amp;end_date=2026-03-31&amp;name=%E6%B0%B4%E9%81%93%E5%85%89%E7%86%B1%E8%B2%BB" TargetMode="External"/><Relationship Id="rId58" Type="http://schemas.openxmlformats.org/officeDocument/2006/relationships/hyperlink" Target="https://secure.freee.co.jp/reports/general_ledgers/show?name=%E5%BA%83%E5%91%8A%E5%AE%A3%E4%BC%9D%E8%B2%BB&amp;start_date=2026-03-01&amp;end_date=2026-03-31&amp;fiscal_year_id=10456857" TargetMode="External"/><Relationship Id="rId59" Type="http://schemas.openxmlformats.org/officeDocument/2006/relationships/hyperlink" Target="https://secure.freee.co.jp/reports/general_ledgers/show?name=%E5%BA%83%E5%91%8A%E5%AE%A3%E4%BC%9D%E8%B2%BB&amp;start_date=2026-03-01&amp;end_date=2026-03-31&amp;fiscal_year_id=10456857&amp;tax_group_codes=0" TargetMode="External"/><Relationship Id="rId60" Type="http://schemas.openxmlformats.org/officeDocument/2006/relationships/hyperlink" Target="https://secure.freee.co.jp/reports/general_ledgers/show?name=%E5%BA%83%E5%91%8A%E5%AE%A3%E4%BC%9D%E8%B2%BB&amp;start_date=2026-03-01&amp;end_date=2026-03-31&amp;fiscal_year_id=10456857&amp;tax_group_codes=34&amp;tax_rate=10&amp;tax_reduced=false" TargetMode="External"/><Relationship Id="rId61" Type="http://schemas.openxmlformats.org/officeDocument/2006/relationships/hyperlink" Target="https://secure.freee.co.jp/reports/general_ledgers/show?name=%E6%94%AF%E6%89%95%E6%89%8B%E6%95%B0%E6%96%99&amp;start_date=2026-03-01&amp;end_date=2026-03-31&amp;fiscal_year_id=10456857" TargetMode="External"/><Relationship Id="rId62" Type="http://schemas.openxmlformats.org/officeDocument/2006/relationships/hyperlink" Target="https://secure.freee.co.jp/reports/general_ledgers/show?name=%E6%94%AF%E6%89%95%E6%89%8B%E6%95%B0%E6%96%99&amp;start_date=2026-03-01&amp;end_date=2026-03-31&amp;fiscal_year_id=10456857&amp;tax_group_codes=34&amp;tax_rate=10&amp;tax_reduced=false" TargetMode="External"/><Relationship Id="rId63" Type="http://schemas.openxmlformats.org/officeDocument/2006/relationships/hyperlink" Target="https://secure.freee.co.jp/reports/general_ledgers/show?name=%E6%94%AF%E6%89%95%E6%89%8B%E6%95%B0%E6%96%99&amp;start_date=2026-03-01&amp;end_date=2026-03-31&amp;fiscal_year_id=10456857&amp;tax_group_codes=37" TargetMode="External"/><Relationship Id="rId64" Type="http://schemas.openxmlformats.org/officeDocument/2006/relationships/hyperlink" Target="https://secure.freee.co.jp/reports/general_ledgers/show?name=%E6%94%AF%E6%89%95%E6%89%8B%E6%95%B0%E6%96%99&amp;start_date=2026-03-01&amp;end_date=2026-03-31&amp;fiscal_year_id=10456857&amp;tax_group_codes=34&amp;tax_rate=10&amp;tax_deduction_rate=80&amp;tax_reduced=false" TargetMode="External"/><Relationship Id="rId65" Type="http://schemas.openxmlformats.org/officeDocument/2006/relationships/hyperlink" Target="https://secure.freee.co.jp/reports/general_ledgers/show?name=%E5%A3%B2%E4%B8%8A%E9%AB%98&amp;start_date=2026-03-01&amp;end_date=2026-03-31&amp;fiscal_year_id=10456857" TargetMode="External"/><Relationship Id="rId66" Type="http://schemas.openxmlformats.org/officeDocument/2006/relationships/hyperlink" Target="https://secure.freee.co.jp/reports/general_ledgers/show?name=%E5%A3%B2%E4%B8%8A%E9%AB%98&amp;start_date=2026-03-01&amp;end_date=2026-03-31&amp;fiscal_year_id=10456857&amp;tax_group_codes=21&amp;tax_rate=10&amp;tax_reduced=false" TargetMode="External"/><Relationship Id="rId67" Type="http://schemas.openxmlformats.org/officeDocument/2006/relationships/hyperlink" Target="https://secure.freee.co.jp/reports/general_ledgers/show?name=%E5%A3%B2%E4%B8%8A%E9%AB%98&amp;start_date=2026-03-01&amp;end_date=2026-03-31&amp;fiscal_year_id=10456857&amp;tax_group_codes=23" TargetMode="External"/><Relationship Id="rId68" Type="http://schemas.openxmlformats.org/officeDocument/2006/relationships/hyperlink" Target="https://secure.freee.co.jp/reports/general_ledgers/show?name=%E5%9C%B0%E4%BB%A3%E5%AE%B6%E8%B3%83&amp;start_date=2026-03-01&amp;end_date=2026-03-31&amp;fiscal_year_id=10456857" TargetMode="External"/><Relationship Id="rId69" Type="http://schemas.openxmlformats.org/officeDocument/2006/relationships/hyperlink" Target="https://secure.freee.co.jp/reports/general_ledgers/show?name=%E5%9C%B0%E4%BB%A3%E5%AE%B6%E8%B3%83&amp;start_date=2026-03-01&amp;end_date=2026-03-31&amp;fiscal_year_id=10456857&amp;tax_group_codes=34&amp;tax_rate=10&amp;tax_deduction_rate=80&amp;tax_reduced=false" TargetMode="External"/><Relationship Id="rId70" Type="http://schemas.openxmlformats.org/officeDocument/2006/relationships/hyperlink" Target="https://secure.freee.co.jp/reports/general_ledgers/show?name=%E5%9C%B0%E4%BB%A3%E5%AE%B6%E8%B3%83&amp;start_date=2026-03-01&amp;end_date=2026-03-31&amp;fiscal_year_id=10456857&amp;tax_group_codes=34&amp;tax_rate=10&amp;tax_reduced=false" TargetMode="External"/><Relationship Id="rId71" Type="http://schemas.openxmlformats.org/officeDocument/2006/relationships/hyperlink" Target="https://secure.freee.co.jp/reports/general_ledgers/show?name=%E9%9B%91%E5%8F%8E%E5%85%A5&amp;start_date=2026-03-01&amp;end_date=2026-03-31" TargetMode="External"/><Relationship Id="rId72" Type="http://schemas.openxmlformats.org/officeDocument/2006/relationships/hyperlink" Target="https://secure.freee.co.jp/reports/general_ledgers/show?name=%E8%A1%9B%EF%BF%BD%EF%BF%BD%E8%B2%BB&amp;start_date=2026-03-01&amp;end_date=2026-03-31" TargetMode="External"/><Relationship Id="rId73" Type="http://schemas.openxmlformats.org/officeDocument/2006/relationships/hyperlink" Target="https://secure.freee.co.jp/reports/general_ledgers/show?name=%E5%BA%83%E5%91%8A%E5%AE%A3%E4%BC%9D%E8%B2%BB&amp;start_date=2026-03-01&amp;end_date=2026-03-31" TargetMode="External"/><Relationship Id="rId74" Type="http://schemas.openxmlformats.org/officeDocument/2006/relationships/hyperlink" Target="https://secure.freee.co.jp/reports/general_ledgers/show?name=%E4%BF%9D%E9%99%BA%E6%96%99&amp;start_date=2026-03-01&amp;end_date=2026-03-31" TargetMode="External"/><Relationship Id="rId75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76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77" Type="http://schemas.openxmlformats.org/officeDocument/2006/relationships/hyperlink" Target="https://secure.freee.co.jp/reports/journals?start_date=2025-11-01&amp;end_date=2026-03-31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A%83%E5%91%8A%E5%AE%A3%E4%BC%9D%E8%B2%BB&amp;start_date=2026-03-01&amp;end_date=2026-03-31&amp;fiscal_year_id=10456857" TargetMode="External"/><Relationship Id="rId2" Type="http://schemas.openxmlformats.org/officeDocument/2006/relationships/hyperlink" Target="https://secure.freee.co.jp/reports/general_ledgers/show?name=%E5%BA%83%E5%91%8A%E5%AE%A3%E4%BC%9D%E8%B2%BB&amp;start_date=2026-03-01&amp;end_date=2026-03-31&amp;fiscal_year_id=10456857&amp;tax_group_codes=0" TargetMode="External"/><Relationship Id="rId3" Type="http://schemas.openxmlformats.org/officeDocument/2006/relationships/hyperlink" Target="https://secure.freee.co.jp/reports/general_ledgers/show?name=%E5%BA%83%E5%91%8A%E5%AE%A3%E4%BC%9D%E8%B2%BB&amp;start_date=2026-03-01&amp;end_date=2026-03-31&amp;fiscal_year_id=10456857&amp;tax_group_codes=34&amp;tax_rate=10&amp;tax_reduced=false" TargetMode="External"/><Relationship Id="rId4" Type="http://schemas.openxmlformats.org/officeDocument/2006/relationships/hyperlink" Target="https://secure.freee.co.jp/reports/general_ledgers/show?name=%E6%94%AF%E6%89%95%E6%89%8B%E6%95%B0%E6%96%99&amp;start_date=2026-03-01&amp;end_date=2026-03-31&amp;fiscal_year_id=10456857" TargetMode="External"/><Relationship Id="rId5" Type="http://schemas.openxmlformats.org/officeDocument/2006/relationships/hyperlink" Target="https://secure.freee.co.jp/reports/general_ledgers/show?name=%E6%94%AF%E6%89%95%E6%89%8B%E6%95%B0%E6%96%99&amp;start_date=2026-03-01&amp;end_date=2026-03-31&amp;fiscal_year_id=10456857&amp;tax_group_codes=34&amp;tax_rate=10&amp;tax_reduced=false" TargetMode="External"/><Relationship Id="rId6" Type="http://schemas.openxmlformats.org/officeDocument/2006/relationships/hyperlink" Target="https://secure.freee.co.jp/reports/general_ledgers/show?name=%E6%94%AF%E6%89%95%E6%89%8B%E6%95%B0%E6%96%99&amp;start_date=2026-03-01&amp;end_date=2026-03-31&amp;fiscal_year_id=10456857&amp;tax_group_codes=37" TargetMode="External"/><Relationship Id="rId7" Type="http://schemas.openxmlformats.org/officeDocument/2006/relationships/hyperlink" Target="https://secure.freee.co.jp/reports/general_ledgers/show?name=%E6%94%AF%E6%89%95%E6%89%8B%E6%95%B0%E6%96%99&amp;start_date=2026-03-01&amp;end_date=2026-03-31&amp;fiscal_year_id=10456857&amp;tax_group_codes=34&amp;tax_rate=10&amp;tax_deduction_rate=80&amp;tax_reduced=false" TargetMode="External"/><Relationship Id="rId8" Type="http://schemas.openxmlformats.org/officeDocument/2006/relationships/hyperlink" Target="https://secure.freee.co.jp/reports/general_ledgers/show?name=%E5%A3%B2%E4%B8%8A%E9%AB%98&amp;start_date=2026-03-01&amp;end_date=2026-03-31&amp;fiscal_year_id=10456857" TargetMode="External"/><Relationship Id="rId9" Type="http://schemas.openxmlformats.org/officeDocument/2006/relationships/hyperlink" Target="https://secure.freee.co.jp/reports/general_ledgers/show?name=%E5%A3%B2%E4%B8%8A%E9%AB%98&amp;start_date=2026-03-01&amp;end_date=2026-03-31&amp;fiscal_year_id=10456857&amp;tax_group_codes=21&amp;tax_rate=10&amp;tax_reduced=false" TargetMode="External"/><Relationship Id="rId10" Type="http://schemas.openxmlformats.org/officeDocument/2006/relationships/hyperlink" Target="https://secure.freee.co.jp/reports/general_ledgers/show?name=%E5%A3%B2%E4%B8%8A%E9%AB%98&amp;start_date=2026-03-01&amp;end_date=2026-03-31&amp;fiscal_year_id=10456857&amp;tax_group_codes=23" TargetMode="External"/><Relationship Id="rId11" Type="http://schemas.openxmlformats.org/officeDocument/2006/relationships/hyperlink" Target="https://secure.freee.co.jp/reports/general_ledgers/show?name=%E5%9C%B0%E4%BB%A3%E5%AE%B6%E8%B3%83&amp;start_date=2026-03-01&amp;end_date=2026-03-31&amp;fiscal_year_id=10456857" TargetMode="External"/><Relationship Id="rId12" Type="http://schemas.openxmlformats.org/officeDocument/2006/relationships/hyperlink" Target="https://secure.freee.co.jp/reports/general_ledgers/show?name=%E5%9C%B0%E4%BB%A3%E5%AE%B6%E8%B3%83&amp;start_date=2026-03-01&amp;end_date=2026-03-31&amp;fiscal_year_id=10456857&amp;tax_group_codes=34&amp;tax_rate=10&amp;tax_deduction_rate=80&amp;tax_reduced=false" TargetMode="External"/><Relationship Id="rId13" Type="http://schemas.openxmlformats.org/officeDocument/2006/relationships/hyperlink" Target="https://secure.freee.co.jp/reports/general_ledgers/show?name=%E5%9C%B0%E4%BB%A3%E5%AE%B6%E8%B3%83&amp;start_date=2026-03-01&amp;end_date=2026-03-31&amp;fiscal_year_id=10456857&amp;tax_group_codes=34&amp;tax_rate=10&amp;tax_reduced=false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Amazon_%E6%9C%AC%E7%A4%BE&amp;start_date=2025-11-01&amp;end_date=2026-03-31&amp;fiscal_year_id=10456857" TargetMode="External"/><Relationship Id="rId2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6-03-01&amp;end_date=2026-03-31" TargetMode="External"/><Relationship Id="rId3" Type="http://schemas.openxmlformats.org/officeDocument/2006/relationships/hyperlink" Target="https://secure.freee.co.jp/reports/general_ledgers/show?name=%E3%80%90%E9%A3%B2%E9%A3%9F%E4%BA%8B%E6%A5%AD%E9%83%A8%E3%80%91%EF%BC%B0%EF%BD%81%EF%BD%99%EF%BC%B0%EF%BD%81%EF%BD%99%E9%8A%80%E8%A1%8C%EF%BC%88API%EF%BC%89+005+%E6%99%AE%E9%80%9A+***5573&amp;start_date=2026-03-01&amp;end_date=2026-03-31" TargetMode="External"/><Relationship Id="rId4" Type="http://schemas.openxmlformats.org/officeDocument/2006/relationships/hyperlink" Target="https://secure.freee.co.jp/reports/general_ledgers/show?name=%E9%95%B7%E6%9C%9F%E5%80%9F%E5%85%A5%E9%87%91&amp;start_date=2026-03-01&amp;end_date=2026-03-31" TargetMode="External"/><Relationship Id="rId5" Type="http://schemas.openxmlformats.org/officeDocument/2006/relationships/hyperlink" Target="https://secure.freee.co.jp/reports/journals?start_date=2020-11-01&amp;end_date=2026-03-31&amp;name=%E6%A5%BD%E5%A4%A9%EF%BC%88%E6%B3%95%E4%BA%BA%EF%BC%89%EF%BC%88API%EF%BC%89" TargetMode="External"/><Relationship Id="rId6" Type="http://schemas.openxmlformats.org/officeDocument/2006/relationships/hyperlink" Target="https://secure.freee.co.jp/reports/journals?start_date=2020-11-01&amp;end_date=2026-03-31&amp;name=%E6%A5%BD%E5%A4%A9%EF%BC%88%E6%B3%95%E4%BA%BA%EF%BC%89%EF%BC%88API%EF%BC%89" TargetMode="External"/><Relationship Id="rId7" Type="http://schemas.openxmlformats.org/officeDocument/2006/relationships/hyperlink" Target="https://secure.freee.co.jp/reports/journals?start_date=2020-11-01&amp;end_date=2026-03-31&amp;name=%E6%A5%BD%E5%A4%A9%EF%BC%88%E6%B3%95%E4%BA%BA%EF%BC%89%EF%BC%88API%EF%BC%89&amp;partner_id=29804270" TargetMode="External"/><Relationship Id="rId8" Type="http://schemas.openxmlformats.org/officeDocument/2006/relationships/hyperlink" Target="https://secure.freee.co.jp/reports/journals?start_date=2020-11-01&amp;end_date=2026-03-31&amp;name=%E6%A5%BD%E5%A4%A9%EF%BC%88%E6%B3%95%E4%BA%BA%EF%BC%89%EF%BC%88API%EF%BC%89&amp;partner_id=96996843" TargetMode="External"/><Relationship Id="rId9" Type="http://schemas.openxmlformats.org/officeDocument/2006/relationships/hyperlink" Target="https://secure.freee.co.jp/reports/journals?start_date=2020-11-01&amp;end_date=2026-03-31&amp;name=%E6%A5%BD%E5%A4%A9%EF%BC%88%E6%B3%95%E4%BA%BA%EF%BC%89%EF%BC%88API%EF%BC%89&amp;partner_id=34375276" TargetMode="External"/><Relationship Id="rId10" Type="http://schemas.openxmlformats.org/officeDocument/2006/relationships/hyperlink" Target="https://secure.freee.co.jp/reports/journals?start_date=2024-11-01&amp;end_date=2026-03-31&amp;name=%E5%89%8D%E6%89%95%E8%B2%BB%E7%94%A8" TargetMode="External"/><Relationship Id="rId11" Type="http://schemas.openxmlformats.org/officeDocument/2006/relationships/hyperlink" Target="https://secure.freee.co.jp/reports/journals?start_date=2024-11-01&amp;end_date=2026-03-31&amp;name=%E5%89%8D%E6%89%95%E8%B2%BB%E7%94%A8&amp;partner_id=43409848" TargetMode="External"/><Relationship Id="rId12" Type="http://schemas.openxmlformats.org/officeDocument/2006/relationships/hyperlink" Target="https://secure.freee.co.jp/reports/journals?start_date=2024-11-01&amp;end_date=2026-03-31&amp;name=%E5%89%8D%E6%89%95%E8%B2%BB%E7%94%A8&amp;partner_id=107255929" TargetMode="External"/><Relationship Id="rId13" Type="http://schemas.openxmlformats.org/officeDocument/2006/relationships/hyperlink" Target="https://secure.freee.co.jp/reports/journals?start_date=2024-11-01&amp;end_date=2026-03-31&amp;name=%E5%89%8D%E6%89%95%E8%B2%BB%E7%94%A8&amp;partner_id=105641918" TargetMode="External"/><Relationship Id="rId14" Type="http://schemas.openxmlformats.org/officeDocument/2006/relationships/hyperlink" Target="https://secure.freee.co.jp/reports/journals?start_date=2024-11-01&amp;end_date=2026-03-31&amp;name=%E5%89%8D%E6%89%95%E8%B2%BB%E7%94%A8&amp;partner_id=87745690" TargetMode="External"/><Relationship Id="rId15" Type="http://schemas.openxmlformats.org/officeDocument/2006/relationships/hyperlink" Target="https://secure.freee.co.jp/reports/journals?start_date=2020-11-01&amp;end_date=2026-03-31&amp;name=%E5%9C%9F%E5%9C%B0" TargetMode="External"/><Relationship Id="rId16" Type="http://schemas.openxmlformats.org/officeDocument/2006/relationships/hyperlink" Target="https://secure.freee.co.jp/reports/journals?start_date=2020-11-01&amp;end_date=2026-03-31&amp;name=%E5%9C%9F%E5%9C%B0" TargetMode="External"/><Relationship Id="rId17" Type="http://schemas.openxmlformats.org/officeDocument/2006/relationships/hyperlink" Target="https://secure.freee.co.jp/reports/journals?start_date=2020-11-01&amp;end_date=2026-03-31&amp;name=%E5%87%BA%E8%B3%87%E9%87%91" TargetMode="External"/><Relationship Id="rId18" Type="http://schemas.openxmlformats.org/officeDocument/2006/relationships/hyperlink" Target="https://secure.freee.co.jp/reports/journals?start_date=2020-11-01&amp;end_date=2026-03-31&amp;name=%E5%87%BA%E8%B3%87%E9%87%91&amp;partner_id=47371610" TargetMode="External"/><Relationship Id="rId19" Type="http://schemas.openxmlformats.org/officeDocument/2006/relationships/hyperlink" Target="https://secure.freee.co.jp/reports/journals?start_date=2020-11-01&amp;end_date=2026-03-31&amp;name=%E5%87%BA%E8%B3%87%E9%87%91&amp;partner_id=29216979" TargetMode="External"/><Relationship Id="rId20" Type="http://schemas.openxmlformats.org/officeDocument/2006/relationships/hyperlink" Target="https://secure.freee.co.jp/reports/journals?start_date=2023-11-01&amp;end_date=2026-03-31&amp;name=%E9%A0%90%E8%A8%97%E9%87%91" TargetMode="External"/><Relationship Id="rId21" Type="http://schemas.openxmlformats.org/officeDocument/2006/relationships/hyperlink" Target="https://secure.freee.co.jp/reports/journals?start_date=2023-11-01&amp;end_date=2026-03-31&amp;name=%E9%A0%90%E8%A8%97%E9%87%91&amp;partner_id=99524684" TargetMode="External"/><Relationship Id="rId22" Type="http://schemas.openxmlformats.org/officeDocument/2006/relationships/hyperlink" Target="https://secure.freee.co.jp/reports/journals?start_date=2024-11-01&amp;end_date=2026-03-31&amp;name=%E9%96%8B%E6%A5%AD%E8%B2%BB" TargetMode="External"/><Relationship Id="rId23" Type="http://schemas.openxmlformats.org/officeDocument/2006/relationships/hyperlink" Target="https://secure.freee.co.jp/reports/journals?start_date=2024-11-01&amp;end_date=2026-03-31&amp;name=%E9%96%8B%E6%A5%AD%E8%B2%BB" TargetMode="External"/><Relationship Id="rId24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" TargetMode="External"/><Relationship Id="rId25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" TargetMode="External"/><Relationship Id="rId26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&amp;partner_id=34372573" TargetMode="External"/><Relationship Id="rId27" Type="http://schemas.openxmlformats.org/officeDocument/2006/relationships/hyperlink" Target="https://secure.freee.co.jp/reports/journals?start_date=2024-11-01&amp;end_date=2026-03-31&amp;name=%E9%A0%90%E3%82%8A%E9%87%91" TargetMode="External"/><Relationship Id="rId28" Type="http://schemas.openxmlformats.org/officeDocument/2006/relationships/hyperlink" Target="https://secure.freee.co.jp/reports/journals?start_date=2024-11-01&amp;end_date=2026-03-31&amp;name=%E9%A0%90%E3%82%8A%E9%87%91&amp;partner_id=41786973" TargetMode="External"/><Relationship Id="rId29" Type="http://schemas.openxmlformats.org/officeDocument/2006/relationships/hyperlink" Target="https://secure.freee.co.jp/reports/journals?start_date=2024-11-01&amp;end_date=2026-03-31&amp;name=%E9%A0%90%E3%82%8A%E9%87%91" TargetMode="External"/><Relationship Id="rId30" Type="http://schemas.openxmlformats.org/officeDocument/2006/relationships/hyperlink" Target="https://secure.freee.co.jp/reports/journals?start_date=2024-11-01&amp;end_date=2026-03-31&amp;name=%E9%A0%90%E3%82%8A%E9%87%91&amp;partner_id=30659850" TargetMode="External"/><Relationship Id="rId31" Type="http://schemas.openxmlformats.org/officeDocument/2006/relationships/hyperlink" Target="https://secure.freee.co.jp/reports/journals?start_date=2024-11-01&amp;end_date=2026-03-31&amp;name=%E9%A0%90%E3%82%8A%E9%87%91&amp;partner_id=30659841" TargetMode="External"/><Relationship Id="rId32" Type="http://schemas.openxmlformats.org/officeDocument/2006/relationships/hyperlink" Target="https://secure.freee.co.jp/reports/journals?start_date=2024-11-01&amp;end_date=2026-03-31&amp;name=%E9%A0%90%E3%82%8A%E9%87%91&amp;partner_id=66380321" TargetMode="External"/><Relationship Id="rId33" Type="http://schemas.openxmlformats.org/officeDocument/2006/relationships/hyperlink" Target="https://secure.freee.co.jp/reports/journals?start_date=2022-11-01&amp;end_date=2026-03-31&amp;name=%E5%89%8D%E5%8F%97%E5%8F%8E%E7%9B%8A" TargetMode="External"/><Relationship Id="rId34" Type="http://schemas.openxmlformats.org/officeDocument/2006/relationships/hyperlink" Target="https://secure.freee.co.jp/reports/journals?start_date=2022-11-01&amp;end_date=2026-03-31&amp;name=%E5%89%8D%E5%8F%97%E5%8F%8E%E7%9B%8A&amp;partner_id=67491965" TargetMode="External"/><Relationship Id="rId35" Type="http://schemas.openxmlformats.org/officeDocument/2006/relationships/hyperlink" Target="https://secure.freee.co.jp/reports/journals?start_date=2022-11-01&amp;end_date=2026-03-31&amp;name=%E5%89%8D%E5%8F%97%E5%8F%8E%E7%9B%8A&amp;partner_id=41128524" TargetMode="External"/><Relationship Id="rId36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6-03-01&amp;end_date=2026-03-31&amp;fiscal_year_id=10456857" TargetMode="External"/><Relationship Id="rId37" Type="http://schemas.openxmlformats.org/officeDocument/2006/relationships/hyperlink" Target="https://secure.freee.co.jp/reports/general_ledgers/show?name=%E5%A3%B2%E6%8E%9B%E9%87%91&amp;start_date=2026-03-01&amp;end_date=2026-03-31&amp;fiscal_year_id=10456857" TargetMode="External"/><Relationship Id="rId38" Type="http://schemas.openxmlformats.org/officeDocument/2006/relationships/hyperlink" Target="https://secure.freee.co.jp/reports/general_ledgers/show?name=%E6%9C%AA%E6%89%95%E9%87%91&amp;start_date=2026-03-01&amp;end_date=2026-03-31&amp;fiscal_year_id=10456857" TargetMode="External"/><Relationship Id="rId39" Type="http://schemas.openxmlformats.org/officeDocument/2006/relationships/hyperlink" Target="https://secure.freee.co.jp/reports/general_ledgers/show?name=%E4%BB%AE%E5%8F%97%E9%87%91&amp;start_date=2026-03-01&amp;end_date=2026-03-31&amp;fiscal_year_id=10456857" TargetMode="External"/><Relationship Id="rId40" Type="http://schemas.openxmlformats.org/officeDocument/2006/relationships/hyperlink" Target="https://secure.freee.co.jp/reports/journals?deal_id=344884411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3-01&amp;end_date=2026-03-31" TargetMode="External"/><Relationship Id="rId2" Type="http://schemas.openxmlformats.org/officeDocument/2006/relationships/hyperlink" Target="https://secure.freee.co.jp/reports/general_ledgers/show?name=%E5%9C%B0%E4%BB%A3%E5%AE%B6%E8%B3%83&amp;start_date=2026-03-01&amp;end_date=2026-03-31" TargetMode="External"/><Relationship Id="rId3" Type="http://schemas.openxmlformats.org/officeDocument/2006/relationships/hyperlink" Target="https://secure.freee.co.jp/reports/general_ledgers/show?name=%E9%A0%90%E3%82%8A%E9%87%91&amp;start_date=2026-03-01&amp;end_date=2026-03-31" TargetMode="External"/><Relationship Id="rId4" Type="http://schemas.openxmlformats.org/officeDocument/2006/relationships/hyperlink" Target="https://secure.freee.co.jp/reports/general_ledgers/show?name=%E9%A0%90%E3%82%8A%E9%87%91&amp;start_date=2026-03-01&amp;end_date=2026-03-31" TargetMode="External"/><Relationship Id="rId5" Type="http://schemas.openxmlformats.org/officeDocument/2006/relationships/hyperlink" Target="https://secure.freee.co.jp/reports/general_ledgers/show?name=%E6%94%AF%E6%89%95%E6%89%8B%E6%95%B0%E6%96%99&amp;start_date=2026-03-01&amp;end_date=2026-03-31" TargetMode="External"/><Relationship Id="rId6" Type="http://schemas.openxmlformats.org/officeDocument/2006/relationships/hyperlink" Target="https://secure.freee.co.jp/reports/general_ledgers/show?name=%E4%BB%95%E5%85%A5%E9%AB%98&amp;start_date=2026-03-01&amp;end_date=2026-03-31" TargetMode="External"/><Relationship Id="rId7" Type="http://schemas.openxmlformats.org/officeDocument/2006/relationships/hyperlink" Target="https://secure.freee.co.jp/reports/general_ledgers/show?name=%E5%A3%B2%E4%B8%8A%E5%8E%9F%E4%BE%A1&amp;start_date=2026-03-01&amp;end_date=2026-03-31" TargetMode="External"/><Relationship Id="rId8" Type="http://schemas.openxmlformats.org/officeDocument/2006/relationships/hyperlink" Target="https://secure.freee.co.jp/reports/general_ledgers/show?name=%E5%A4%96%E6%B3%A8%E8%B2%BB&amp;start_date=2026-03-01&amp;end_date=2026-03-31" TargetMode="External"/><Relationship Id="rId9" Type="http://schemas.openxmlformats.org/officeDocument/2006/relationships/hyperlink" Target="https://secure.freee.co.jp/reports/general_ledgers/show?name=%E6%9C%AA%E6%89%95%E9%87%91&amp;start_date=2026-03-01&amp;end_date=2026-03-31" TargetMode="External"/><Relationship Id="rId10" Type="http://schemas.openxmlformats.org/officeDocument/2006/relationships/hyperlink" Target="https://secure.freee.co.jp/reports/general_ledgers/show?name=%E3%80%90%E9%A3%B2%E9%A3%9F%E4%BA%8B%E6%A5%AD%E9%83%A8%E3%80%91%EF%BC%B0%EF%BD%81%EF%BD%99%EF%BC%B0%EF%BD%81%EF%BD%99%E9%8A%80%E8%A1%8CVISA%E3%83%87%E3%83%93%E3%83%83%E3%83%88&amp;start_date=2026-03-01&amp;end_date=2026-03-31" TargetMode="External"/><Relationship Id="rId11" Type="http://schemas.openxmlformats.org/officeDocument/2006/relationships/hyperlink" Target="https://secure.freee.co.jp/reports/journals?start_date=2024-11-01&amp;end_date=2026-03-31&amp;name=%E5%89%8D%E6%89%95%E8%B2%BB%E7%94%A8" TargetMode="External"/><Relationship Id="rId12" Type="http://schemas.openxmlformats.org/officeDocument/2006/relationships/hyperlink" Target="https://secure.freee.co.jp/reports/journals?start_date=2024-11-01&amp;end_date=2026-03-31&amp;name=%E5%89%8D%E6%89%95%E8%B2%BB%E7%94%A8" TargetMode="External"/><Relationship Id="rId13" Type="http://schemas.openxmlformats.org/officeDocument/2006/relationships/hyperlink" Target="https://secure.freee.co.jp/reports/journals?start_date=2025-11-01&amp;end_date=2026-03-31&amp;name=%E5%9C%B0%E4%BB%A3%E5%AE%B6%E8%B3%83" TargetMode="External"/><Relationship Id="rId14" Type="http://schemas.openxmlformats.org/officeDocument/2006/relationships/hyperlink" Target="https://secure.freee.co.jp/reports/journals?start_date=2025-11-01&amp;end_date=2026-03-31&amp;name=%E6%94%AF%E6%89%95%E6%89%8B%E6%95%B0%E6%96%99" TargetMode="External"/><Relationship Id="rId15" Type="http://schemas.openxmlformats.org/officeDocument/2006/relationships/hyperlink" Target="https://secure.freee.co.jp/reports/journals?start_date=2025-11-01&amp;end_date=2026-03-31&amp;name=%E9%80%9A%E4%BF%A1%E8%B2%BB" TargetMode="External"/><Relationship Id="rId16" Type="http://schemas.openxmlformats.org/officeDocument/2006/relationships/hyperlink" Target="https://secure.freee.co.jp/reports/journals?start_date=2025-11-01&amp;end_date=2026-03-31&amp;name=%E6%B0%B4%E9%81%93%E5%85%89%E7%86%B1%E8%B2%BB" TargetMode="External"/><Relationship Id="rId17" Type="http://schemas.openxmlformats.org/officeDocument/2006/relationships/hyperlink" Target="https://secure.freee.co.jp/reports/general_ledgers/show?name=%E8%A1%9B%EF%BF%BD%EF%BF%BD%E8%B2%BB&amp;start_date=2026-03-01&amp;end_date=2026-03-31" TargetMode="External"/><Relationship Id="rId18" Type="http://schemas.openxmlformats.org/officeDocument/2006/relationships/hyperlink" Target="https://secure.freee.co.jp/reports/general_ledgers/show?name=%E5%BA%83%E5%91%8A%E5%AE%A3%E4%BC%9D%E8%B2%BB&amp;start_date=2026-03-01&amp;end_date=2026-03-31" TargetMode="External"/><Relationship Id="rId19" Type="http://schemas.openxmlformats.org/officeDocument/2006/relationships/hyperlink" Target="https://secure.freee.co.jp/reports/general_ledgers/show?name=%E4%BF%9D%E9%99%BA%E6%96%99&amp;start_date=2026-03-01&amp;end_date=2026-03-31" TargetMode="External"/><Relationship Id="rId20" Type="http://schemas.openxmlformats.org/officeDocument/2006/relationships/hyperlink" Target="https://secure.freee.co.jp/reports/general_ledgers/show?name=%E6%8E%A1%E7%94%A8%E6%95%99%E8%82%B2%E8%B2%BB&amp;start_date=2026-03-01&amp;end_date=2026-03-31" TargetMode="External"/><Relationship Id="rId21" Type="http://schemas.openxmlformats.org/officeDocument/2006/relationships/hyperlink" Target="https://secure.freee.co.jp/reports/general_ledgers/show?name=%E6%97%85%E8%B2%BB%E4%BA%A4%E9%80%9A%E8%B2%BB&amp;start_date=2026-03-01&amp;end_date=2026-03-31" TargetMode="External"/><Relationship Id="rId22" Type="http://schemas.openxmlformats.org/officeDocument/2006/relationships/hyperlink" Target="https://secure.freee.co.jp/reports/journals?start_date=2025-11-01&amp;end_date=2026-03-31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3-01&amp;end_date=2026-03-31" TargetMode="External"/><Relationship Id="rId2" Type="http://schemas.openxmlformats.org/officeDocument/2006/relationships/hyperlink" Target="https://secure.freee.co.jp/reports/general_ledgers/show?name=%E9%9B%91%E5%8F%8E%E5%85%A5&amp;start_date=2026-03-01&amp;end_date=2026-03-3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F%BE%E9%87%91&amp;start_date=2025-11-01&amp;end_date=2026-03-31&amp;fiscal_year_id=10456857" TargetMode="External"/><Relationship Id="rId2" Type="http://schemas.openxmlformats.org/officeDocument/2006/relationships/hyperlink" Target="https://secure.freee.co.jp/reports/general_ledgers/show?name=%E4%BD%8F%E4%BF%A1%EF%BC%B3%EF%BC%A2%EF%BC%A9%E3%83%8D%E3%83%83%E3%83%88%EF%BC%88%E6%B3%95%E4%BA%BA%EF%BC%89&amp;start_date=2025-11-01&amp;end_date=2026-03-31&amp;fiscal_year_id=10456857" TargetMode="External"/><Relationship Id="rId3" Type="http://schemas.openxmlformats.org/officeDocument/2006/relationships/hyperlink" Target="https://secure.freee.co.jp/reports/general_ledgers/show?name=%E6%9C%9D%E6%97%A5%E4%BF%A1%E9%87%91%EF%BC%88%E6%B3%95%E4%BA%BA%EF%BC%89%EF%BC%88API%EF%BC%89&amp;start_date=2025-11-01&amp;end_date=2026-03-31&amp;fiscal_year_id=10456857" TargetMode="External"/><Relationship Id="rId4" Type="http://schemas.openxmlformats.org/officeDocument/2006/relationships/hyperlink" Target="https://secure.freee.co.jp/reports/general_ledgers/show?name=%E3%80%90%E3%82%A8%E3%82%B9%E3%83%86%E4%BA%8B%E6%A5%AD%E9%83%A8%E3%80%91GMO%E3%81%82%E3%81%8A%E3%81%9E%E3%82%89%E3%83%8D%E3%83%83%E3%83%88%EF%BC%88%E6%B3%95%E4%BA%BA%EF%BC%89%EF%BC%88API%EF%BC%89&amp;start_date=2025-11-01&amp;end_date=2026-03-31&amp;fiscal_year_id=10456857" TargetMode="External"/><Relationship Id="rId5" Type="http://schemas.openxmlformats.org/officeDocument/2006/relationships/hyperlink" Target="https://secure.freee.co.jp/reports/journals?start_date=2020-11-01&amp;end_date=2026-03-31&amp;name=%E6%A5%BD%E5%A4%A9%EF%BC%88%E6%B3%95%E4%BA%BA%EF%BC%89%EF%BC%88API%EF%BC%89" TargetMode="External"/><Relationship Id="rId6" Type="http://schemas.openxmlformats.org/officeDocument/2006/relationships/hyperlink" Target="https://secure.freee.co.jp/reports/general_ledgers/show?name=%E5%9F%8E%E5%8C%97%E4%BF%A1%E9%87%91%EF%BC%88%E6%B3%95%E4%BA%BA%EF%BC%89%EF%BC%88API%EF%BC%89&amp;start_date=2025-11-01&amp;end_date=2026-03-31&amp;fiscal_year_id=10456857" TargetMode="External"/><Relationship Id="rId7" Type="http://schemas.openxmlformats.org/officeDocument/2006/relationships/hyperlink" Target="https://secure.freee.co.jp/reports/general_ledgers/show?name=%E8%B6%B3%E7%AB%8B%E6%88%90%E5%92%8C%E4%BF%A1%E9%87%91%EF%BC%88%E6%B3%95%E4%BA%BA%EF%BC%89%EF%BC%88API%EF%BC%89&amp;start_date=2025-11-01&amp;end_date=2026-03-31&amp;fiscal_year_id=10456857" TargetMode="External"/><Relationship Id="rId8" Type="http://schemas.openxmlformats.org/officeDocument/2006/relationships/hyperlink" Target="https://secure.freee.co.jp/reports/general_ledgers/show?name=%E3%80%90%E9%A3%B2%E9%A3%9F%E4%BA%8B%E6%A5%AD%E9%83%A8%E3%80%91%EF%BC%B0%EF%BD%81%EF%BD%99%EF%BC%B0%EF%BD%81%EF%BD%99%E9%8A%80%E8%A1%8C%EF%BC%88API%EF%BC%89+005+%E6%99%AE%E9%80%9A+***5573&amp;start_date=2025-11-01&amp;end_date=2026-03-31&amp;fiscal_year_id=10456857" TargetMode="External"/><Relationship Id="rId9" Type="http://schemas.openxmlformats.org/officeDocument/2006/relationships/hyperlink" Target="https://secure.freee.co.jp/reports/general_ledgers/show?name=%E5%A3%B2%E6%8E%9B%E9%87%91&amp;start_date=2025-11-01&amp;end_date=2026-03-31&amp;fiscal_year_id=10456857" TargetMode="External"/><Relationship Id="rId10" Type="http://schemas.openxmlformats.org/officeDocument/2006/relationships/hyperlink" Target="https://secure.freee.co.jp/reports/general_ledgers/show?name=Air%E3%83%AC%E3%82%B8&amp;start_date=2025-11-01&amp;end_date=2026-03-31&amp;fiscal_year_id=10456857" TargetMode="External"/><Relationship Id="rId11" Type="http://schemas.openxmlformats.org/officeDocument/2006/relationships/hyperlink" Target="https://secure.freee.co.jp/reports/journals?start_date=2024-11-01&amp;end_date=2026-03-31&amp;name=%E5%95%86%E5%93%81" TargetMode="External"/><Relationship Id="rId12" Type="http://schemas.openxmlformats.org/officeDocument/2006/relationships/hyperlink" Target="https://secure.freee.co.jp/reports/journals?start_date=2024-11-01&amp;end_date=2026-03-31&amp;name=%E6%9C%AA%E5%8F%8E%E6%B6%88%E8%B2%BB%E7%A8%8E%E7%AD%89" TargetMode="External"/><Relationship Id="rId13" Type="http://schemas.openxmlformats.org/officeDocument/2006/relationships/hyperlink" Target="https://secure.freee.co.jp/reports/journals?start_date=2024-11-01&amp;end_date=2026-03-31&amp;name=%E5%89%8D%E6%B8%A1%E9%87%91" TargetMode="External"/><Relationship Id="rId14" Type="http://schemas.openxmlformats.org/officeDocument/2006/relationships/hyperlink" Target="https://secure.freee.co.jp/reports/journals?start_date=2024-11-01&amp;end_date=2026-03-31&amp;name=%E5%89%8D%E6%89%95%E8%B2%BB%E7%94%A8" TargetMode="External"/><Relationship Id="rId15" Type="http://schemas.openxmlformats.org/officeDocument/2006/relationships/hyperlink" Target="https://secure.freee.co.jp/reports/journals?start_date=2024-11-01&amp;end_date=2026-03-31&amp;name=%E5%BD%B9%E5%93%A1%E8%B2%B8%E4%BB%98%E9%87%91" TargetMode="External"/><Relationship Id="rId16" Type="http://schemas.openxmlformats.org/officeDocument/2006/relationships/hyperlink" Target="https://secure.freee.co.jp/reports/journals?start_date=2024-11-01&amp;end_date=2026-03-31&amp;name=%E6%9C%AA%E5%8F%8E%E9%82%84%E4%BB%98%E6%B3%95%E4%BA%BA%E7%A8%8E%E7%AD%89" TargetMode="External"/><Relationship Id="rId17" Type="http://schemas.openxmlformats.org/officeDocument/2006/relationships/hyperlink" Target="https://secure.freee.co.jp/reports/general_ledgers/show?name=%E5%BB%BA%E7%89%A9&amp;start_date=2025-11-01&amp;end_date=2026-03-31&amp;fiscal_year_id=10456857" TargetMode="External"/><Relationship Id="rId18" Type="http://schemas.openxmlformats.org/officeDocument/2006/relationships/hyperlink" Target="https://secure.freee.co.jp/reports/general_ledgers/show?name=%E9%99%84%E5%B1%9E%E8%A8%AD%E5%82%99&amp;start_date=2025-11-01&amp;end_date=2026-03-31&amp;fiscal_year_id=10456857" TargetMode="External"/><Relationship Id="rId19" Type="http://schemas.openxmlformats.org/officeDocument/2006/relationships/hyperlink" Target="https://secure.freee.co.jp/reports/general_ledgers/show?name=%E8%BB%8A%E4%B8%A1%E9%81%8B%E6%90%AC%E5%85%B7&amp;start_date=2025-11-01&amp;end_date=2026-03-31&amp;fiscal_year_id=10456857" TargetMode="External"/><Relationship Id="rId20" Type="http://schemas.openxmlformats.org/officeDocument/2006/relationships/hyperlink" Target="https://secure.freee.co.jp/reports/general_ledgers/show?name=%E5%B7%A5%E5%85%B7%E5%99%A8%E5%85%B7%E5%82%99%E5%93%81&amp;start_date=2025-11-01&amp;end_date=2026-03-31&amp;fiscal_year_id=10456857" TargetMode="External"/><Relationship Id="rId21" Type="http://schemas.openxmlformats.org/officeDocument/2006/relationships/hyperlink" Target="https://secure.freee.co.jp/reports/journals?start_date=2020-11-01&amp;end_date=2026-03-31&amp;name=%E5%9C%9F%E5%9C%B0" TargetMode="External"/><Relationship Id="rId22" Type="http://schemas.openxmlformats.org/officeDocument/2006/relationships/hyperlink" Target="https://secure.freee.co.jp/reports/journals?start_date=2020-11-01&amp;end_date=2026-03-31&amp;name=%E5%87%BA%E8%B3%87%E9%87%91" TargetMode="External"/><Relationship Id="rId23" Type="http://schemas.openxmlformats.org/officeDocument/2006/relationships/hyperlink" Target="https://secure.freee.co.jp/reports/journals?start_date=2024-11-01&amp;end_date=2026-03-31&amp;name=%E6%95%B7%E9%87%91" TargetMode="External"/><Relationship Id="rId24" Type="http://schemas.openxmlformats.org/officeDocument/2006/relationships/hyperlink" Target="https://secure.freee.co.jp/reports/general_ledgers/show?name=%E9%95%B7%E6%9C%9F%E5%89%8D%E6%89%95%E8%B2%BB%E7%94%A8&amp;start_date=2025-11-01&amp;end_date=2026-03-31&amp;fiscal_year_id=10456857" TargetMode="External"/><Relationship Id="rId25" Type="http://schemas.openxmlformats.org/officeDocument/2006/relationships/hyperlink" Target="https://secure.freee.co.jp/reports/journals?start_date=2023-11-01&amp;end_date=2026-03-31&amp;name=%E9%A0%90%E8%A8%97%E9%87%91" TargetMode="External"/><Relationship Id="rId26" Type="http://schemas.openxmlformats.org/officeDocument/2006/relationships/hyperlink" Target="https://secure.freee.co.jp/reports/general_ledgers/show?name=%E4%BF%9D%E9%99%BA%E7%A9%8D%E7%AB%8B%E9%87%91&amp;start_date=2025-11-01&amp;end_date=2026-03-31&amp;fiscal_year_id=10456857" TargetMode="External"/><Relationship Id="rId27" Type="http://schemas.openxmlformats.org/officeDocument/2006/relationships/hyperlink" Target="https://secure.freee.co.jp/reports/journals?start_date=2024-11-01&amp;end_date=2026-03-31&amp;name=%E9%96%8B%E6%A5%AD%E8%B2%BB" TargetMode="External"/><Relationship Id="rId28" Type="http://schemas.openxmlformats.org/officeDocument/2006/relationships/hyperlink" Target="https://secure.freee.co.jp/reports/journals?start_date=2024-11-01&amp;end_date=2026-03-31&amp;name=%E8%B2%B7%E6%8E%9B%E9%87%91" TargetMode="External"/><Relationship Id="rId29" Type="http://schemas.openxmlformats.org/officeDocument/2006/relationships/hyperlink" Target="https://secure.freee.co.jp/reports/general_ledgers/show?name=%E7%AB%8B%E6%9B%BF%E7%B5%8C%E8%B2%BB%EF%BC%88%E5%B1%B1%E7%94%B0%EF%BC%89&amp;start_date=2025-11-01&amp;end_date=2026-03-31&amp;fiscal_year_id=10456857" TargetMode="External"/><Relationship Id="rId30" Type="http://schemas.openxmlformats.org/officeDocument/2006/relationships/hyperlink" Target="https://secure.freee.co.jp/reports/general_ledgers/show?name=%E6%9C%AA%E6%89%95%E9%87%91&amp;start_date=2025-11-01&amp;end_date=2026-03-31&amp;fiscal_year_id=10456857" TargetMode="External"/><Relationship Id="rId31" Type="http://schemas.openxmlformats.org/officeDocument/2006/relationships/hyperlink" Target="https://secure.freee.co.jp/reports/general_ledgers/show?name=%E6%9C%AA%E6%89%95%E8%B2%BB%E7%94%A8&amp;start_date=2025-11-01&amp;end_date=2026-03-31&amp;fiscal_year_id=10456857" TargetMode="External"/><Relationship Id="rId32" Type="http://schemas.openxmlformats.org/officeDocument/2006/relationships/hyperlink" Target="https://secure.freee.co.jp/reports/general_ledgers/show?name=%E3%80%90%E9%A3%B2%E9%A3%9F%E4%BA%8B%E6%A5%AD%E9%83%A8%E3%80%91%E4%B8%89%E4%BA%95%E4%BD%8F%E5%8F%8BVISA%E3%82%AB%E3%83%BC%E3%83%89&amp;start_date=2025-11-01&amp;end_date=2026-03-31&amp;fiscal_year_id=10456857" TargetMode="External"/><Relationship Id="rId33" Type="http://schemas.openxmlformats.org/officeDocument/2006/relationships/hyperlink" Target="https://secure.freee.co.jp/reports/general_ledgers/show?name=%E3%80%90%E3%82%B7%E3%82%B9%E3%83%86%E3%83%A0%E9%96%8B%E7%99%BA%E4%BA%8B%E6%A5%AD%E9%83%A8%E3%80%91%E3%82%AA%E3%83%AA%E3%82%B3%E3%80%80%E5%B1%B1%E7%94%B0%E8%AA%A0&amp;start_date=2025-11-01&amp;end_date=2026-03-31&amp;fiscal_year_id=10456857" TargetMode="External"/><Relationship Id="rId34" Type="http://schemas.openxmlformats.org/officeDocument/2006/relationships/hyperlink" Target="https://secure.freee.co.jp/reports/general_ledgers/show?name=%E3%80%90%E3%82%B7%E3%82%B9%E3%83%86%E3%83%A0%E9%96%8B%E7%99%BA%E4%BA%8B%E6%A5%AD%E9%83%A8%E3%80%91%E3%82%AA%E3%83%AA%E3%82%B3%E3%80%80%E5%B1%B1%E7%94%B0%E6%98%8E%E5%AD%90&amp;start_date=2025-11-01&amp;end_date=2026-03-31&amp;fiscal_year_id=10456857" TargetMode="External"/><Relationship Id="rId35" Type="http://schemas.openxmlformats.org/officeDocument/2006/relationships/hyperlink" Target="https://secure.freee.co.jp/reports/journals?start_date=2024-11-01&amp;end_date=2026-03-31&amp;name=%E3%80%90%E3%82%A8%E3%82%B9%E3%83%86%E4%BA%8B%E6%A5%AD%E9%83%A8%E3%80%91%E3%83%A9%E3%82%A4%E3%83%95%E3%82%AB%E3%83%BC%E3%83%89" TargetMode="External"/><Relationship Id="rId36" Type="http://schemas.openxmlformats.org/officeDocument/2006/relationships/hyperlink" Target="https://secure.freee.co.jp/reports/general_ledgers/show?name=%E3%80%90%E9%A3%B2%E9%A3%9F%E4%BA%8B%E6%A5%AD%E9%83%A8%E3%80%91%EF%BC%B0%EF%BD%81%EF%BD%99%EF%BC%B0%EF%BD%81%EF%BD%99%E9%8A%80%E8%A1%8CVISA%E3%83%87%E3%83%93%E3%83%83%E3%83%88&amp;start_date=2025-11-01&amp;end_date=2026-03-31&amp;fiscal_year_id=10456857" TargetMode="External"/><Relationship Id="rId37" Type="http://schemas.openxmlformats.org/officeDocument/2006/relationships/hyperlink" Target="https://secure.freee.co.jp/reports/journals?start_date=2024-11-01&amp;end_date=2026-03-31&amp;name=%E6%9C%AA%E6%89%95%E6%B3%95%E4%BA%BA%E7%A8%8E%E7%AD%89" TargetMode="External"/><Relationship Id="rId38" Type="http://schemas.openxmlformats.org/officeDocument/2006/relationships/hyperlink" Target="https://secure.freee.co.jp/reports/general_ledgers/show?name=Amazon_%E6%9C%AC%E7%A4%BE&amp;start_date=2025-11-01&amp;end_date=2026-03-31&amp;fiscal_year_id=10456857" TargetMode="External"/><Relationship Id="rId39" Type="http://schemas.openxmlformats.org/officeDocument/2006/relationships/hyperlink" Target="https://secure.freee.co.jp/reports/journals?start_date=2024-11-01&amp;end_date=2026-03-31&amp;name=%E9%A0%90%E3%82%8A%E9%87%91" TargetMode="External"/><Relationship Id="rId40" Type="http://schemas.openxmlformats.org/officeDocument/2006/relationships/hyperlink" Target="https://secure.freee.co.jp/reports/journals?start_date=2022-11-01&amp;end_date=2026-03-31&amp;name=%E5%89%8D%E5%8F%97%E5%8F%8E%E7%9B%8A" TargetMode="External"/><Relationship Id="rId41" Type="http://schemas.openxmlformats.org/officeDocument/2006/relationships/hyperlink" Target="https://secure.freee.co.jp/reports/general_ledgers/show?name=%E4%BB%AE%E5%8F%97%E9%87%91&amp;start_date=2025-11-01&amp;end_date=2026-03-31&amp;fiscal_year_id=10456857" TargetMode="External"/><Relationship Id="rId42" Type="http://schemas.openxmlformats.org/officeDocument/2006/relationships/hyperlink" Target="https://secure.freee.co.jp/reports/general_ledgers/show?name=%E9%95%B7%E6%9C%9F%E5%80%9F%E5%85%A5%E9%87%91&amp;start_date=2025-11-01&amp;end_date=2026-03-31&amp;fiscal_year_id=10456857" TargetMode="External"/><Relationship Id="rId43" Type="http://schemas.openxmlformats.org/officeDocument/2006/relationships/hyperlink" Target="https://secure.freee.co.jp/reports/journals?start_date=2020-11-01&amp;end_date=2026-03-31&amp;name=%E8%B3%87%E6%9C%AC%E9%87%91" TargetMode="External"/><Relationship Id="rId44" Type="http://schemas.openxmlformats.org/officeDocument/2006/relationships/hyperlink" Target="https://secure.freee.co.jp/reports/journals?start_date=2024-11-01&amp;end_date=2026-03-31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1-01&amp;end_date=2026-03-31&amp;fiscal_year_id=10456857" TargetMode="External"/><Relationship Id="rId2" Type="http://schemas.openxmlformats.org/officeDocument/2006/relationships/hyperlink" Target="https://secure.freee.co.jp/reports/general_ledgers/show?name=%E7%B5%A6%E6%96%99%E6%89%8B%E5%BD%93&amp;start_date=2025-11-01&amp;end_date=2026-03-31&amp;fiscal_year_id=10456857" TargetMode="External"/><Relationship Id="rId3" Type="http://schemas.openxmlformats.org/officeDocument/2006/relationships/hyperlink" Target="https://secure.freee.co.jp/reports/general_ledgers/show?name=%E6%B3%95%E5%AE%9A%E7%A6%8F%E5%88%A9%E8%B2%BB&amp;start_date=2025-11-01&amp;end_date=2026-03-31&amp;fiscal_year_id=10456857" TargetMode="External"/><Relationship Id="rId4" Type="http://schemas.openxmlformats.org/officeDocument/2006/relationships/hyperlink" Target="https://secure.freee.co.jp/reports/general_ledgers/show?name=%E7%A6%8F%E5%88%A9%E5%8E%9A%E7%94%9F%E8%B2%BB&amp;start_date=2025-11-01&amp;end_date=2026-03-31&amp;fiscal_year_id=10456857" TargetMode="External"/><Relationship Id="rId5" Type="http://schemas.openxmlformats.org/officeDocument/2006/relationships/hyperlink" Target="https://secure.freee.co.jp/reports/general_ledgers/show?name=%E6%8E%A1%E7%94%A8%E6%95%99%E8%82%B2%E8%B2%BB&amp;start_date=2025-11-01&amp;end_date=2026-03-31&amp;fiscal_year_id=10456857" TargetMode="External"/><Relationship Id="rId6" Type="http://schemas.openxmlformats.org/officeDocument/2006/relationships/hyperlink" Target="https://secure.freee.co.jp/reports/general_ledgers/show?name=%E5%A4%96%E6%B3%A8%E8%B2%BB&amp;start_date=2025-11-01&amp;end_date=2026-03-31&amp;fiscal_year_id=10456857" TargetMode="External"/><Relationship Id="rId7" Type="http://schemas.openxmlformats.org/officeDocument/2006/relationships/hyperlink" Target="https://secure.freee.co.jp/reports/general_ledgers/show?name=%E5%BA%83%E5%91%8A%E5%AE%A3%E4%BC%9D%E8%B2%BB&amp;start_date=2025-11-01&amp;end_date=2026-03-31&amp;fiscal_year_id=10456857" TargetMode="External"/><Relationship Id="rId8" Type="http://schemas.openxmlformats.org/officeDocument/2006/relationships/hyperlink" Target="https://secure.freee.co.jp/reports/general_ledgers/show?name=%E4%BA%A4%E9%9A%9B%E8%B2%BB&amp;start_date=2025-11-01&amp;end_date=2026-03-31&amp;fiscal_year_id=10456857" TargetMode="External"/><Relationship Id="rId9" Type="http://schemas.openxmlformats.org/officeDocument/2006/relationships/hyperlink" Target="https://secure.freee.co.jp/reports/general_ledgers/show?name=%E4%BC%9A%E8%AD%B0%E8%B2%BB&amp;start_date=2025-11-01&amp;end_date=2026-03-31&amp;fiscal_year_id=10456857" TargetMode="External"/><Relationship Id="rId10" Type="http://schemas.openxmlformats.org/officeDocument/2006/relationships/hyperlink" Target="https://secure.freee.co.jp/reports/general_ledgers/show?name=%E6%97%85%E8%B2%BB%E4%BA%A4%E9%80%9A%E8%B2%BB&amp;start_date=2025-11-01&amp;end_date=2026-03-31&amp;fiscal_year_id=10456857" TargetMode="External"/><Relationship Id="rId11" Type="http://schemas.openxmlformats.org/officeDocument/2006/relationships/hyperlink" Target="https://secure.freee.co.jp/reports/general_ledgers/show?name=%E9%80%9A%E4%BF%A1%E8%B2%BB&amp;start_date=2025-11-01&amp;end_date=2026-03-31&amp;fiscal_year_id=10456857" TargetMode="External"/><Relationship Id="rId12" Type="http://schemas.openxmlformats.org/officeDocument/2006/relationships/hyperlink" Target="https://secure.freee.co.jp/reports/general_ledgers/show?name=%E8%B2%A9%E5%A3%B2%E6%89%8B%E6%95%B0%E6%96%99&amp;start_date=2025-11-01&amp;end_date=2026-03-31&amp;fiscal_year_id=10456857" TargetMode="External"/><Relationship Id="rId13" Type="http://schemas.openxmlformats.org/officeDocument/2006/relationships/hyperlink" Target="https://secure.freee.co.jp/reports/general_ledgers/show?name=%E6%B6%88%E8%80%97%E5%93%81%E8%B2%BB&amp;start_date=2025-11-01&amp;end_date=2026-03-31&amp;fiscal_year_id=10456857" TargetMode="External"/><Relationship Id="rId14" Type="http://schemas.openxmlformats.org/officeDocument/2006/relationships/hyperlink" Target="https://secure.freee.co.jp/reports/general_ledgers/show?name=%E4%BF%AE%E7%B9%95%E8%B2%BB&amp;start_date=2025-11-01&amp;end_date=2026-03-31&amp;fiscal_year_id=10456857" TargetMode="External"/><Relationship Id="rId15" Type="http://schemas.openxmlformats.org/officeDocument/2006/relationships/hyperlink" Target="https://secure.freee.co.jp/reports/general_ledgers/show?name=%E6%B0%B4%E9%81%93%E5%85%89%E7%86%B1%E8%B2%BB&amp;start_date=2025-11-01&amp;end_date=2026-03-31&amp;fiscal_year_id=10456857" TargetMode="External"/><Relationship Id="rId16" Type="http://schemas.openxmlformats.org/officeDocument/2006/relationships/hyperlink" Target="https://secure.freee.co.jp/reports/general_ledgers/show?name=%E6%94%AF%E6%89%95%E6%89%8B%E6%95%B0%E6%96%99&amp;start_date=2025-11-01&amp;end_date=2026-03-31&amp;fiscal_year_id=10456857" TargetMode="External"/><Relationship Id="rId17" Type="http://schemas.openxmlformats.org/officeDocument/2006/relationships/hyperlink" Target="https://secure.freee.co.jp/reports/general_ledgers/show?name=%E8%BB%8A%E4%B8%A1%E8%B2%BB&amp;start_date=2025-11-01&amp;end_date=2026-03-31&amp;fiscal_year_id=10456857" TargetMode="External"/><Relationship Id="rId18" Type="http://schemas.openxmlformats.org/officeDocument/2006/relationships/hyperlink" Target="https://secure.freee.co.jp/reports/general_ledgers/show?name=%E7%AE%A1%E7%90%86%E8%AB%B8%E8%B2%BB&amp;start_date=2025-11-01&amp;end_date=2026-03-31&amp;fiscal_year_id=10456857" TargetMode="External"/><Relationship Id="rId19" Type="http://schemas.openxmlformats.org/officeDocument/2006/relationships/hyperlink" Target="https://secure.freee.co.jp/reports/general_ledgers/show?name=%E8%A1%9B%EF%BF%BD%EF%BF%BD%E8%B2%BB&amp;start_date=2025-11-01&amp;end_date=2026-03-31&amp;fiscal_year_id=10456857" TargetMode="External"/><Relationship Id="rId20" Type="http://schemas.openxmlformats.org/officeDocument/2006/relationships/hyperlink" Target="https://secure.freee.co.jp/reports/general_ledgers/show?name=%E5%9C%B0%E4%BB%A3%E5%AE%B6%E8%B3%83&amp;start_date=2025-11-01&amp;end_date=2026-03-31&amp;fiscal_year_id=10456857" TargetMode="External"/><Relationship Id="rId21" Type="http://schemas.openxmlformats.org/officeDocument/2006/relationships/hyperlink" Target="https://secure.freee.co.jp/reports/general_ledgers/show?name=%E4%BF%9D%E9%99%BA%E6%96%99&amp;start_date=2025-11-01&amp;end_date=2026-03-31&amp;fiscal_year_id=10456857" TargetMode="External"/><Relationship Id="rId22" Type="http://schemas.openxmlformats.org/officeDocument/2006/relationships/hyperlink" Target="https://secure.freee.co.jp/reports/general_ledgers/show?name=%E7%A7%9F%E7%A8%8E%E5%85%AC%E8%AA%B2&amp;start_date=2025-11-01&amp;end_date=2026-03-31&amp;fiscal_year_id=10456857" TargetMode="External"/><Relationship Id="rId23" Type="http://schemas.openxmlformats.org/officeDocument/2006/relationships/hyperlink" Target="https://secure.freee.co.jp/reports/general_ledgers/show?name=%E7%A0%94%E4%BF%AE%E8%B2%BB&amp;start_date=2025-11-01&amp;end_date=2026-03-31&amp;fiscal_year_id=10456857" TargetMode="External"/><Relationship Id="rId24" Type="http://schemas.openxmlformats.org/officeDocument/2006/relationships/hyperlink" Target="https://secure.freee.co.jp/reports/general_ledgers/show?name=%E6%B8%9B%E4%BE%A1%E5%84%9F%E5%8D%B4%E8%B2%BB&amp;start_date=2025-11-01&amp;end_date=2026-03-31&amp;fiscal_year_id=10456857" TargetMode="External"/><Relationship Id="rId25" Type="http://schemas.openxmlformats.org/officeDocument/2006/relationships/hyperlink" Target="https://secure.freee.co.jp/reports/general_ledgers/show?name=%E9%9B%91%E8%B2%BB&amp;start_date=2025-11-01&amp;end_date=2026-03-31&amp;fiscal_year_id=10456857" TargetMode="External"/><Relationship Id="rId26" Type="http://schemas.openxmlformats.org/officeDocument/2006/relationships/hyperlink" Target="https://secure.freee.co.jp/reports/general_ledgers/show?name=%E5%8F%97%E5%8F%96%E5%88%A9%E6%81%AF&amp;start_date=2025-11-01&amp;end_date=2026-03-31&amp;fiscal_year_id=10456857" TargetMode="External"/><Relationship Id="rId27" Type="http://schemas.openxmlformats.org/officeDocument/2006/relationships/hyperlink" Target="https://secure.freee.co.jp/reports/general_ledgers/show?name=%E9%9B%91%E5%8F%8E%E5%85%A5&amp;start_date=2025-11-01&amp;end_date=2026-03-31&amp;fiscal_year_id=10456857" TargetMode="External"/><Relationship Id="rId28" Type="http://schemas.openxmlformats.org/officeDocument/2006/relationships/hyperlink" Target="https://secure.freee.co.jp/reports/general_ledgers/show?name=%E6%94%AF%E6%89%95%E5%88%A9%E6%81%AF&amp;start_date=2025-11-01&amp;end_date=2026-03-31&amp;fiscal_year_id=10456857" TargetMode="External"/><Relationship Id="rId29" Type="http://schemas.openxmlformats.org/officeDocument/2006/relationships/hyperlink" Target="https://secure.freee.co.jp/reports/general_ledgers/show?name=%E5%9B%BA%E5%AE%9A%E8%B3%87%E7%94%A3%E5%A3%B2%E5%8D%B4%E7%9B%8A&amp;start_date=2025-11-01&amp;end_date=2026-03-31&amp;fiscal_year_id=10456857" TargetMode="External"/><Relationship Id="rId30" Type="http://schemas.openxmlformats.org/officeDocument/2006/relationships/hyperlink" Target="https://secure.freee.co.jp/reports/general_ledgers/show?name=%E5%9B%BA%E5%AE%9A%E8%B3%87%E7%94%A3%E5%A3%B2%E5%8D%B4%E6%90%8D&amp;start_date=2025-11-01&amp;end_date=2026-03-31&amp;fiscal_year_id=10456857" TargetMode="External"/><Relationship Id="rId31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1-01&amp;end_date=2026-03-31&amp;fiscal_year_id=10456857" TargetMode="External"/><Relationship Id="rId32" Type="http://schemas.openxmlformats.org/officeDocument/2006/relationships/hyperlink" Target="https://secure.freee.co.jp/reports/general_ledgers/show?name=%E5%A3%B2%E4%B8%8A%E6%88%BB%E3%82%8A%E9%AB%98&amp;start_date=2025-11-01&amp;end_date=2026-03-31&amp;fiscal_year_id=10456857" TargetMode="External"/><Relationship Id="rId33" Type="http://schemas.openxmlformats.org/officeDocument/2006/relationships/hyperlink" Target="https://secure.freee.co.jp/reports/general_ledgers/show?name=%E6%9C%9F%E9%A6%96%E5%95%86%E5%93%81%E6%A3%9A%E5%8D%B8%E9%AB%98&amp;start_date=2025-11-01&amp;end_date=2026-03-31&amp;fiscal_year_id=10456857" TargetMode="External"/><Relationship Id="rId34" Type="http://schemas.openxmlformats.org/officeDocument/2006/relationships/hyperlink" Target="https://secure.freee.co.jp/reports/general_ledgers/show?name=%E4%BB%95%E5%85%A5%E9%AB%98&amp;start_date=2025-11-01&amp;end_date=2026-03-31&amp;fiscal_year_id=10456857" TargetMode="External"/><Relationship Id="rId35" Type="http://schemas.openxmlformats.org/officeDocument/2006/relationships/hyperlink" Target="https://secure.freee.co.jp/reports/general_ledgers/show?name=%E6%9C%9F%E6%9C%AB%E5%95%86%E5%93%81%E6%A3%9A%E5%8D%B8%E9%AB%98&amp;start_date=2025-11-01&amp;end_date=2026-03-31&amp;fiscal_year_id=104568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3</v>
      </c>
      <c r="C9" s="8">
        <v>48</v>
      </c>
      <c r="D9" s="9">
        <v>11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4</v>
      </c>
      <c r="D14" s="11" t="s">
        <v>18</v>
      </c>
      <c r="E14" s="11">
        <v>4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1</v>
      </c>
      <c r="C17" s="11">
        <v>16</v>
      </c>
      <c r="D17" s="11" t="s">
        <v>18</v>
      </c>
      <c r="E17" s="11">
        <v>17</v>
      </c>
    </row>
    <row r="18" spans="1:5" x14ac:dyDescent="0.25">
      <c r="A18" s="10" t="s">
        <v>22</v>
      </c>
      <c r="B18" s="11">
        <v>1</v>
      </c>
      <c r="C18" s="11">
        <v>16</v>
      </c>
      <c r="D18" s="11">
        <v>9</v>
      </c>
      <c r="E18" s="11">
        <v>26</v>
      </c>
    </row>
    <row r="19" spans="1:5" x14ac:dyDescent="0.25">
      <c r="A19" s="10" t="s">
        <v>23</v>
      </c>
      <c r="B19" s="11">
        <v>1</v>
      </c>
      <c r="C19" s="11">
        <v>12</v>
      </c>
      <c r="D19" s="11">
        <v>2</v>
      </c>
      <c r="E19" s="11">
        <v>15</v>
      </c>
    </row>
    <row r="20" spans="1:5" x14ac:dyDescent="0.25">
      <c r="A20" s="12" t="s">
        <v>16</v>
      </c>
      <c r="B20" s="13">
        <v>3</v>
      </c>
      <c r="C20" s="13">
        <v>48</v>
      </c>
      <c r="D20" s="13">
        <v>11</v>
      </c>
      <c r="E20" s="13">
        <v>62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12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2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35</v>
      </c>
      <c r="D40" s="11">
        <v>0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1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4" t="s">
        <v>82</v>
      </c>
      <c r="B51" s="14" t="s">
        <v>83</v>
      </c>
      <c r="C51" s="15" t="s">
        <v>30</v>
      </c>
      <c r="D51" s="15">
        <v>1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2</v>
      </c>
    </row>
    <row r="55" spans="1:4" x14ac:dyDescent="0.25">
      <c r="A55" s="14" t="s">
        <v>90</v>
      </c>
      <c r="B55" s="14" t="s">
        <v>91</v>
      </c>
      <c r="C55" s="15" t="s">
        <v>30</v>
      </c>
      <c r="D55" s="15">
        <v>1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4" t="s">
        <v>100</v>
      </c>
      <c r="B60" s="14" t="s">
        <v>101</v>
      </c>
      <c r="C60" s="15" t="s">
        <v>30</v>
      </c>
      <c r="D60" s="15">
        <v>1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3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1</v>
      </c>
    </row>
    <row r="63" spans="1:4" x14ac:dyDescent="0.25">
      <c r="A63" s="14" t="s">
        <v>106</v>
      </c>
      <c r="B63" s="14" t="s">
        <v>107</v>
      </c>
      <c r="C63" s="15" t="s">
        <v>30</v>
      </c>
      <c r="D63" s="15">
        <v>1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9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4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4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35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84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4" t="s">
        <v>14</v>
      </c>
      <c r="B5" s="14" t="s">
        <v>31</v>
      </c>
      <c r="C5" s="14" t="s">
        <v>176</v>
      </c>
      <c r="D5" s="19" t="s">
        <v>189</v>
      </c>
      <c r="E5" s="14" t="s">
        <v>190</v>
      </c>
      <c r="F5" s="19" t="s">
        <v>191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176</v>
      </c>
      <c r="D6" s="19" t="s">
        <v>192</v>
      </c>
      <c r="E6" s="14" t="s">
        <v>193</v>
      </c>
      <c r="F6" s="19" t="s">
        <v>191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176</v>
      </c>
      <c r="D7" s="19" t="s">
        <v>194</v>
      </c>
      <c r="E7" s="14" t="s">
        <v>195</v>
      </c>
      <c r="F7" s="19" t="s">
        <v>191</v>
      </c>
      <c r="G7" s="14" t="s">
        <v>6</v>
      </c>
    </row>
    <row r="8" spans="1:7" x14ac:dyDescent="0.25">
      <c r="A8" s="14" t="s">
        <v>14</v>
      </c>
      <c r="B8" s="14" t="s">
        <v>31</v>
      </c>
      <c r="C8" s="14" t="s">
        <v>176</v>
      </c>
      <c r="D8" s="19" t="s">
        <v>196</v>
      </c>
      <c r="E8" s="14" t="s">
        <v>197</v>
      </c>
      <c r="F8" s="19" t="s">
        <v>191</v>
      </c>
      <c r="G8" s="14" t="s">
        <v>6</v>
      </c>
    </row>
    <row r="9" spans="1:7" x14ac:dyDescent="0.25">
      <c r="A9" s="14" t="s">
        <v>14</v>
      </c>
      <c r="B9" s="14" t="s">
        <v>31</v>
      </c>
      <c r="C9" s="14" t="s">
        <v>176</v>
      </c>
      <c r="D9" s="19" t="s">
        <v>198</v>
      </c>
      <c r="E9" s="14" t="s">
        <v>199</v>
      </c>
      <c r="F9" s="19" t="s">
        <v>191</v>
      </c>
      <c r="G9" s="14" t="s">
        <v>6</v>
      </c>
    </row>
    <row r="10" spans="1:7" x14ac:dyDescent="0.25">
      <c r="A10" s="14" t="s">
        <v>14</v>
      </c>
      <c r="B10" s="14" t="s">
        <v>31</v>
      </c>
      <c r="C10" s="14" t="s">
        <v>176</v>
      </c>
      <c r="D10" s="19" t="s">
        <v>200</v>
      </c>
      <c r="E10" s="14" t="s">
        <v>201</v>
      </c>
      <c r="F10" s="19" t="s">
        <v>191</v>
      </c>
      <c r="G10" s="14" t="s">
        <v>6</v>
      </c>
    </row>
    <row r="11" spans="1:7" x14ac:dyDescent="0.25">
      <c r="A11" s="14" t="s">
        <v>14</v>
      </c>
      <c r="B11" s="14" t="s">
        <v>31</v>
      </c>
      <c r="C11" s="14" t="s">
        <v>176</v>
      </c>
      <c r="D11" s="19" t="s">
        <v>202</v>
      </c>
      <c r="E11" s="14" t="s">
        <v>203</v>
      </c>
      <c r="F11" s="19" t="s">
        <v>191</v>
      </c>
      <c r="G11" s="14" t="s">
        <v>6</v>
      </c>
    </row>
    <row r="12" spans="1:7" x14ac:dyDescent="0.25">
      <c r="A12" s="14" t="s">
        <v>14</v>
      </c>
      <c r="B12" s="14" t="s">
        <v>31</v>
      </c>
      <c r="C12" s="14" t="s">
        <v>176</v>
      </c>
      <c r="D12" s="19" t="s">
        <v>204</v>
      </c>
      <c r="E12" s="14" t="s">
        <v>205</v>
      </c>
      <c r="F12" s="19" t="s">
        <v>191</v>
      </c>
      <c r="G12" s="14" t="s">
        <v>6</v>
      </c>
    </row>
    <row r="13" spans="1:7" x14ac:dyDescent="0.25">
      <c r="A13" s="14" t="s">
        <v>14</v>
      </c>
      <c r="B13" s="14" t="s">
        <v>31</v>
      </c>
      <c r="C13" s="14" t="s">
        <v>176</v>
      </c>
      <c r="D13" s="19" t="s">
        <v>206</v>
      </c>
      <c r="E13" s="14" t="s">
        <v>207</v>
      </c>
      <c r="F13" s="19" t="s">
        <v>191</v>
      </c>
      <c r="G13" s="14" t="s">
        <v>6</v>
      </c>
    </row>
    <row r="14" spans="1:7" x14ac:dyDescent="0.25">
      <c r="A14" s="14" t="s">
        <v>14</v>
      </c>
      <c r="B14" s="14" t="s">
        <v>31</v>
      </c>
      <c r="C14" s="14" t="s">
        <v>176</v>
      </c>
      <c r="D14" s="19" t="s">
        <v>208</v>
      </c>
      <c r="E14" s="14" t="s">
        <v>209</v>
      </c>
      <c r="F14" s="19" t="s">
        <v>191</v>
      </c>
      <c r="G14" s="14" t="s">
        <v>6</v>
      </c>
    </row>
    <row r="15" spans="1:7" x14ac:dyDescent="0.25">
      <c r="A15" s="14" t="s">
        <v>14</v>
      </c>
      <c r="B15" s="14" t="s">
        <v>31</v>
      </c>
      <c r="C15" s="14" t="s">
        <v>176</v>
      </c>
      <c r="D15" s="19" t="s">
        <v>210</v>
      </c>
      <c r="E15" s="14" t="s">
        <v>211</v>
      </c>
      <c r="F15" s="19" t="s">
        <v>191</v>
      </c>
      <c r="G15" s="14" t="s">
        <v>6</v>
      </c>
    </row>
    <row r="16" spans="1:7" x14ac:dyDescent="0.25">
      <c r="A16" s="14" t="s">
        <v>14</v>
      </c>
      <c r="B16" s="14" t="s">
        <v>31</v>
      </c>
      <c r="C16" s="14" t="s">
        <v>176</v>
      </c>
      <c r="D16" s="19" t="s">
        <v>212</v>
      </c>
      <c r="E16" s="14" t="s">
        <v>213</v>
      </c>
      <c r="F16" s="19" t="s">
        <v>191</v>
      </c>
      <c r="G16" s="14" t="s">
        <v>6</v>
      </c>
    </row>
    <row r="17" spans="1:7" x14ac:dyDescent="0.25">
      <c r="A17" s="14" t="s">
        <v>14</v>
      </c>
      <c r="B17" s="14" t="s">
        <v>42</v>
      </c>
      <c r="C17" s="14" t="s">
        <v>214</v>
      </c>
      <c r="D17" s="19" t="s">
        <v>215</v>
      </c>
      <c r="E17" s="14" t="s">
        <v>216</v>
      </c>
      <c r="F17" s="19" t="s">
        <v>217</v>
      </c>
      <c r="G17" s="20" t="s">
        <v>180</v>
      </c>
    </row>
    <row r="18" spans="1:7" x14ac:dyDescent="0.25">
      <c r="A18" s="14" t="s">
        <v>14</v>
      </c>
      <c r="B18" s="14" t="s">
        <v>42</v>
      </c>
      <c r="C18" s="14" t="s">
        <v>214</v>
      </c>
      <c r="D18" s="19" t="s">
        <v>218</v>
      </c>
      <c r="E18" s="14" t="s">
        <v>219</v>
      </c>
      <c r="F18" s="19" t="s">
        <v>217</v>
      </c>
      <c r="G18" s="20" t="s">
        <v>180</v>
      </c>
    </row>
    <row r="19" spans="1:7" x14ac:dyDescent="0.25">
      <c r="A19" s="14" t="s">
        <v>14</v>
      </c>
      <c r="B19" s="14" t="s">
        <v>62</v>
      </c>
      <c r="C19" s="14" t="s">
        <v>220</v>
      </c>
      <c r="D19" s="19" t="s">
        <v>221</v>
      </c>
      <c r="E19" s="14" t="s">
        <v>222</v>
      </c>
      <c r="F19" s="19" t="s">
        <v>223</v>
      </c>
      <c r="G19" s="20" t="s">
        <v>180</v>
      </c>
    </row>
    <row r="20" spans="1:7" x14ac:dyDescent="0.25">
      <c r="A20" s="14" t="s">
        <v>14</v>
      </c>
      <c r="B20" s="14" t="s">
        <v>78</v>
      </c>
      <c r="C20" s="14" t="s">
        <v>224</v>
      </c>
      <c r="D20" s="19" t="s">
        <v>225</v>
      </c>
      <c r="E20" s="14" t="s">
        <v>226</v>
      </c>
      <c r="F20" s="19" t="s">
        <v>227</v>
      </c>
      <c r="G20" s="20" t="s">
        <v>180</v>
      </c>
    </row>
    <row r="21" spans="1:7" x14ac:dyDescent="0.25">
      <c r="A21" s="14" t="s">
        <v>14</v>
      </c>
      <c r="B21" s="14" t="s">
        <v>88</v>
      </c>
      <c r="C21" s="14" t="s">
        <v>181</v>
      </c>
      <c r="D21" s="19" t="s">
        <v>228</v>
      </c>
      <c r="E21" s="14" t="s">
        <v>229</v>
      </c>
      <c r="F21" s="19" t="s">
        <v>230</v>
      </c>
      <c r="G21" s="20" t="s">
        <v>180</v>
      </c>
    </row>
    <row r="22" spans="1:7" x14ac:dyDescent="0.25">
      <c r="A22" s="14" t="s">
        <v>14</v>
      </c>
      <c r="B22" s="14" t="s">
        <v>88</v>
      </c>
      <c r="C22" s="14" t="s">
        <v>181</v>
      </c>
      <c r="D22" s="19" t="s">
        <v>231</v>
      </c>
      <c r="E22" s="14" t="s">
        <v>232</v>
      </c>
      <c r="F22" s="19" t="s">
        <v>230</v>
      </c>
      <c r="G22" s="20" t="s">
        <v>180</v>
      </c>
    </row>
    <row r="23" spans="1:7" x14ac:dyDescent="0.25">
      <c r="A23" s="14" t="s">
        <v>14</v>
      </c>
      <c r="B23" s="14" t="s">
        <v>92</v>
      </c>
      <c r="C23" s="14" t="s">
        <v>233</v>
      </c>
      <c r="D23" s="19" t="s">
        <v>234</v>
      </c>
      <c r="E23" s="14" t="s">
        <v>235</v>
      </c>
      <c r="F23" s="19" t="s">
        <v>236</v>
      </c>
      <c r="G23" s="20" t="s">
        <v>180</v>
      </c>
    </row>
    <row r="24" spans="1:7" x14ac:dyDescent="0.25">
      <c r="A24" s="14" t="s">
        <v>14</v>
      </c>
      <c r="B24" s="14" t="s">
        <v>96</v>
      </c>
      <c r="C24" s="14" t="s">
        <v>237</v>
      </c>
      <c r="D24" s="19" t="s">
        <v>238</v>
      </c>
      <c r="E24" s="14" t="s">
        <v>239</v>
      </c>
      <c r="F24" s="19" t="s">
        <v>240</v>
      </c>
      <c r="G24" s="14" t="s">
        <v>6</v>
      </c>
    </row>
    <row r="25" spans="1:7" x14ac:dyDescent="0.25">
      <c r="A25" s="14" t="s">
        <v>14</v>
      </c>
      <c r="B25" s="14" t="s">
        <v>96</v>
      </c>
      <c r="C25" s="14" t="s">
        <v>237</v>
      </c>
      <c r="D25" s="19" t="s">
        <v>241</v>
      </c>
      <c r="E25" s="14" t="s">
        <v>239</v>
      </c>
      <c r="F25" s="19" t="s">
        <v>242</v>
      </c>
      <c r="G25" s="14" t="s">
        <v>6</v>
      </c>
    </row>
    <row r="26" spans="1:7" x14ac:dyDescent="0.25">
      <c r="A26" s="14" t="s">
        <v>14</v>
      </c>
      <c r="B26" s="14" t="s">
        <v>102</v>
      </c>
      <c r="C26" s="14" t="s">
        <v>243</v>
      </c>
      <c r="D26" s="19" t="s">
        <v>244</v>
      </c>
      <c r="E26" s="14" t="s">
        <v>245</v>
      </c>
      <c r="F26" s="19" t="s">
        <v>246</v>
      </c>
      <c r="G26" s="20" t="s">
        <v>180</v>
      </c>
    </row>
    <row r="27" spans="1:7" x14ac:dyDescent="0.25">
      <c r="A27" s="14" t="s">
        <v>14</v>
      </c>
      <c r="B27" s="14" t="s">
        <v>102</v>
      </c>
      <c r="C27" s="14" t="s">
        <v>243</v>
      </c>
      <c r="D27" s="19" t="s">
        <v>247</v>
      </c>
      <c r="E27" s="14" t="s">
        <v>245</v>
      </c>
      <c r="F27" s="19" t="s">
        <v>246</v>
      </c>
      <c r="G27" s="20" t="s">
        <v>180</v>
      </c>
    </row>
    <row r="28" spans="1:7" x14ac:dyDescent="0.25">
      <c r="A28" s="14" t="s">
        <v>14</v>
      </c>
      <c r="B28" s="14" t="s">
        <v>102</v>
      </c>
      <c r="C28" s="14" t="s">
        <v>243</v>
      </c>
      <c r="D28" s="19" t="s">
        <v>248</v>
      </c>
      <c r="E28" s="14" t="s">
        <v>183</v>
      </c>
      <c r="F28" s="19" t="s">
        <v>246</v>
      </c>
      <c r="G28" s="20" t="s">
        <v>180</v>
      </c>
    </row>
    <row r="29" spans="1:7" x14ac:dyDescent="0.25">
      <c r="A29" s="14" t="s">
        <v>14</v>
      </c>
      <c r="B29" s="14" t="s">
        <v>104</v>
      </c>
      <c r="C29" s="14" t="s">
        <v>243</v>
      </c>
      <c r="D29" s="19" t="s">
        <v>249</v>
      </c>
      <c r="E29" s="14" t="s">
        <v>250</v>
      </c>
      <c r="F29" s="19" t="s">
        <v>251</v>
      </c>
      <c r="G29" s="20" t="s">
        <v>180</v>
      </c>
    </row>
    <row r="30" spans="1:7" x14ac:dyDescent="0.25">
      <c r="A30" s="14" t="s">
        <v>14</v>
      </c>
      <c r="B30" s="14" t="s">
        <v>106</v>
      </c>
      <c r="C30" s="14" t="s">
        <v>243</v>
      </c>
      <c r="D30" s="19" t="s">
        <v>252</v>
      </c>
      <c r="E30" s="14" t="s">
        <v>253</v>
      </c>
      <c r="F30" s="19" t="s">
        <v>254</v>
      </c>
      <c r="G30" s="20" t="s">
        <v>180</v>
      </c>
    </row>
    <row r="31" spans="1:7" x14ac:dyDescent="0.25">
      <c r="A31" s="14" t="s">
        <v>14</v>
      </c>
      <c r="B31" s="14" t="s">
        <v>112</v>
      </c>
      <c r="C31" s="14" t="s">
        <v>185</v>
      </c>
      <c r="D31" s="19" t="s">
        <v>255</v>
      </c>
      <c r="E31" s="14" t="s">
        <v>256</v>
      </c>
      <c r="F31" s="19" t="s">
        <v>257</v>
      </c>
      <c r="G31" s="20" t="s">
        <v>180</v>
      </c>
    </row>
    <row r="32" spans="1:7" x14ac:dyDescent="0.25">
      <c r="A32" s="21" t="s">
        <v>6</v>
      </c>
      <c r="B32" s="21" t="s">
        <v>6</v>
      </c>
      <c r="C32" s="21" t="s">
        <v>6</v>
      </c>
      <c r="D32" s="22" t="s">
        <v>258</v>
      </c>
      <c r="E32" s="21" t="s">
        <v>259</v>
      </c>
      <c r="F32" s="22" t="s">
        <v>6</v>
      </c>
      <c r="G32" s="23" t="s">
        <v>260</v>
      </c>
    </row>
    <row r="33" spans="1:7" x14ac:dyDescent="0.25">
      <c r="A33" s="21" t="s">
        <v>6</v>
      </c>
      <c r="B33" s="21" t="s">
        <v>6</v>
      </c>
      <c r="C33" s="21" t="s">
        <v>6</v>
      </c>
      <c r="D33" s="22" t="s">
        <v>261</v>
      </c>
      <c r="E33" s="21" t="s">
        <v>262</v>
      </c>
      <c r="F33" s="22" t="s">
        <v>6</v>
      </c>
      <c r="G33" s="23" t="s">
        <v>260</v>
      </c>
    </row>
    <row r="34" spans="1:7" x14ac:dyDescent="0.25">
      <c r="A34" s="21" t="s">
        <v>6</v>
      </c>
      <c r="B34" s="21" t="s">
        <v>6</v>
      </c>
      <c r="C34" s="21" t="s">
        <v>6</v>
      </c>
      <c r="D34" s="22" t="s">
        <v>263</v>
      </c>
      <c r="E34" s="21" t="s">
        <v>264</v>
      </c>
      <c r="F34" s="22" t="s">
        <v>6</v>
      </c>
      <c r="G34" s="23" t="s">
        <v>260</v>
      </c>
    </row>
    <row r="35" spans="1:7" x14ac:dyDescent="0.25">
      <c r="A35" s="21" t="s">
        <v>6</v>
      </c>
      <c r="B35" s="21" t="s">
        <v>6</v>
      </c>
      <c r="C35" s="21" t="s">
        <v>6</v>
      </c>
      <c r="D35" s="22" t="s">
        <v>265</v>
      </c>
      <c r="E35" s="21" t="s">
        <v>266</v>
      </c>
      <c r="F35" s="22" t="s">
        <v>6</v>
      </c>
      <c r="G35" s="23" t="s">
        <v>260</v>
      </c>
    </row>
    <row r="36" spans="1:7" x14ac:dyDescent="0.25">
      <c r="A36" s="14" t="s">
        <v>14</v>
      </c>
      <c r="B36" s="14" t="s">
        <v>112</v>
      </c>
      <c r="C36" s="14" t="s">
        <v>185</v>
      </c>
      <c r="D36" s="19" t="s">
        <v>267</v>
      </c>
      <c r="E36" s="14" t="s">
        <v>268</v>
      </c>
      <c r="F36" s="19" t="s">
        <v>257</v>
      </c>
      <c r="G36" s="20" t="s">
        <v>180</v>
      </c>
    </row>
    <row r="37" spans="1:7" x14ac:dyDescent="0.25">
      <c r="A37" s="21" t="s">
        <v>6</v>
      </c>
      <c r="B37" s="21" t="s">
        <v>6</v>
      </c>
      <c r="C37" s="21" t="s">
        <v>6</v>
      </c>
      <c r="D37" s="22" t="s">
        <v>269</v>
      </c>
      <c r="E37" s="21" t="s">
        <v>270</v>
      </c>
      <c r="F37" s="22" t="s">
        <v>6</v>
      </c>
      <c r="G37" s="23" t="s">
        <v>260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271</v>
      </c>
      <c r="E38" s="21" t="s">
        <v>272</v>
      </c>
      <c r="F38" s="22" t="s">
        <v>6</v>
      </c>
      <c r="G38" s="23" t="s">
        <v>260</v>
      </c>
    </row>
    <row r="39" spans="1:7" x14ac:dyDescent="0.25">
      <c r="A39" s="21" t="s">
        <v>6</v>
      </c>
      <c r="B39" s="21" t="s">
        <v>6</v>
      </c>
      <c r="C39" s="21" t="s">
        <v>6</v>
      </c>
      <c r="D39" s="22" t="s">
        <v>273</v>
      </c>
      <c r="E39" s="21" t="s">
        <v>274</v>
      </c>
      <c r="F39" s="22" t="s">
        <v>6</v>
      </c>
      <c r="G39" s="23" t="s">
        <v>260</v>
      </c>
    </row>
    <row r="40" spans="1:7" x14ac:dyDescent="0.25">
      <c r="A40" s="21" t="s">
        <v>6</v>
      </c>
      <c r="B40" s="21" t="s">
        <v>6</v>
      </c>
      <c r="C40" s="21" t="s">
        <v>6</v>
      </c>
      <c r="D40" s="22" t="s">
        <v>275</v>
      </c>
      <c r="E40" s="21" t="s">
        <v>276</v>
      </c>
      <c r="F40" s="22" t="s">
        <v>6</v>
      </c>
      <c r="G40" s="23" t="s">
        <v>260</v>
      </c>
    </row>
    <row r="41" spans="1:7" x14ac:dyDescent="0.25">
      <c r="A41" s="14" t="s">
        <v>14</v>
      </c>
      <c r="B41" s="14" t="s">
        <v>112</v>
      </c>
      <c r="C41" s="14" t="s">
        <v>185</v>
      </c>
      <c r="D41" s="19" t="s">
        <v>277</v>
      </c>
      <c r="E41" s="14" t="s">
        <v>278</v>
      </c>
      <c r="F41" s="19" t="s">
        <v>257</v>
      </c>
      <c r="G41" s="20" t="s">
        <v>180</v>
      </c>
    </row>
    <row r="42" spans="1:7" x14ac:dyDescent="0.25">
      <c r="A42" s="21" t="s">
        <v>6</v>
      </c>
      <c r="B42" s="21" t="s">
        <v>6</v>
      </c>
      <c r="C42" s="21" t="s">
        <v>6</v>
      </c>
      <c r="D42" s="22" t="s">
        <v>258</v>
      </c>
      <c r="E42" s="21" t="s">
        <v>279</v>
      </c>
      <c r="F42" s="22" t="s">
        <v>6</v>
      </c>
      <c r="G42" s="23" t="s">
        <v>260</v>
      </c>
    </row>
    <row r="43" spans="1:7" x14ac:dyDescent="0.25">
      <c r="A43" s="14" t="s">
        <v>14</v>
      </c>
      <c r="B43" s="14" t="s">
        <v>112</v>
      </c>
      <c r="C43" s="14" t="s">
        <v>185</v>
      </c>
      <c r="D43" s="19" t="s">
        <v>280</v>
      </c>
      <c r="E43" s="14" t="s">
        <v>281</v>
      </c>
      <c r="F43" s="19" t="s">
        <v>257</v>
      </c>
      <c r="G43" s="20" t="s">
        <v>180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282</v>
      </c>
      <c r="E44" s="21" t="s">
        <v>272</v>
      </c>
      <c r="F44" s="22" t="s">
        <v>6</v>
      </c>
      <c r="G44" s="23" t="s">
        <v>260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283</v>
      </c>
      <c r="E45" s="21" t="s">
        <v>284</v>
      </c>
      <c r="F45" s="22" t="s">
        <v>6</v>
      </c>
      <c r="G45" s="23" t="s">
        <v>260</v>
      </c>
    </row>
    <row r="46" spans="1:7" x14ac:dyDescent="0.25">
      <c r="A46" s="14" t="s">
        <v>14</v>
      </c>
      <c r="B46" s="14" t="s">
        <v>112</v>
      </c>
      <c r="C46" s="14" t="s">
        <v>185</v>
      </c>
      <c r="D46" s="19" t="s">
        <v>285</v>
      </c>
      <c r="E46" s="14" t="s">
        <v>286</v>
      </c>
      <c r="F46" s="19" t="s">
        <v>257</v>
      </c>
      <c r="G46" s="20" t="s">
        <v>180</v>
      </c>
    </row>
    <row r="47" spans="1:7" x14ac:dyDescent="0.25">
      <c r="A47" s="21" t="s">
        <v>6</v>
      </c>
      <c r="B47" s="21" t="s">
        <v>6</v>
      </c>
      <c r="C47" s="21" t="s">
        <v>6</v>
      </c>
      <c r="D47" s="22" t="s">
        <v>287</v>
      </c>
      <c r="E47" s="21" t="s">
        <v>288</v>
      </c>
      <c r="F47" s="22" t="s">
        <v>6</v>
      </c>
      <c r="G47" s="23" t="s">
        <v>260</v>
      </c>
    </row>
    <row r="48" spans="1:7" x14ac:dyDescent="0.25">
      <c r="A48" s="14" t="s">
        <v>14</v>
      </c>
      <c r="B48" s="14" t="s">
        <v>112</v>
      </c>
      <c r="C48" s="14" t="s">
        <v>185</v>
      </c>
      <c r="D48" s="19" t="s">
        <v>289</v>
      </c>
      <c r="E48" s="14" t="s">
        <v>290</v>
      </c>
      <c r="F48" s="19" t="s">
        <v>257</v>
      </c>
      <c r="G48" s="20" t="s">
        <v>180</v>
      </c>
    </row>
    <row r="49" spans="1:7" x14ac:dyDescent="0.25">
      <c r="A49" s="21" t="s">
        <v>6</v>
      </c>
      <c r="B49" s="21" t="s">
        <v>6</v>
      </c>
      <c r="C49" s="21" t="s">
        <v>6</v>
      </c>
      <c r="D49" s="22" t="s">
        <v>258</v>
      </c>
      <c r="E49" s="21" t="s">
        <v>291</v>
      </c>
      <c r="F49" s="22" t="s">
        <v>6</v>
      </c>
      <c r="G49" s="23" t="s">
        <v>260</v>
      </c>
    </row>
    <row r="50" spans="1:7" x14ac:dyDescent="0.25">
      <c r="A50" s="14" t="s">
        <v>14</v>
      </c>
      <c r="B50" s="14" t="s">
        <v>112</v>
      </c>
      <c r="C50" s="14" t="s">
        <v>185</v>
      </c>
      <c r="D50" s="19" t="s">
        <v>292</v>
      </c>
      <c r="E50" s="14" t="s">
        <v>293</v>
      </c>
      <c r="F50" s="19" t="s">
        <v>257</v>
      </c>
      <c r="G50" s="20" t="s">
        <v>180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258</v>
      </c>
      <c r="E51" s="21" t="s">
        <v>294</v>
      </c>
      <c r="F51" s="22" t="s">
        <v>6</v>
      </c>
      <c r="G51" s="23" t="s">
        <v>260</v>
      </c>
    </row>
    <row r="52" spans="1:7" x14ac:dyDescent="0.25">
      <c r="A52" s="21" t="s">
        <v>6</v>
      </c>
      <c r="B52" s="21" t="s">
        <v>6</v>
      </c>
      <c r="C52" s="21" t="s">
        <v>6</v>
      </c>
      <c r="D52" s="22" t="s">
        <v>295</v>
      </c>
      <c r="E52" s="21" t="s">
        <v>296</v>
      </c>
      <c r="F52" s="22" t="s">
        <v>6</v>
      </c>
      <c r="G52" s="23" t="s">
        <v>260</v>
      </c>
    </row>
    <row r="53" spans="1:7" x14ac:dyDescent="0.25">
      <c r="A53" s="14" t="s">
        <v>14</v>
      </c>
      <c r="B53" s="14" t="s">
        <v>112</v>
      </c>
      <c r="C53" s="14" t="s">
        <v>185</v>
      </c>
      <c r="D53" s="19" t="s">
        <v>297</v>
      </c>
      <c r="E53" s="14" t="s">
        <v>298</v>
      </c>
      <c r="F53" s="19" t="s">
        <v>257</v>
      </c>
      <c r="G53" s="20" t="s">
        <v>180</v>
      </c>
    </row>
    <row r="54" spans="1:7" x14ac:dyDescent="0.25">
      <c r="A54" s="21" t="s">
        <v>6</v>
      </c>
      <c r="B54" s="21" t="s">
        <v>6</v>
      </c>
      <c r="C54" s="21" t="s">
        <v>6</v>
      </c>
      <c r="D54" s="22" t="s">
        <v>299</v>
      </c>
      <c r="E54" s="21" t="s">
        <v>300</v>
      </c>
      <c r="F54" s="22" t="s">
        <v>6</v>
      </c>
      <c r="G54" s="23" t="s">
        <v>260</v>
      </c>
    </row>
    <row r="55" spans="1:7" x14ac:dyDescent="0.25">
      <c r="A55" s="21" t="s">
        <v>6</v>
      </c>
      <c r="B55" s="21" t="s">
        <v>6</v>
      </c>
      <c r="C55" s="21" t="s">
        <v>6</v>
      </c>
      <c r="D55" s="22" t="s">
        <v>258</v>
      </c>
      <c r="E55" s="21" t="s">
        <v>301</v>
      </c>
      <c r="F55" s="22" t="s">
        <v>6</v>
      </c>
      <c r="G55" s="23" t="s">
        <v>260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302</v>
      </c>
      <c r="E56" s="21" t="s">
        <v>303</v>
      </c>
      <c r="F56" s="22" t="s">
        <v>6</v>
      </c>
      <c r="G56" s="23" t="s">
        <v>260</v>
      </c>
    </row>
    <row r="57" spans="1:7" x14ac:dyDescent="0.25">
      <c r="A57" s="21" t="s">
        <v>6</v>
      </c>
      <c r="B57" s="21" t="s">
        <v>6</v>
      </c>
      <c r="C57" s="21" t="s">
        <v>6</v>
      </c>
      <c r="D57" s="22" t="s">
        <v>304</v>
      </c>
      <c r="E57" s="21" t="s">
        <v>305</v>
      </c>
      <c r="F57" s="22" t="s">
        <v>6</v>
      </c>
      <c r="G57" s="23" t="s">
        <v>260</v>
      </c>
    </row>
    <row r="58" spans="1:7" x14ac:dyDescent="0.25">
      <c r="A58" s="21" t="s">
        <v>6</v>
      </c>
      <c r="B58" s="21" t="s">
        <v>6</v>
      </c>
      <c r="C58" s="21" t="s">
        <v>6</v>
      </c>
      <c r="D58" s="22" t="s">
        <v>306</v>
      </c>
      <c r="E58" s="21" t="s">
        <v>307</v>
      </c>
      <c r="F58" s="22" t="s">
        <v>6</v>
      </c>
      <c r="G58" s="23" t="s">
        <v>260</v>
      </c>
    </row>
    <row r="59" spans="1:7" x14ac:dyDescent="0.25">
      <c r="A59" s="14" t="s">
        <v>14</v>
      </c>
      <c r="B59" s="14" t="s">
        <v>112</v>
      </c>
      <c r="C59" s="14" t="s">
        <v>185</v>
      </c>
      <c r="D59" s="19" t="s">
        <v>308</v>
      </c>
      <c r="E59" s="14" t="s">
        <v>309</v>
      </c>
      <c r="F59" s="19" t="s">
        <v>257</v>
      </c>
      <c r="G59" s="20" t="s">
        <v>180</v>
      </c>
    </row>
    <row r="60" spans="1:7" x14ac:dyDescent="0.25">
      <c r="A60" s="21" t="s">
        <v>6</v>
      </c>
      <c r="B60" s="21" t="s">
        <v>6</v>
      </c>
      <c r="C60" s="21" t="s">
        <v>6</v>
      </c>
      <c r="D60" s="22" t="s">
        <v>310</v>
      </c>
      <c r="E60" s="21" t="s">
        <v>311</v>
      </c>
      <c r="F60" s="22" t="s">
        <v>6</v>
      </c>
      <c r="G60" s="23" t="s">
        <v>260</v>
      </c>
    </row>
    <row r="61" spans="1:7" x14ac:dyDescent="0.25">
      <c r="A61" s="21" t="s">
        <v>6</v>
      </c>
      <c r="B61" s="21" t="s">
        <v>6</v>
      </c>
      <c r="C61" s="21" t="s">
        <v>6</v>
      </c>
      <c r="D61" s="22" t="s">
        <v>312</v>
      </c>
      <c r="E61" s="21" t="s">
        <v>313</v>
      </c>
      <c r="F61" s="22" t="s">
        <v>6</v>
      </c>
      <c r="G61" s="23" t="s">
        <v>260</v>
      </c>
    </row>
    <row r="62" spans="1:7" x14ac:dyDescent="0.25">
      <c r="A62" s="14" t="s">
        <v>14</v>
      </c>
      <c r="B62" s="14" t="s">
        <v>116</v>
      </c>
      <c r="C62" s="14" t="s">
        <v>185</v>
      </c>
      <c r="D62" s="19" t="s">
        <v>314</v>
      </c>
      <c r="E62" s="14" t="s">
        <v>315</v>
      </c>
      <c r="F62" s="19" t="s">
        <v>316</v>
      </c>
      <c r="G62" s="20" t="s">
        <v>180</v>
      </c>
    </row>
    <row r="63" spans="1:7" x14ac:dyDescent="0.25">
      <c r="A63" s="14" t="s">
        <v>14</v>
      </c>
      <c r="B63" s="14" t="s">
        <v>116</v>
      </c>
      <c r="C63" s="14" t="s">
        <v>185</v>
      </c>
      <c r="D63" s="19" t="s">
        <v>317</v>
      </c>
      <c r="E63" s="14" t="s">
        <v>318</v>
      </c>
      <c r="F63" s="19" t="s">
        <v>316</v>
      </c>
      <c r="G63" s="20" t="s">
        <v>180</v>
      </c>
    </row>
    <row r="64" spans="1:7" x14ac:dyDescent="0.25">
      <c r="A64" s="14" t="s">
        <v>14</v>
      </c>
      <c r="B64" s="14" t="s">
        <v>116</v>
      </c>
      <c r="C64" s="14" t="s">
        <v>185</v>
      </c>
      <c r="D64" s="19" t="s">
        <v>319</v>
      </c>
      <c r="E64" s="14" t="s">
        <v>320</v>
      </c>
      <c r="F64" s="19" t="s">
        <v>316</v>
      </c>
      <c r="G64" s="20" t="s">
        <v>180</v>
      </c>
    </row>
    <row r="65" spans="1:7" x14ac:dyDescent="0.25">
      <c r="A65" s="14" t="s">
        <v>14</v>
      </c>
      <c r="B65" s="14" t="s">
        <v>116</v>
      </c>
      <c r="C65" s="14" t="s">
        <v>185</v>
      </c>
      <c r="D65" s="19" t="s">
        <v>321</v>
      </c>
      <c r="E65" s="14" t="s">
        <v>322</v>
      </c>
      <c r="F65" s="19" t="s">
        <v>316</v>
      </c>
      <c r="G65" s="20" t="s">
        <v>180</v>
      </c>
    </row>
    <row r="66" spans="1:7" x14ac:dyDescent="0.25">
      <c r="A66" s="21" t="s">
        <v>6</v>
      </c>
      <c r="B66" s="21" t="s">
        <v>6</v>
      </c>
      <c r="C66" s="21" t="s">
        <v>6</v>
      </c>
      <c r="D66" s="22" t="s">
        <v>323</v>
      </c>
      <c r="E66" s="21" t="s">
        <v>324</v>
      </c>
      <c r="F66" s="22" t="s">
        <v>325</v>
      </c>
      <c r="G66" s="23" t="s">
        <v>260</v>
      </c>
    </row>
    <row r="67" spans="1:7" x14ac:dyDescent="0.25">
      <c r="A67" s="14" t="s">
        <v>14</v>
      </c>
      <c r="B67" s="14" t="s">
        <v>120</v>
      </c>
      <c r="C67" s="14" t="s">
        <v>326</v>
      </c>
      <c r="D67" s="19" t="s">
        <v>327</v>
      </c>
      <c r="E67" s="14" t="s">
        <v>268</v>
      </c>
      <c r="F67" s="19" t="s">
        <v>328</v>
      </c>
      <c r="G67" s="20" t="s">
        <v>180</v>
      </c>
    </row>
    <row r="68" spans="1:7" x14ac:dyDescent="0.25">
      <c r="A68" s="21" t="s">
        <v>6</v>
      </c>
      <c r="B68" s="21" t="s">
        <v>6</v>
      </c>
      <c r="C68" s="21" t="s">
        <v>6</v>
      </c>
      <c r="D68" s="22" t="s">
        <v>329</v>
      </c>
      <c r="E68" s="21" t="s">
        <v>330</v>
      </c>
      <c r="F68" s="22" t="s">
        <v>6</v>
      </c>
      <c r="G68" s="23" t="s">
        <v>260</v>
      </c>
    </row>
    <row r="69" spans="1:7" x14ac:dyDescent="0.25">
      <c r="A69" s="14" t="s">
        <v>14</v>
      </c>
      <c r="B69" s="14" t="s">
        <v>126</v>
      </c>
      <c r="C69" s="14" t="s">
        <v>326</v>
      </c>
      <c r="D69" s="19" t="s">
        <v>331</v>
      </c>
      <c r="E69" s="14" t="s">
        <v>332</v>
      </c>
      <c r="F69" s="19" t="s">
        <v>333</v>
      </c>
      <c r="G69" s="20" t="s">
        <v>180</v>
      </c>
    </row>
    <row r="70" spans="1:7" x14ac:dyDescent="0.25">
      <c r="A70" s="14" t="s">
        <v>14</v>
      </c>
      <c r="B70" s="14" t="s">
        <v>126</v>
      </c>
      <c r="C70" s="14" t="s">
        <v>326</v>
      </c>
      <c r="D70" s="19" t="s">
        <v>334</v>
      </c>
      <c r="E70" s="14" t="s">
        <v>332</v>
      </c>
      <c r="F70" s="19" t="s">
        <v>335</v>
      </c>
      <c r="G70" s="20" t="s">
        <v>180</v>
      </c>
    </row>
    <row r="71" spans="1:7" x14ac:dyDescent="0.25">
      <c r="A71" s="14" t="s">
        <v>14</v>
      </c>
      <c r="B71" s="14" t="s">
        <v>126</v>
      </c>
      <c r="C71" s="14" t="s">
        <v>326</v>
      </c>
      <c r="D71" s="19" t="s">
        <v>336</v>
      </c>
      <c r="E71" s="14" t="s">
        <v>332</v>
      </c>
      <c r="F71" s="19" t="s">
        <v>337</v>
      </c>
      <c r="G71" s="20" t="s">
        <v>180</v>
      </c>
    </row>
    <row r="72" spans="1:7" x14ac:dyDescent="0.25">
      <c r="A72" s="14" t="s">
        <v>14</v>
      </c>
      <c r="B72" s="14" t="s">
        <v>126</v>
      </c>
      <c r="C72" s="14" t="s">
        <v>326</v>
      </c>
      <c r="D72" s="19" t="s">
        <v>338</v>
      </c>
      <c r="E72" s="14" t="s">
        <v>332</v>
      </c>
      <c r="F72" s="19" t="s">
        <v>339</v>
      </c>
      <c r="G72" s="20" t="s">
        <v>180</v>
      </c>
    </row>
    <row r="73" spans="1:7" x14ac:dyDescent="0.25">
      <c r="A73" s="14" t="s">
        <v>14</v>
      </c>
      <c r="B73" s="14" t="s">
        <v>146</v>
      </c>
      <c r="C73" s="14" t="s">
        <v>340</v>
      </c>
      <c r="D73" s="19" t="s">
        <v>341</v>
      </c>
      <c r="E73" s="14" t="s">
        <v>342</v>
      </c>
      <c r="F73" s="19" t="s">
        <v>343</v>
      </c>
      <c r="G73" s="20" t="s">
        <v>180</v>
      </c>
    </row>
    <row r="74" spans="1:7" x14ac:dyDescent="0.25">
      <c r="A74" s="21" t="s">
        <v>6</v>
      </c>
      <c r="B74" s="21" t="s">
        <v>6</v>
      </c>
      <c r="C74" s="21" t="s">
        <v>6</v>
      </c>
      <c r="D74" s="22" t="s">
        <v>344</v>
      </c>
      <c r="E74" s="21" t="s">
        <v>345</v>
      </c>
      <c r="F74" s="22" t="s">
        <v>6</v>
      </c>
      <c r="G74" s="23" t="s">
        <v>260</v>
      </c>
    </row>
    <row r="75" spans="1:7" x14ac:dyDescent="0.25">
      <c r="A75" s="21" t="s">
        <v>6</v>
      </c>
      <c r="B75" s="21" t="s">
        <v>6</v>
      </c>
      <c r="C75" s="21" t="s">
        <v>6</v>
      </c>
      <c r="D75" s="22" t="s">
        <v>346</v>
      </c>
      <c r="E75" s="21" t="s">
        <v>347</v>
      </c>
      <c r="F75" s="22" t="s">
        <v>6</v>
      </c>
      <c r="G75" s="23" t="s">
        <v>260</v>
      </c>
    </row>
    <row r="76" spans="1:7" x14ac:dyDescent="0.25">
      <c r="A76" s="14" t="s">
        <v>14</v>
      </c>
      <c r="B76" s="14" t="s">
        <v>146</v>
      </c>
      <c r="C76" s="14" t="s">
        <v>340</v>
      </c>
      <c r="D76" s="19" t="s">
        <v>348</v>
      </c>
      <c r="E76" s="14" t="s">
        <v>349</v>
      </c>
      <c r="F76" s="19" t="s">
        <v>343</v>
      </c>
      <c r="G76" s="20" t="s">
        <v>180</v>
      </c>
    </row>
    <row r="77" spans="1:7" x14ac:dyDescent="0.25">
      <c r="A77" s="21" t="s">
        <v>6</v>
      </c>
      <c r="B77" s="21" t="s">
        <v>6</v>
      </c>
      <c r="C77" s="21" t="s">
        <v>6</v>
      </c>
      <c r="D77" s="22" t="s">
        <v>350</v>
      </c>
      <c r="E77" s="21" t="s">
        <v>351</v>
      </c>
      <c r="F77" s="22" t="s">
        <v>6</v>
      </c>
      <c r="G77" s="23" t="s">
        <v>260</v>
      </c>
    </row>
    <row r="78" spans="1:7" x14ac:dyDescent="0.25">
      <c r="A78" s="21" t="s">
        <v>6</v>
      </c>
      <c r="B78" s="21" t="s">
        <v>6</v>
      </c>
      <c r="C78" s="21" t="s">
        <v>6</v>
      </c>
      <c r="D78" s="22" t="s">
        <v>352</v>
      </c>
      <c r="E78" s="21" t="s">
        <v>353</v>
      </c>
      <c r="F78" s="22" t="s">
        <v>6</v>
      </c>
      <c r="G78" s="23" t="s">
        <v>260</v>
      </c>
    </row>
    <row r="79" spans="1:7" x14ac:dyDescent="0.25">
      <c r="A79" s="21" t="s">
        <v>6</v>
      </c>
      <c r="B79" s="21" t="s">
        <v>6</v>
      </c>
      <c r="C79" s="21" t="s">
        <v>6</v>
      </c>
      <c r="D79" s="22" t="s">
        <v>354</v>
      </c>
      <c r="E79" s="21" t="s">
        <v>355</v>
      </c>
      <c r="F79" s="22" t="s">
        <v>6</v>
      </c>
      <c r="G79" s="23" t="s">
        <v>260</v>
      </c>
    </row>
    <row r="80" spans="1:7" x14ac:dyDescent="0.25">
      <c r="A80" s="14" t="s">
        <v>14</v>
      </c>
      <c r="B80" s="14" t="s">
        <v>146</v>
      </c>
      <c r="C80" s="14" t="s">
        <v>340</v>
      </c>
      <c r="D80" s="19" t="s">
        <v>356</v>
      </c>
      <c r="E80" s="14" t="s">
        <v>357</v>
      </c>
      <c r="F80" s="19" t="s">
        <v>343</v>
      </c>
      <c r="G80" s="20" t="s">
        <v>180</v>
      </c>
    </row>
    <row r="81" spans="1:7" x14ac:dyDescent="0.25">
      <c r="A81" s="21" t="s">
        <v>6</v>
      </c>
      <c r="B81" s="21" t="s">
        <v>6</v>
      </c>
      <c r="C81" s="21" t="s">
        <v>6</v>
      </c>
      <c r="D81" s="22" t="s">
        <v>358</v>
      </c>
      <c r="E81" s="21" t="s">
        <v>359</v>
      </c>
      <c r="F81" s="22" t="s">
        <v>6</v>
      </c>
      <c r="G81" s="21" t="s">
        <v>6</v>
      </c>
    </row>
    <row r="82" spans="1:7" x14ac:dyDescent="0.25">
      <c r="A82" s="21" t="s">
        <v>6</v>
      </c>
      <c r="B82" s="21" t="s">
        <v>6</v>
      </c>
      <c r="C82" s="21" t="s">
        <v>6</v>
      </c>
      <c r="D82" s="22" t="s">
        <v>360</v>
      </c>
      <c r="E82" s="21" t="s">
        <v>313</v>
      </c>
      <c r="F82" s="22" t="s">
        <v>6</v>
      </c>
      <c r="G82" s="23" t="s">
        <v>260</v>
      </c>
    </row>
    <row r="83" spans="1:7" x14ac:dyDescent="0.25">
      <c r="A83" s="21" t="s">
        <v>6</v>
      </c>
      <c r="B83" s="21" t="s">
        <v>6</v>
      </c>
      <c r="C83" s="21" t="s">
        <v>6</v>
      </c>
      <c r="D83" s="22" t="s">
        <v>361</v>
      </c>
      <c r="E83" s="21" t="s">
        <v>362</v>
      </c>
      <c r="F83" s="22" t="s">
        <v>6</v>
      </c>
      <c r="G83" s="23" t="s">
        <v>260</v>
      </c>
    </row>
    <row r="84" spans="1:7" x14ac:dyDescent="0.25">
      <c r="A84" s="21" t="s">
        <v>6</v>
      </c>
      <c r="B84" s="21" t="s">
        <v>6</v>
      </c>
      <c r="C84" s="21" t="s">
        <v>6</v>
      </c>
      <c r="D84" s="22" t="s">
        <v>363</v>
      </c>
      <c r="E84" s="21" t="s">
        <v>364</v>
      </c>
      <c r="F84" s="22" t="s">
        <v>6</v>
      </c>
      <c r="G84" s="21" t="s">
        <v>6</v>
      </c>
    </row>
    <row r="85" spans="1:7" x14ac:dyDescent="0.25">
      <c r="A85" s="14" t="s">
        <v>14</v>
      </c>
      <c r="B85" s="14" t="s">
        <v>146</v>
      </c>
      <c r="C85" s="14" t="s">
        <v>340</v>
      </c>
      <c r="D85" s="19" t="s">
        <v>365</v>
      </c>
      <c r="E85" s="14" t="s">
        <v>342</v>
      </c>
      <c r="F85" s="19" t="s">
        <v>343</v>
      </c>
      <c r="G85" s="20" t="s">
        <v>180</v>
      </c>
    </row>
    <row r="86" spans="1:7" x14ac:dyDescent="0.25">
      <c r="A86" s="21" t="s">
        <v>6</v>
      </c>
      <c r="B86" s="21" t="s">
        <v>6</v>
      </c>
      <c r="C86" s="21" t="s">
        <v>6</v>
      </c>
      <c r="D86" s="22" t="s">
        <v>366</v>
      </c>
      <c r="E86" s="21" t="s">
        <v>276</v>
      </c>
      <c r="F86" s="22" t="s">
        <v>6</v>
      </c>
      <c r="G86" s="23" t="s">
        <v>260</v>
      </c>
    </row>
    <row r="87" spans="1:7" x14ac:dyDescent="0.25">
      <c r="A87" s="21" t="s">
        <v>6</v>
      </c>
      <c r="B87" s="21" t="s">
        <v>6</v>
      </c>
      <c r="C87" s="21" t="s">
        <v>6</v>
      </c>
      <c r="D87" s="22" t="s">
        <v>367</v>
      </c>
      <c r="E87" s="21" t="s">
        <v>270</v>
      </c>
      <c r="F87" s="22" t="s">
        <v>6</v>
      </c>
      <c r="G87" s="23" t="s">
        <v>260</v>
      </c>
    </row>
    <row r="88" spans="1:7" x14ac:dyDescent="0.25">
      <c r="A88" s="24" t="s">
        <v>15</v>
      </c>
      <c r="B88" s="24" t="s">
        <v>54</v>
      </c>
      <c r="C88" s="24" t="s">
        <v>368</v>
      </c>
      <c r="D88" s="25" t="s">
        <v>369</v>
      </c>
      <c r="E88" s="24" t="s">
        <v>370</v>
      </c>
      <c r="F88" s="25" t="s">
        <v>371</v>
      </c>
      <c r="G88" s="26" t="s">
        <v>180</v>
      </c>
    </row>
    <row r="89" spans="1:7" x14ac:dyDescent="0.25">
      <c r="A89" s="24" t="s">
        <v>15</v>
      </c>
      <c r="B89" s="24" t="s">
        <v>56</v>
      </c>
      <c r="C89" s="24" t="s">
        <v>368</v>
      </c>
      <c r="D89" s="25" t="s">
        <v>372</v>
      </c>
      <c r="E89" s="24" t="s">
        <v>373</v>
      </c>
      <c r="F89" s="25" t="s">
        <v>374</v>
      </c>
      <c r="G89" s="24" t="s">
        <v>6</v>
      </c>
    </row>
    <row r="90" spans="1:7" x14ac:dyDescent="0.25">
      <c r="A90" s="24" t="s">
        <v>15</v>
      </c>
      <c r="B90" s="24" t="s">
        <v>82</v>
      </c>
      <c r="C90" s="24" t="s">
        <v>224</v>
      </c>
      <c r="D90" s="25" t="s">
        <v>375</v>
      </c>
      <c r="E90" s="24" t="s">
        <v>376</v>
      </c>
      <c r="F90" s="25" t="s">
        <v>377</v>
      </c>
      <c r="G90" s="24" t="s">
        <v>6</v>
      </c>
    </row>
    <row r="91" spans="1:7" x14ac:dyDescent="0.25">
      <c r="A91" s="24" t="s">
        <v>15</v>
      </c>
      <c r="B91" s="24" t="s">
        <v>90</v>
      </c>
      <c r="C91" s="24" t="s">
        <v>181</v>
      </c>
      <c r="D91" s="25" t="s">
        <v>378</v>
      </c>
      <c r="E91" s="24" t="s">
        <v>183</v>
      </c>
      <c r="F91" s="25" t="s">
        <v>379</v>
      </c>
      <c r="G91" s="24" t="s">
        <v>6</v>
      </c>
    </row>
    <row r="92" spans="1:7" x14ac:dyDescent="0.25">
      <c r="A92" s="24" t="s">
        <v>15</v>
      </c>
      <c r="B92" s="24" t="s">
        <v>100</v>
      </c>
      <c r="C92" s="24" t="s">
        <v>237</v>
      </c>
      <c r="D92" s="25" t="s">
        <v>380</v>
      </c>
      <c r="E92" s="24" t="s">
        <v>381</v>
      </c>
      <c r="F92" s="25" t="s">
        <v>382</v>
      </c>
      <c r="G92" s="24" t="s">
        <v>6</v>
      </c>
    </row>
    <row r="93" spans="1:7" x14ac:dyDescent="0.25">
      <c r="A93" s="24" t="s">
        <v>15</v>
      </c>
      <c r="B93" s="24" t="s">
        <v>108</v>
      </c>
      <c r="C93" s="24" t="s">
        <v>243</v>
      </c>
      <c r="D93" s="25" t="s">
        <v>383</v>
      </c>
      <c r="E93" s="24" t="s">
        <v>384</v>
      </c>
      <c r="F93" s="25" t="s">
        <v>385</v>
      </c>
      <c r="G93" s="26" t="s">
        <v>180</v>
      </c>
    </row>
    <row r="94" spans="1:7" x14ac:dyDescent="0.25">
      <c r="A94" s="24" t="s">
        <v>15</v>
      </c>
      <c r="B94" s="24" t="s">
        <v>108</v>
      </c>
      <c r="C94" s="24" t="s">
        <v>243</v>
      </c>
      <c r="D94" s="25" t="s">
        <v>386</v>
      </c>
      <c r="E94" s="24" t="s">
        <v>387</v>
      </c>
      <c r="F94" s="25" t="s">
        <v>385</v>
      </c>
      <c r="G94" s="26" t="s">
        <v>180</v>
      </c>
    </row>
    <row r="95" spans="1:7" x14ac:dyDescent="0.25">
      <c r="A95" s="24" t="s">
        <v>15</v>
      </c>
      <c r="B95" s="24" t="s">
        <v>108</v>
      </c>
      <c r="C95" s="24" t="s">
        <v>243</v>
      </c>
      <c r="D95" s="25" t="s">
        <v>388</v>
      </c>
      <c r="E95" s="24" t="s">
        <v>389</v>
      </c>
      <c r="F95" s="25" t="s">
        <v>385</v>
      </c>
      <c r="G95" s="26" t="s">
        <v>180</v>
      </c>
    </row>
    <row r="96" spans="1:7" x14ac:dyDescent="0.25">
      <c r="A96" s="24" t="s">
        <v>15</v>
      </c>
      <c r="B96" s="24" t="s">
        <v>108</v>
      </c>
      <c r="C96" s="24" t="s">
        <v>243</v>
      </c>
      <c r="D96" s="25" t="s">
        <v>390</v>
      </c>
      <c r="E96" s="24" t="s">
        <v>391</v>
      </c>
      <c r="F96" s="25" t="s">
        <v>385</v>
      </c>
      <c r="G96" s="26" t="s">
        <v>180</v>
      </c>
    </row>
    <row r="97" spans="1:7" x14ac:dyDescent="0.25">
      <c r="A97" s="24" t="s">
        <v>15</v>
      </c>
      <c r="B97" s="24" t="s">
        <v>108</v>
      </c>
      <c r="C97" s="24" t="s">
        <v>243</v>
      </c>
      <c r="D97" s="25" t="s">
        <v>392</v>
      </c>
      <c r="E97" s="24" t="s">
        <v>393</v>
      </c>
      <c r="F97" s="25" t="s">
        <v>385</v>
      </c>
      <c r="G97" s="26" t="s">
        <v>180</v>
      </c>
    </row>
    <row r="98" spans="1:7" x14ac:dyDescent="0.25">
      <c r="A98" s="24" t="s">
        <v>15</v>
      </c>
      <c r="B98" s="24" t="s">
        <v>128</v>
      </c>
      <c r="C98" s="24" t="s">
        <v>326</v>
      </c>
      <c r="D98" s="25" t="s">
        <v>394</v>
      </c>
      <c r="E98" s="24" t="s">
        <v>395</v>
      </c>
      <c r="F98" s="25" t="s">
        <v>396</v>
      </c>
      <c r="G98" s="26" t="s">
        <v>180</v>
      </c>
    </row>
  </sheetData>
  <autoFilter ref="A1:G98"/>
  <hyperlinks>
    <hyperlink ref="G2" r:id="rId1"/>
    <hyperlink ref="G3" r:id="rId2"/>
    <hyperlink ref="G4" r:id="rId3"/>
    <hyperlink ref="G17" r:id="rId4"/>
    <hyperlink ref="G18" r:id="rId5"/>
    <hyperlink ref="G19" r:id="rId6"/>
    <hyperlink ref="G20" r:id="rId7"/>
    <hyperlink ref="G21" r:id="rId8"/>
    <hyperlink ref="G22" r:id="rId9"/>
    <hyperlink ref="G23" r:id="rId10"/>
    <hyperlink ref="G26" r:id="rId11"/>
    <hyperlink ref="G27" r:id="rId12"/>
    <hyperlink ref="G28" r:id="rId13"/>
    <hyperlink ref="G29" r:id="rId14"/>
    <hyperlink ref="G30" r:id="rId15"/>
    <hyperlink ref="G31" r:id="rId16"/>
    <hyperlink ref="G32" r:id="rId17"/>
    <hyperlink ref="G33" r:id="rId18"/>
    <hyperlink ref="G34" r:id="rId19"/>
    <hyperlink ref="G35" r:id="rId20"/>
    <hyperlink ref="G36" r:id="rId21"/>
    <hyperlink ref="G37" r:id="rId22"/>
    <hyperlink ref="G38" r:id="rId23"/>
    <hyperlink ref="G39" r:id="rId24"/>
    <hyperlink ref="G40" r:id="rId25"/>
    <hyperlink ref="G41" r:id="rId26"/>
    <hyperlink ref="G42" r:id="rId27"/>
    <hyperlink ref="G43" r:id="rId28"/>
    <hyperlink ref="G44" r:id="rId29"/>
    <hyperlink ref="G45" r:id="rId30"/>
    <hyperlink ref="G46" r:id="rId31"/>
    <hyperlink ref="G47" r:id="rId32"/>
    <hyperlink ref="G48" r:id="rId33"/>
    <hyperlink ref="G49" r:id="rId34"/>
    <hyperlink ref="G50" r:id="rId35"/>
    <hyperlink ref="G51" r:id="rId36"/>
    <hyperlink ref="G52" r:id="rId37"/>
    <hyperlink ref="G53" r:id="rId38"/>
    <hyperlink ref="G54" r:id="rId39"/>
    <hyperlink ref="G55" r:id="rId40"/>
    <hyperlink ref="G56" r:id="rId41"/>
    <hyperlink ref="G57" r:id="rId42"/>
    <hyperlink ref="G58" r:id="rId43"/>
    <hyperlink ref="G59" r:id="rId44"/>
    <hyperlink ref="G60" r:id="rId45"/>
    <hyperlink ref="G61" r:id="rId46"/>
    <hyperlink ref="G62" r:id="rId47"/>
    <hyperlink ref="G63" r:id="rId48"/>
    <hyperlink ref="G64" r:id="rId49"/>
    <hyperlink ref="G65" r:id="rId50"/>
    <hyperlink ref="G66" r:id="rId51"/>
    <hyperlink ref="G67" r:id="rId52"/>
    <hyperlink ref="G68" r:id="rId53"/>
    <hyperlink ref="G69" r:id="rId54"/>
    <hyperlink ref="G70" r:id="rId55"/>
    <hyperlink ref="G71" r:id="rId56"/>
    <hyperlink ref="G72" r:id="rId57"/>
    <hyperlink ref="G73" r:id="rId58"/>
    <hyperlink ref="G74" r:id="rId59"/>
    <hyperlink ref="G75" r:id="rId60"/>
    <hyperlink ref="G76" r:id="rId61"/>
    <hyperlink ref="G77" r:id="rId62"/>
    <hyperlink ref="G78" r:id="rId63"/>
    <hyperlink ref="G79" r:id="rId64"/>
    <hyperlink ref="G80" r:id="rId65"/>
    <hyperlink ref="G82" r:id="rId66"/>
    <hyperlink ref="G83" r:id="rId67"/>
    <hyperlink ref="G85" r:id="rId68"/>
    <hyperlink ref="G86" r:id="rId69"/>
    <hyperlink ref="G87" r:id="rId70"/>
    <hyperlink ref="G88" r:id="rId71"/>
    <hyperlink ref="G93" r:id="rId72"/>
    <hyperlink ref="G94" r:id="rId73"/>
    <hyperlink ref="G95" r:id="rId74"/>
    <hyperlink ref="G96" r:id="rId75"/>
    <hyperlink ref="G97" r:id="rId76"/>
    <hyperlink ref="G98" r:id="rId7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397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341</v>
      </c>
      <c r="D5" s="14" t="s">
        <v>342</v>
      </c>
      <c r="E5" s="19" t="s">
        <v>343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344</v>
      </c>
      <c r="D6" s="21" t="s">
        <v>345</v>
      </c>
      <c r="E6" s="22" t="s">
        <v>6</v>
      </c>
      <c r="F6" s="23" t="s">
        <v>260</v>
      </c>
    </row>
    <row r="7" spans="1:6" x14ac:dyDescent="0.25">
      <c r="A7" s="21" t="s">
        <v>6</v>
      </c>
      <c r="B7" s="21" t="s">
        <v>6</v>
      </c>
      <c r="C7" s="22" t="s">
        <v>346</v>
      </c>
      <c r="D7" s="21" t="s">
        <v>347</v>
      </c>
      <c r="E7" s="22" t="s">
        <v>6</v>
      </c>
      <c r="F7" s="23" t="s">
        <v>260</v>
      </c>
    </row>
    <row r="8" spans="1:6" x14ac:dyDescent="0.25">
      <c r="A8" s="14" t="s">
        <v>14</v>
      </c>
      <c r="B8" s="14" t="s">
        <v>146</v>
      </c>
      <c r="C8" s="19" t="s">
        <v>348</v>
      </c>
      <c r="D8" s="14" t="s">
        <v>349</v>
      </c>
      <c r="E8" s="19" t="s">
        <v>343</v>
      </c>
      <c r="F8" s="20" t="s">
        <v>180</v>
      </c>
    </row>
    <row r="9" spans="1:6" x14ac:dyDescent="0.25">
      <c r="A9" s="21" t="s">
        <v>6</v>
      </c>
      <c r="B9" s="21" t="s">
        <v>6</v>
      </c>
      <c r="C9" s="22" t="s">
        <v>350</v>
      </c>
      <c r="D9" s="21" t="s">
        <v>351</v>
      </c>
      <c r="E9" s="22" t="s">
        <v>6</v>
      </c>
      <c r="F9" s="23" t="s">
        <v>260</v>
      </c>
    </row>
    <row r="10" spans="1:6" x14ac:dyDescent="0.25">
      <c r="A10" s="21" t="s">
        <v>6</v>
      </c>
      <c r="B10" s="21" t="s">
        <v>6</v>
      </c>
      <c r="C10" s="22" t="s">
        <v>352</v>
      </c>
      <c r="D10" s="21" t="s">
        <v>353</v>
      </c>
      <c r="E10" s="22" t="s">
        <v>6</v>
      </c>
      <c r="F10" s="23" t="s">
        <v>260</v>
      </c>
    </row>
    <row r="11" spans="1:6" x14ac:dyDescent="0.25">
      <c r="A11" s="21" t="s">
        <v>6</v>
      </c>
      <c r="B11" s="21" t="s">
        <v>6</v>
      </c>
      <c r="C11" s="22" t="s">
        <v>354</v>
      </c>
      <c r="D11" s="21" t="s">
        <v>355</v>
      </c>
      <c r="E11" s="22" t="s">
        <v>6</v>
      </c>
      <c r="F11" s="23" t="s">
        <v>260</v>
      </c>
    </row>
    <row r="12" spans="1:6" x14ac:dyDescent="0.25">
      <c r="A12" s="14" t="s">
        <v>14</v>
      </c>
      <c r="B12" s="14" t="s">
        <v>146</v>
      </c>
      <c r="C12" s="19" t="s">
        <v>356</v>
      </c>
      <c r="D12" s="14" t="s">
        <v>357</v>
      </c>
      <c r="E12" s="19" t="s">
        <v>343</v>
      </c>
      <c r="F12" s="20" t="s">
        <v>180</v>
      </c>
    </row>
    <row r="13" spans="1:6" x14ac:dyDescent="0.25">
      <c r="A13" s="21" t="s">
        <v>6</v>
      </c>
      <c r="B13" s="21" t="s">
        <v>6</v>
      </c>
      <c r="C13" s="22" t="s">
        <v>358</v>
      </c>
      <c r="D13" s="21" t="s">
        <v>359</v>
      </c>
      <c r="E13" s="22" t="s">
        <v>6</v>
      </c>
      <c r="F13" s="21" t="s">
        <v>6</v>
      </c>
    </row>
    <row r="14" spans="1:6" x14ac:dyDescent="0.25">
      <c r="A14" s="21" t="s">
        <v>6</v>
      </c>
      <c r="B14" s="21" t="s">
        <v>6</v>
      </c>
      <c r="C14" s="22" t="s">
        <v>360</v>
      </c>
      <c r="D14" s="21" t="s">
        <v>313</v>
      </c>
      <c r="E14" s="22" t="s">
        <v>6</v>
      </c>
      <c r="F14" s="23" t="s">
        <v>260</v>
      </c>
    </row>
    <row r="15" spans="1:6" x14ac:dyDescent="0.25">
      <c r="A15" s="21" t="s">
        <v>6</v>
      </c>
      <c r="B15" s="21" t="s">
        <v>6</v>
      </c>
      <c r="C15" s="22" t="s">
        <v>361</v>
      </c>
      <c r="D15" s="21" t="s">
        <v>362</v>
      </c>
      <c r="E15" s="22" t="s">
        <v>6</v>
      </c>
      <c r="F15" s="23" t="s">
        <v>260</v>
      </c>
    </row>
    <row r="16" spans="1:6" x14ac:dyDescent="0.25">
      <c r="A16" s="21" t="s">
        <v>6</v>
      </c>
      <c r="B16" s="21" t="s">
        <v>6</v>
      </c>
      <c r="C16" s="22" t="s">
        <v>363</v>
      </c>
      <c r="D16" s="21" t="s">
        <v>364</v>
      </c>
      <c r="E16" s="22" t="s">
        <v>6</v>
      </c>
      <c r="F16" s="21" t="s">
        <v>6</v>
      </c>
    </row>
    <row r="17" spans="1:6" x14ac:dyDescent="0.25">
      <c r="A17" s="14" t="s">
        <v>14</v>
      </c>
      <c r="B17" s="14" t="s">
        <v>146</v>
      </c>
      <c r="C17" s="19" t="s">
        <v>365</v>
      </c>
      <c r="D17" s="14" t="s">
        <v>342</v>
      </c>
      <c r="E17" s="19" t="s">
        <v>343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366</v>
      </c>
      <c r="D18" s="21" t="s">
        <v>276</v>
      </c>
      <c r="E18" s="22" t="s">
        <v>6</v>
      </c>
      <c r="F18" s="23" t="s">
        <v>260</v>
      </c>
    </row>
    <row r="19" spans="1:6" x14ac:dyDescent="0.25">
      <c r="A19" s="21" t="s">
        <v>6</v>
      </c>
      <c r="B19" s="21" t="s">
        <v>6</v>
      </c>
      <c r="C19" s="22" t="s">
        <v>367</v>
      </c>
      <c r="D19" s="21" t="s">
        <v>270</v>
      </c>
      <c r="E19" s="22" t="s">
        <v>6</v>
      </c>
      <c r="F19" s="23" t="s">
        <v>260</v>
      </c>
    </row>
  </sheetData>
  <autoFilter ref="A4:F19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4" r:id="rId9"/>
    <hyperlink ref="F15" r:id="rId10"/>
    <hyperlink ref="F17" r:id="rId11"/>
    <hyperlink ref="F18" r:id="rId12"/>
    <hyperlink ref="F19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398</v>
      </c>
    </row>
    <row r="4" spans="1:1" x14ac:dyDescent="0.25">
      <c r="A4" s="29" t="s">
        <v>399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400</v>
      </c>
    </row>
    <row r="4" spans="1:1" x14ac:dyDescent="0.25">
      <c r="A4" s="29" t="s">
        <v>399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4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401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110</v>
      </c>
      <c r="C5" s="17" t="s">
        <v>186</v>
      </c>
      <c r="D5" s="16" t="s">
        <v>187</v>
      </c>
      <c r="E5" s="17" t="s">
        <v>188</v>
      </c>
      <c r="F5" s="18" t="s">
        <v>180</v>
      </c>
    </row>
    <row r="6" spans="1:6" x14ac:dyDescent="0.25">
      <c r="A6" s="14" t="s">
        <v>14</v>
      </c>
      <c r="B6" s="14" t="s">
        <v>42</v>
      </c>
      <c r="C6" s="19" t="s">
        <v>215</v>
      </c>
      <c r="D6" s="14" t="s">
        <v>216</v>
      </c>
      <c r="E6" s="19" t="s">
        <v>217</v>
      </c>
      <c r="F6" s="20" t="s">
        <v>180</v>
      </c>
    </row>
    <row r="7" spans="1:6" x14ac:dyDescent="0.25">
      <c r="A7" s="14" t="s">
        <v>14</v>
      </c>
      <c r="B7" s="14" t="s">
        <v>42</v>
      </c>
      <c r="C7" s="19" t="s">
        <v>218</v>
      </c>
      <c r="D7" s="14" t="s">
        <v>219</v>
      </c>
      <c r="E7" s="19" t="s">
        <v>217</v>
      </c>
      <c r="F7" s="20" t="s">
        <v>180</v>
      </c>
    </row>
    <row r="8" spans="1:6" x14ac:dyDescent="0.25">
      <c r="A8" s="14" t="s">
        <v>14</v>
      </c>
      <c r="B8" s="14" t="s">
        <v>62</v>
      </c>
      <c r="C8" s="19" t="s">
        <v>221</v>
      </c>
      <c r="D8" s="14" t="s">
        <v>222</v>
      </c>
      <c r="E8" s="19" t="s">
        <v>223</v>
      </c>
      <c r="F8" s="20" t="s">
        <v>180</v>
      </c>
    </row>
    <row r="9" spans="1:6" x14ac:dyDescent="0.25">
      <c r="A9" s="14" t="s">
        <v>14</v>
      </c>
      <c r="B9" s="14" t="s">
        <v>112</v>
      </c>
      <c r="C9" s="19" t="s">
        <v>255</v>
      </c>
      <c r="D9" s="14" t="s">
        <v>256</v>
      </c>
      <c r="E9" s="19" t="s">
        <v>257</v>
      </c>
      <c r="F9" s="20" t="s">
        <v>180</v>
      </c>
    </row>
    <row r="10" spans="1:6" x14ac:dyDescent="0.25">
      <c r="A10" s="21" t="s">
        <v>6</v>
      </c>
      <c r="B10" s="21" t="s">
        <v>6</v>
      </c>
      <c r="C10" s="22" t="s">
        <v>258</v>
      </c>
      <c r="D10" s="21" t="s">
        <v>259</v>
      </c>
      <c r="E10" s="22" t="s">
        <v>6</v>
      </c>
      <c r="F10" s="23" t="s">
        <v>260</v>
      </c>
    </row>
    <row r="11" spans="1:6" x14ac:dyDescent="0.25">
      <c r="A11" s="21" t="s">
        <v>6</v>
      </c>
      <c r="B11" s="21" t="s">
        <v>6</v>
      </c>
      <c r="C11" s="22" t="s">
        <v>261</v>
      </c>
      <c r="D11" s="21" t="s">
        <v>262</v>
      </c>
      <c r="E11" s="22" t="s">
        <v>6</v>
      </c>
      <c r="F11" s="23" t="s">
        <v>260</v>
      </c>
    </row>
    <row r="12" spans="1:6" x14ac:dyDescent="0.25">
      <c r="A12" s="21" t="s">
        <v>6</v>
      </c>
      <c r="B12" s="21" t="s">
        <v>6</v>
      </c>
      <c r="C12" s="22" t="s">
        <v>263</v>
      </c>
      <c r="D12" s="21" t="s">
        <v>264</v>
      </c>
      <c r="E12" s="22" t="s">
        <v>6</v>
      </c>
      <c r="F12" s="23" t="s">
        <v>260</v>
      </c>
    </row>
    <row r="13" spans="1:6" x14ac:dyDescent="0.25">
      <c r="A13" s="21" t="s">
        <v>6</v>
      </c>
      <c r="B13" s="21" t="s">
        <v>6</v>
      </c>
      <c r="C13" s="22" t="s">
        <v>265</v>
      </c>
      <c r="D13" s="21" t="s">
        <v>266</v>
      </c>
      <c r="E13" s="22" t="s">
        <v>6</v>
      </c>
      <c r="F13" s="23" t="s">
        <v>260</v>
      </c>
    </row>
    <row r="14" spans="1:6" x14ac:dyDescent="0.25">
      <c r="A14" s="14" t="s">
        <v>14</v>
      </c>
      <c r="B14" s="14" t="s">
        <v>112</v>
      </c>
      <c r="C14" s="19" t="s">
        <v>267</v>
      </c>
      <c r="D14" s="14" t="s">
        <v>268</v>
      </c>
      <c r="E14" s="19" t="s">
        <v>257</v>
      </c>
      <c r="F14" s="20" t="s">
        <v>180</v>
      </c>
    </row>
    <row r="15" spans="1:6" x14ac:dyDescent="0.25">
      <c r="A15" s="21" t="s">
        <v>6</v>
      </c>
      <c r="B15" s="21" t="s">
        <v>6</v>
      </c>
      <c r="C15" s="22" t="s">
        <v>269</v>
      </c>
      <c r="D15" s="21" t="s">
        <v>270</v>
      </c>
      <c r="E15" s="22" t="s">
        <v>6</v>
      </c>
      <c r="F15" s="23" t="s">
        <v>260</v>
      </c>
    </row>
    <row r="16" spans="1:6" x14ac:dyDescent="0.25">
      <c r="A16" s="21" t="s">
        <v>6</v>
      </c>
      <c r="B16" s="21" t="s">
        <v>6</v>
      </c>
      <c r="C16" s="22" t="s">
        <v>271</v>
      </c>
      <c r="D16" s="21" t="s">
        <v>272</v>
      </c>
      <c r="E16" s="22" t="s">
        <v>6</v>
      </c>
      <c r="F16" s="23" t="s">
        <v>260</v>
      </c>
    </row>
    <row r="17" spans="1:6" x14ac:dyDescent="0.25">
      <c r="A17" s="21" t="s">
        <v>6</v>
      </c>
      <c r="B17" s="21" t="s">
        <v>6</v>
      </c>
      <c r="C17" s="22" t="s">
        <v>273</v>
      </c>
      <c r="D17" s="21" t="s">
        <v>274</v>
      </c>
      <c r="E17" s="22" t="s">
        <v>6</v>
      </c>
      <c r="F17" s="23" t="s">
        <v>260</v>
      </c>
    </row>
    <row r="18" spans="1:6" x14ac:dyDescent="0.25">
      <c r="A18" s="21" t="s">
        <v>6</v>
      </c>
      <c r="B18" s="21" t="s">
        <v>6</v>
      </c>
      <c r="C18" s="22" t="s">
        <v>275</v>
      </c>
      <c r="D18" s="21" t="s">
        <v>276</v>
      </c>
      <c r="E18" s="22" t="s">
        <v>6</v>
      </c>
      <c r="F18" s="23" t="s">
        <v>260</v>
      </c>
    </row>
    <row r="19" spans="1:6" x14ac:dyDescent="0.25">
      <c r="A19" s="14" t="s">
        <v>14</v>
      </c>
      <c r="B19" s="14" t="s">
        <v>112</v>
      </c>
      <c r="C19" s="19" t="s">
        <v>277</v>
      </c>
      <c r="D19" s="14" t="s">
        <v>278</v>
      </c>
      <c r="E19" s="19" t="s">
        <v>257</v>
      </c>
      <c r="F19" s="20" t="s">
        <v>180</v>
      </c>
    </row>
    <row r="20" spans="1:6" x14ac:dyDescent="0.25">
      <c r="A20" s="21" t="s">
        <v>6</v>
      </c>
      <c r="B20" s="21" t="s">
        <v>6</v>
      </c>
      <c r="C20" s="22" t="s">
        <v>258</v>
      </c>
      <c r="D20" s="21" t="s">
        <v>279</v>
      </c>
      <c r="E20" s="22" t="s">
        <v>6</v>
      </c>
      <c r="F20" s="23" t="s">
        <v>260</v>
      </c>
    </row>
    <row r="21" spans="1:6" x14ac:dyDescent="0.25">
      <c r="A21" s="14" t="s">
        <v>14</v>
      </c>
      <c r="B21" s="14" t="s">
        <v>112</v>
      </c>
      <c r="C21" s="19" t="s">
        <v>280</v>
      </c>
      <c r="D21" s="14" t="s">
        <v>281</v>
      </c>
      <c r="E21" s="19" t="s">
        <v>257</v>
      </c>
      <c r="F21" s="20" t="s">
        <v>180</v>
      </c>
    </row>
    <row r="22" spans="1:6" x14ac:dyDescent="0.25">
      <c r="A22" s="21" t="s">
        <v>6</v>
      </c>
      <c r="B22" s="21" t="s">
        <v>6</v>
      </c>
      <c r="C22" s="22" t="s">
        <v>282</v>
      </c>
      <c r="D22" s="21" t="s">
        <v>272</v>
      </c>
      <c r="E22" s="22" t="s">
        <v>6</v>
      </c>
      <c r="F22" s="23" t="s">
        <v>260</v>
      </c>
    </row>
    <row r="23" spans="1:6" x14ac:dyDescent="0.25">
      <c r="A23" s="21" t="s">
        <v>6</v>
      </c>
      <c r="B23" s="21" t="s">
        <v>6</v>
      </c>
      <c r="C23" s="22" t="s">
        <v>283</v>
      </c>
      <c r="D23" s="21" t="s">
        <v>284</v>
      </c>
      <c r="E23" s="22" t="s">
        <v>6</v>
      </c>
      <c r="F23" s="23" t="s">
        <v>260</v>
      </c>
    </row>
    <row r="24" spans="1:6" x14ac:dyDescent="0.25">
      <c r="A24" s="14" t="s">
        <v>14</v>
      </c>
      <c r="B24" s="14" t="s">
        <v>112</v>
      </c>
      <c r="C24" s="19" t="s">
        <v>285</v>
      </c>
      <c r="D24" s="14" t="s">
        <v>286</v>
      </c>
      <c r="E24" s="19" t="s">
        <v>257</v>
      </c>
      <c r="F24" s="20" t="s">
        <v>180</v>
      </c>
    </row>
    <row r="25" spans="1:6" x14ac:dyDescent="0.25">
      <c r="A25" s="21" t="s">
        <v>6</v>
      </c>
      <c r="B25" s="21" t="s">
        <v>6</v>
      </c>
      <c r="C25" s="22" t="s">
        <v>287</v>
      </c>
      <c r="D25" s="21" t="s">
        <v>288</v>
      </c>
      <c r="E25" s="22" t="s">
        <v>6</v>
      </c>
      <c r="F25" s="23" t="s">
        <v>260</v>
      </c>
    </row>
    <row r="26" spans="1:6" x14ac:dyDescent="0.25">
      <c r="A26" s="14" t="s">
        <v>14</v>
      </c>
      <c r="B26" s="14" t="s">
        <v>112</v>
      </c>
      <c r="C26" s="19" t="s">
        <v>289</v>
      </c>
      <c r="D26" s="14" t="s">
        <v>290</v>
      </c>
      <c r="E26" s="19" t="s">
        <v>257</v>
      </c>
      <c r="F26" s="20" t="s">
        <v>180</v>
      </c>
    </row>
    <row r="27" spans="1:6" x14ac:dyDescent="0.25">
      <c r="A27" s="21" t="s">
        <v>6</v>
      </c>
      <c r="B27" s="21" t="s">
        <v>6</v>
      </c>
      <c r="C27" s="22" t="s">
        <v>258</v>
      </c>
      <c r="D27" s="21" t="s">
        <v>291</v>
      </c>
      <c r="E27" s="22" t="s">
        <v>6</v>
      </c>
      <c r="F27" s="23" t="s">
        <v>260</v>
      </c>
    </row>
    <row r="28" spans="1:6" x14ac:dyDescent="0.25">
      <c r="A28" s="14" t="s">
        <v>14</v>
      </c>
      <c r="B28" s="14" t="s">
        <v>112</v>
      </c>
      <c r="C28" s="19" t="s">
        <v>292</v>
      </c>
      <c r="D28" s="14" t="s">
        <v>293</v>
      </c>
      <c r="E28" s="19" t="s">
        <v>257</v>
      </c>
      <c r="F28" s="20" t="s">
        <v>180</v>
      </c>
    </row>
    <row r="29" spans="1:6" x14ac:dyDescent="0.25">
      <c r="A29" s="21" t="s">
        <v>6</v>
      </c>
      <c r="B29" s="21" t="s">
        <v>6</v>
      </c>
      <c r="C29" s="22" t="s">
        <v>258</v>
      </c>
      <c r="D29" s="21" t="s">
        <v>294</v>
      </c>
      <c r="E29" s="22" t="s">
        <v>6</v>
      </c>
      <c r="F29" s="23" t="s">
        <v>260</v>
      </c>
    </row>
    <row r="30" spans="1:6" x14ac:dyDescent="0.25">
      <c r="A30" s="21" t="s">
        <v>6</v>
      </c>
      <c r="B30" s="21" t="s">
        <v>6</v>
      </c>
      <c r="C30" s="22" t="s">
        <v>295</v>
      </c>
      <c r="D30" s="21" t="s">
        <v>296</v>
      </c>
      <c r="E30" s="22" t="s">
        <v>6</v>
      </c>
      <c r="F30" s="23" t="s">
        <v>260</v>
      </c>
    </row>
    <row r="31" spans="1:6" x14ac:dyDescent="0.25">
      <c r="A31" s="14" t="s">
        <v>14</v>
      </c>
      <c r="B31" s="14" t="s">
        <v>112</v>
      </c>
      <c r="C31" s="19" t="s">
        <v>297</v>
      </c>
      <c r="D31" s="14" t="s">
        <v>298</v>
      </c>
      <c r="E31" s="19" t="s">
        <v>257</v>
      </c>
      <c r="F31" s="20" t="s">
        <v>180</v>
      </c>
    </row>
    <row r="32" spans="1:6" x14ac:dyDescent="0.25">
      <c r="A32" s="21" t="s">
        <v>6</v>
      </c>
      <c r="B32" s="21" t="s">
        <v>6</v>
      </c>
      <c r="C32" s="22" t="s">
        <v>299</v>
      </c>
      <c r="D32" s="21" t="s">
        <v>300</v>
      </c>
      <c r="E32" s="22" t="s">
        <v>6</v>
      </c>
      <c r="F32" s="23" t="s">
        <v>260</v>
      </c>
    </row>
    <row r="33" spans="1:6" x14ac:dyDescent="0.25">
      <c r="A33" s="21" t="s">
        <v>6</v>
      </c>
      <c r="B33" s="21" t="s">
        <v>6</v>
      </c>
      <c r="C33" s="22" t="s">
        <v>258</v>
      </c>
      <c r="D33" s="21" t="s">
        <v>301</v>
      </c>
      <c r="E33" s="22" t="s">
        <v>6</v>
      </c>
      <c r="F33" s="23" t="s">
        <v>260</v>
      </c>
    </row>
    <row r="34" spans="1:6" x14ac:dyDescent="0.25">
      <c r="A34" s="21" t="s">
        <v>6</v>
      </c>
      <c r="B34" s="21" t="s">
        <v>6</v>
      </c>
      <c r="C34" s="22" t="s">
        <v>302</v>
      </c>
      <c r="D34" s="21" t="s">
        <v>303</v>
      </c>
      <c r="E34" s="22" t="s">
        <v>6</v>
      </c>
      <c r="F34" s="23" t="s">
        <v>260</v>
      </c>
    </row>
    <row r="35" spans="1:6" x14ac:dyDescent="0.25">
      <c r="A35" s="21" t="s">
        <v>6</v>
      </c>
      <c r="B35" s="21" t="s">
        <v>6</v>
      </c>
      <c r="C35" s="22" t="s">
        <v>304</v>
      </c>
      <c r="D35" s="21" t="s">
        <v>305</v>
      </c>
      <c r="E35" s="22" t="s">
        <v>6</v>
      </c>
      <c r="F35" s="23" t="s">
        <v>260</v>
      </c>
    </row>
    <row r="36" spans="1:6" x14ac:dyDescent="0.25">
      <c r="A36" s="21" t="s">
        <v>6</v>
      </c>
      <c r="B36" s="21" t="s">
        <v>6</v>
      </c>
      <c r="C36" s="22" t="s">
        <v>306</v>
      </c>
      <c r="D36" s="21" t="s">
        <v>307</v>
      </c>
      <c r="E36" s="22" t="s">
        <v>6</v>
      </c>
      <c r="F36" s="23" t="s">
        <v>260</v>
      </c>
    </row>
    <row r="37" spans="1:6" x14ac:dyDescent="0.25">
      <c r="A37" s="14" t="s">
        <v>14</v>
      </c>
      <c r="B37" s="14" t="s">
        <v>112</v>
      </c>
      <c r="C37" s="19" t="s">
        <v>308</v>
      </c>
      <c r="D37" s="14" t="s">
        <v>309</v>
      </c>
      <c r="E37" s="19" t="s">
        <v>257</v>
      </c>
      <c r="F37" s="20" t="s">
        <v>180</v>
      </c>
    </row>
    <row r="38" spans="1:6" x14ac:dyDescent="0.25">
      <c r="A38" s="21" t="s">
        <v>6</v>
      </c>
      <c r="B38" s="21" t="s">
        <v>6</v>
      </c>
      <c r="C38" s="22" t="s">
        <v>310</v>
      </c>
      <c r="D38" s="21" t="s">
        <v>311</v>
      </c>
      <c r="E38" s="22" t="s">
        <v>6</v>
      </c>
      <c r="F38" s="23" t="s">
        <v>260</v>
      </c>
    </row>
    <row r="39" spans="1:6" x14ac:dyDescent="0.25">
      <c r="A39" s="21" t="s">
        <v>6</v>
      </c>
      <c r="B39" s="21" t="s">
        <v>6</v>
      </c>
      <c r="C39" s="22" t="s">
        <v>312</v>
      </c>
      <c r="D39" s="21" t="s">
        <v>313</v>
      </c>
      <c r="E39" s="22" t="s">
        <v>6</v>
      </c>
      <c r="F39" s="23" t="s">
        <v>260</v>
      </c>
    </row>
    <row r="40" spans="1:6" x14ac:dyDescent="0.25">
      <c r="A40" s="14" t="s">
        <v>14</v>
      </c>
      <c r="B40" s="14" t="s">
        <v>116</v>
      </c>
      <c r="C40" s="19" t="s">
        <v>314</v>
      </c>
      <c r="D40" s="14" t="s">
        <v>315</v>
      </c>
      <c r="E40" s="19" t="s">
        <v>316</v>
      </c>
      <c r="F40" s="20" t="s">
        <v>180</v>
      </c>
    </row>
    <row r="41" spans="1:6" x14ac:dyDescent="0.25">
      <c r="A41" s="14" t="s">
        <v>14</v>
      </c>
      <c r="B41" s="14" t="s">
        <v>116</v>
      </c>
      <c r="C41" s="19" t="s">
        <v>317</v>
      </c>
      <c r="D41" s="14" t="s">
        <v>318</v>
      </c>
      <c r="E41" s="19" t="s">
        <v>316</v>
      </c>
      <c r="F41" s="20" t="s">
        <v>180</v>
      </c>
    </row>
    <row r="42" spans="1:6" x14ac:dyDescent="0.25">
      <c r="A42" s="14" t="s">
        <v>14</v>
      </c>
      <c r="B42" s="14" t="s">
        <v>116</v>
      </c>
      <c r="C42" s="19" t="s">
        <v>319</v>
      </c>
      <c r="D42" s="14" t="s">
        <v>320</v>
      </c>
      <c r="E42" s="19" t="s">
        <v>316</v>
      </c>
      <c r="F42" s="20" t="s">
        <v>180</v>
      </c>
    </row>
    <row r="43" spans="1:6" x14ac:dyDescent="0.25">
      <c r="A43" s="14" t="s">
        <v>14</v>
      </c>
      <c r="B43" s="14" t="s">
        <v>116</v>
      </c>
      <c r="C43" s="19" t="s">
        <v>321</v>
      </c>
      <c r="D43" s="14" t="s">
        <v>322</v>
      </c>
      <c r="E43" s="19" t="s">
        <v>316</v>
      </c>
      <c r="F43" s="20" t="s">
        <v>180</v>
      </c>
    </row>
    <row r="44" spans="1:6" x14ac:dyDescent="0.25">
      <c r="A44" s="21" t="s">
        <v>6</v>
      </c>
      <c r="B44" s="21" t="s">
        <v>6</v>
      </c>
      <c r="C44" s="22" t="s">
        <v>323</v>
      </c>
      <c r="D44" s="21" t="s">
        <v>324</v>
      </c>
      <c r="E44" s="22" t="s">
        <v>325</v>
      </c>
      <c r="F44" s="23" t="s">
        <v>260</v>
      </c>
    </row>
  </sheetData>
  <autoFilter ref="A4:F44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402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4" t="s">
        <v>14</v>
      </c>
      <c r="B6" s="14" t="s">
        <v>78</v>
      </c>
      <c r="C6" s="19" t="s">
        <v>225</v>
      </c>
      <c r="D6" s="14" t="s">
        <v>226</v>
      </c>
      <c r="E6" s="19" t="s">
        <v>227</v>
      </c>
      <c r="F6" s="20" t="s">
        <v>180</v>
      </c>
    </row>
    <row r="7" spans="1:6" x14ac:dyDescent="0.25">
      <c r="A7" s="14" t="s">
        <v>14</v>
      </c>
      <c r="B7" s="14" t="s">
        <v>88</v>
      </c>
      <c r="C7" s="19" t="s">
        <v>228</v>
      </c>
      <c r="D7" s="14" t="s">
        <v>229</v>
      </c>
      <c r="E7" s="19" t="s">
        <v>230</v>
      </c>
      <c r="F7" s="20" t="s">
        <v>180</v>
      </c>
    </row>
    <row r="8" spans="1:6" x14ac:dyDescent="0.25">
      <c r="A8" s="14" t="s">
        <v>14</v>
      </c>
      <c r="B8" s="14" t="s">
        <v>88</v>
      </c>
      <c r="C8" s="19" t="s">
        <v>231</v>
      </c>
      <c r="D8" s="14" t="s">
        <v>232</v>
      </c>
      <c r="E8" s="19" t="s">
        <v>230</v>
      </c>
      <c r="F8" s="20" t="s">
        <v>180</v>
      </c>
    </row>
    <row r="9" spans="1:6" x14ac:dyDescent="0.25">
      <c r="A9" s="14" t="s">
        <v>14</v>
      </c>
      <c r="B9" s="14" t="s">
        <v>92</v>
      </c>
      <c r="C9" s="19" t="s">
        <v>234</v>
      </c>
      <c r="D9" s="14" t="s">
        <v>235</v>
      </c>
      <c r="E9" s="19" t="s">
        <v>236</v>
      </c>
      <c r="F9" s="20" t="s">
        <v>180</v>
      </c>
    </row>
    <row r="10" spans="1:6" x14ac:dyDescent="0.25">
      <c r="A10" s="14" t="s">
        <v>14</v>
      </c>
      <c r="B10" s="14" t="s">
        <v>96</v>
      </c>
      <c r="C10" s="19" t="s">
        <v>238</v>
      </c>
      <c r="D10" s="14" t="s">
        <v>239</v>
      </c>
      <c r="E10" s="19" t="s">
        <v>240</v>
      </c>
      <c r="F10" s="14" t="s">
        <v>6</v>
      </c>
    </row>
    <row r="11" spans="1:6" x14ac:dyDescent="0.25">
      <c r="A11" s="14" t="s">
        <v>14</v>
      </c>
      <c r="B11" s="14" t="s">
        <v>96</v>
      </c>
      <c r="C11" s="19" t="s">
        <v>241</v>
      </c>
      <c r="D11" s="14" t="s">
        <v>239</v>
      </c>
      <c r="E11" s="19" t="s">
        <v>242</v>
      </c>
      <c r="F11" s="14" t="s">
        <v>6</v>
      </c>
    </row>
    <row r="12" spans="1:6" x14ac:dyDescent="0.25">
      <c r="A12" s="14" t="s">
        <v>14</v>
      </c>
      <c r="B12" s="14" t="s">
        <v>102</v>
      </c>
      <c r="C12" s="19" t="s">
        <v>244</v>
      </c>
      <c r="D12" s="14" t="s">
        <v>245</v>
      </c>
      <c r="E12" s="19" t="s">
        <v>246</v>
      </c>
      <c r="F12" s="20" t="s">
        <v>180</v>
      </c>
    </row>
    <row r="13" spans="1:6" x14ac:dyDescent="0.25">
      <c r="A13" s="14" t="s">
        <v>14</v>
      </c>
      <c r="B13" s="14" t="s">
        <v>102</v>
      </c>
      <c r="C13" s="19" t="s">
        <v>247</v>
      </c>
      <c r="D13" s="14" t="s">
        <v>245</v>
      </c>
      <c r="E13" s="19" t="s">
        <v>246</v>
      </c>
      <c r="F13" s="20" t="s">
        <v>180</v>
      </c>
    </row>
    <row r="14" spans="1:6" x14ac:dyDescent="0.25">
      <c r="A14" s="14" t="s">
        <v>14</v>
      </c>
      <c r="B14" s="14" t="s">
        <v>102</v>
      </c>
      <c r="C14" s="19" t="s">
        <v>248</v>
      </c>
      <c r="D14" s="14" t="s">
        <v>183</v>
      </c>
      <c r="E14" s="19" t="s">
        <v>246</v>
      </c>
      <c r="F14" s="20" t="s">
        <v>180</v>
      </c>
    </row>
    <row r="15" spans="1:6" x14ac:dyDescent="0.25">
      <c r="A15" s="14" t="s">
        <v>14</v>
      </c>
      <c r="B15" s="14" t="s">
        <v>104</v>
      </c>
      <c r="C15" s="19" t="s">
        <v>249</v>
      </c>
      <c r="D15" s="14" t="s">
        <v>250</v>
      </c>
      <c r="E15" s="19" t="s">
        <v>251</v>
      </c>
      <c r="F15" s="20" t="s">
        <v>180</v>
      </c>
    </row>
    <row r="16" spans="1:6" x14ac:dyDescent="0.25">
      <c r="A16" s="14" t="s">
        <v>14</v>
      </c>
      <c r="B16" s="14" t="s">
        <v>106</v>
      </c>
      <c r="C16" s="19" t="s">
        <v>252</v>
      </c>
      <c r="D16" s="14" t="s">
        <v>253</v>
      </c>
      <c r="E16" s="19" t="s">
        <v>254</v>
      </c>
      <c r="F16" s="20" t="s">
        <v>180</v>
      </c>
    </row>
    <row r="17" spans="1:6" x14ac:dyDescent="0.25">
      <c r="A17" s="14" t="s">
        <v>14</v>
      </c>
      <c r="B17" s="14" t="s">
        <v>120</v>
      </c>
      <c r="C17" s="19" t="s">
        <v>327</v>
      </c>
      <c r="D17" s="14" t="s">
        <v>268</v>
      </c>
      <c r="E17" s="19" t="s">
        <v>328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329</v>
      </c>
      <c r="D18" s="21" t="s">
        <v>330</v>
      </c>
      <c r="E18" s="22" t="s">
        <v>6</v>
      </c>
      <c r="F18" s="23" t="s">
        <v>260</v>
      </c>
    </row>
    <row r="19" spans="1:6" x14ac:dyDescent="0.25">
      <c r="A19" s="14" t="s">
        <v>14</v>
      </c>
      <c r="B19" s="14" t="s">
        <v>126</v>
      </c>
      <c r="C19" s="19" t="s">
        <v>331</v>
      </c>
      <c r="D19" s="14" t="s">
        <v>332</v>
      </c>
      <c r="E19" s="19" t="s">
        <v>333</v>
      </c>
      <c r="F19" s="20" t="s">
        <v>180</v>
      </c>
    </row>
    <row r="20" spans="1:6" x14ac:dyDescent="0.25">
      <c r="A20" s="14" t="s">
        <v>14</v>
      </c>
      <c r="B20" s="14" t="s">
        <v>126</v>
      </c>
      <c r="C20" s="19" t="s">
        <v>334</v>
      </c>
      <c r="D20" s="14" t="s">
        <v>332</v>
      </c>
      <c r="E20" s="19" t="s">
        <v>335</v>
      </c>
      <c r="F20" s="20" t="s">
        <v>180</v>
      </c>
    </row>
    <row r="21" spans="1:6" x14ac:dyDescent="0.25">
      <c r="A21" s="14" t="s">
        <v>14</v>
      </c>
      <c r="B21" s="14" t="s">
        <v>126</v>
      </c>
      <c r="C21" s="19" t="s">
        <v>336</v>
      </c>
      <c r="D21" s="14" t="s">
        <v>332</v>
      </c>
      <c r="E21" s="19" t="s">
        <v>337</v>
      </c>
      <c r="F21" s="20" t="s">
        <v>180</v>
      </c>
    </row>
    <row r="22" spans="1:6" x14ac:dyDescent="0.25">
      <c r="A22" s="14" t="s">
        <v>14</v>
      </c>
      <c r="B22" s="14" t="s">
        <v>126</v>
      </c>
      <c r="C22" s="19" t="s">
        <v>338</v>
      </c>
      <c r="D22" s="14" t="s">
        <v>332</v>
      </c>
      <c r="E22" s="19" t="s">
        <v>339</v>
      </c>
      <c r="F22" s="20" t="s">
        <v>180</v>
      </c>
    </row>
    <row r="23" spans="1:6" x14ac:dyDescent="0.25">
      <c r="A23" s="24" t="s">
        <v>15</v>
      </c>
      <c r="B23" s="24" t="s">
        <v>82</v>
      </c>
      <c r="C23" s="25" t="s">
        <v>375</v>
      </c>
      <c r="D23" s="24" t="s">
        <v>376</v>
      </c>
      <c r="E23" s="25" t="s">
        <v>377</v>
      </c>
      <c r="F23" s="24" t="s">
        <v>6</v>
      </c>
    </row>
    <row r="24" spans="1:6" x14ac:dyDescent="0.25">
      <c r="A24" s="24" t="s">
        <v>15</v>
      </c>
      <c r="B24" s="24" t="s">
        <v>90</v>
      </c>
      <c r="C24" s="25" t="s">
        <v>378</v>
      </c>
      <c r="D24" s="24" t="s">
        <v>183</v>
      </c>
      <c r="E24" s="25" t="s">
        <v>379</v>
      </c>
      <c r="F24" s="24" t="s">
        <v>6</v>
      </c>
    </row>
    <row r="25" spans="1:6" x14ac:dyDescent="0.25">
      <c r="A25" s="24" t="s">
        <v>15</v>
      </c>
      <c r="B25" s="24" t="s">
        <v>100</v>
      </c>
      <c r="C25" s="25" t="s">
        <v>380</v>
      </c>
      <c r="D25" s="24" t="s">
        <v>381</v>
      </c>
      <c r="E25" s="25" t="s">
        <v>382</v>
      </c>
      <c r="F25" s="24" t="s">
        <v>6</v>
      </c>
    </row>
    <row r="26" spans="1:6" x14ac:dyDescent="0.25">
      <c r="A26" s="24" t="s">
        <v>15</v>
      </c>
      <c r="B26" s="24" t="s">
        <v>108</v>
      </c>
      <c r="C26" s="25" t="s">
        <v>383</v>
      </c>
      <c r="D26" s="24" t="s">
        <v>384</v>
      </c>
      <c r="E26" s="25" t="s">
        <v>385</v>
      </c>
      <c r="F26" s="26" t="s">
        <v>180</v>
      </c>
    </row>
    <row r="27" spans="1:6" x14ac:dyDescent="0.25">
      <c r="A27" s="24" t="s">
        <v>15</v>
      </c>
      <c r="B27" s="24" t="s">
        <v>108</v>
      </c>
      <c r="C27" s="25" t="s">
        <v>386</v>
      </c>
      <c r="D27" s="24" t="s">
        <v>387</v>
      </c>
      <c r="E27" s="25" t="s">
        <v>385</v>
      </c>
      <c r="F27" s="26" t="s">
        <v>180</v>
      </c>
    </row>
    <row r="28" spans="1:6" x14ac:dyDescent="0.25">
      <c r="A28" s="24" t="s">
        <v>15</v>
      </c>
      <c r="B28" s="24" t="s">
        <v>108</v>
      </c>
      <c r="C28" s="25" t="s">
        <v>388</v>
      </c>
      <c r="D28" s="24" t="s">
        <v>389</v>
      </c>
      <c r="E28" s="25" t="s">
        <v>385</v>
      </c>
      <c r="F28" s="26" t="s">
        <v>180</v>
      </c>
    </row>
    <row r="29" spans="1:6" x14ac:dyDescent="0.25">
      <c r="A29" s="24" t="s">
        <v>15</v>
      </c>
      <c r="B29" s="24" t="s">
        <v>108</v>
      </c>
      <c r="C29" s="25" t="s">
        <v>390</v>
      </c>
      <c r="D29" s="24" t="s">
        <v>391</v>
      </c>
      <c r="E29" s="25" t="s">
        <v>385</v>
      </c>
      <c r="F29" s="26" t="s">
        <v>180</v>
      </c>
    </row>
    <row r="30" spans="1:6" x14ac:dyDescent="0.25">
      <c r="A30" s="24" t="s">
        <v>15</v>
      </c>
      <c r="B30" s="24" t="s">
        <v>108</v>
      </c>
      <c r="C30" s="25" t="s">
        <v>392</v>
      </c>
      <c r="D30" s="24" t="s">
        <v>393</v>
      </c>
      <c r="E30" s="25" t="s">
        <v>385</v>
      </c>
      <c r="F30" s="26" t="s">
        <v>180</v>
      </c>
    </row>
    <row r="31" spans="1:6" x14ac:dyDescent="0.25">
      <c r="A31" s="24" t="s">
        <v>15</v>
      </c>
      <c r="B31" s="24" t="s">
        <v>128</v>
      </c>
      <c r="C31" s="25" t="s">
        <v>394</v>
      </c>
      <c r="D31" s="24" t="s">
        <v>395</v>
      </c>
      <c r="E31" s="25" t="s">
        <v>396</v>
      </c>
      <c r="F31" s="26" t="s">
        <v>180</v>
      </c>
    </row>
  </sheetData>
  <autoFilter ref="A4:F3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6" r:id="rId17"/>
    <hyperlink ref="F27" r:id="rId18"/>
    <hyperlink ref="F28" r:id="rId19"/>
    <hyperlink ref="F29" r:id="rId20"/>
    <hyperlink ref="F30" r:id="rId21"/>
    <hyperlink ref="F31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403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19" t="s">
        <v>189</v>
      </c>
      <c r="D6" s="14" t="s">
        <v>190</v>
      </c>
      <c r="E6" s="19" t="s">
        <v>191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192</v>
      </c>
      <c r="D7" s="14" t="s">
        <v>193</v>
      </c>
      <c r="E7" s="19" t="s">
        <v>191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194</v>
      </c>
      <c r="D8" s="14" t="s">
        <v>195</v>
      </c>
      <c r="E8" s="19" t="s">
        <v>191</v>
      </c>
      <c r="F8" s="14" t="s">
        <v>6</v>
      </c>
    </row>
    <row r="9" spans="1:6" x14ac:dyDescent="0.25">
      <c r="A9" s="14" t="s">
        <v>14</v>
      </c>
      <c r="B9" s="14" t="s">
        <v>31</v>
      </c>
      <c r="C9" s="19" t="s">
        <v>196</v>
      </c>
      <c r="D9" s="14" t="s">
        <v>197</v>
      </c>
      <c r="E9" s="19" t="s">
        <v>191</v>
      </c>
      <c r="F9" s="14" t="s">
        <v>6</v>
      </c>
    </row>
    <row r="10" spans="1:6" x14ac:dyDescent="0.25">
      <c r="A10" s="14" t="s">
        <v>14</v>
      </c>
      <c r="B10" s="14" t="s">
        <v>31</v>
      </c>
      <c r="C10" s="19" t="s">
        <v>198</v>
      </c>
      <c r="D10" s="14" t="s">
        <v>199</v>
      </c>
      <c r="E10" s="19" t="s">
        <v>191</v>
      </c>
      <c r="F10" s="14" t="s">
        <v>6</v>
      </c>
    </row>
    <row r="11" spans="1:6" x14ac:dyDescent="0.25">
      <c r="A11" s="14" t="s">
        <v>14</v>
      </c>
      <c r="B11" s="14" t="s">
        <v>31</v>
      </c>
      <c r="C11" s="19" t="s">
        <v>200</v>
      </c>
      <c r="D11" s="14" t="s">
        <v>201</v>
      </c>
      <c r="E11" s="19" t="s">
        <v>191</v>
      </c>
      <c r="F11" s="14" t="s">
        <v>6</v>
      </c>
    </row>
    <row r="12" spans="1:6" x14ac:dyDescent="0.25">
      <c r="A12" s="14" t="s">
        <v>14</v>
      </c>
      <c r="B12" s="14" t="s">
        <v>31</v>
      </c>
      <c r="C12" s="19" t="s">
        <v>202</v>
      </c>
      <c r="D12" s="14" t="s">
        <v>203</v>
      </c>
      <c r="E12" s="19" t="s">
        <v>191</v>
      </c>
      <c r="F12" s="14" t="s">
        <v>6</v>
      </c>
    </row>
    <row r="13" spans="1:6" x14ac:dyDescent="0.25">
      <c r="A13" s="14" t="s">
        <v>14</v>
      </c>
      <c r="B13" s="14" t="s">
        <v>31</v>
      </c>
      <c r="C13" s="19" t="s">
        <v>204</v>
      </c>
      <c r="D13" s="14" t="s">
        <v>205</v>
      </c>
      <c r="E13" s="19" t="s">
        <v>191</v>
      </c>
      <c r="F13" s="14" t="s">
        <v>6</v>
      </c>
    </row>
    <row r="14" spans="1:6" x14ac:dyDescent="0.25">
      <c r="A14" s="14" t="s">
        <v>14</v>
      </c>
      <c r="B14" s="14" t="s">
        <v>31</v>
      </c>
      <c r="C14" s="19" t="s">
        <v>206</v>
      </c>
      <c r="D14" s="14" t="s">
        <v>207</v>
      </c>
      <c r="E14" s="19" t="s">
        <v>191</v>
      </c>
      <c r="F14" s="14" t="s">
        <v>6</v>
      </c>
    </row>
    <row r="15" spans="1:6" x14ac:dyDescent="0.25">
      <c r="A15" s="14" t="s">
        <v>14</v>
      </c>
      <c r="B15" s="14" t="s">
        <v>31</v>
      </c>
      <c r="C15" s="19" t="s">
        <v>208</v>
      </c>
      <c r="D15" s="14" t="s">
        <v>209</v>
      </c>
      <c r="E15" s="19" t="s">
        <v>191</v>
      </c>
      <c r="F15" s="14" t="s">
        <v>6</v>
      </c>
    </row>
    <row r="16" spans="1:6" x14ac:dyDescent="0.25">
      <c r="A16" s="14" t="s">
        <v>14</v>
      </c>
      <c r="B16" s="14" t="s">
        <v>31</v>
      </c>
      <c r="C16" s="19" t="s">
        <v>210</v>
      </c>
      <c r="D16" s="14" t="s">
        <v>211</v>
      </c>
      <c r="E16" s="19" t="s">
        <v>191</v>
      </c>
      <c r="F16" s="14" t="s">
        <v>6</v>
      </c>
    </row>
    <row r="17" spans="1:6" x14ac:dyDescent="0.25">
      <c r="A17" s="14" t="s">
        <v>14</v>
      </c>
      <c r="B17" s="14" t="s">
        <v>31</v>
      </c>
      <c r="C17" s="19" t="s">
        <v>212</v>
      </c>
      <c r="D17" s="14" t="s">
        <v>213</v>
      </c>
      <c r="E17" s="19" t="s">
        <v>191</v>
      </c>
      <c r="F17" s="14" t="s">
        <v>6</v>
      </c>
    </row>
    <row r="18" spans="1:6" x14ac:dyDescent="0.25">
      <c r="A18" s="24" t="s">
        <v>15</v>
      </c>
      <c r="B18" s="24" t="s">
        <v>54</v>
      </c>
      <c r="C18" s="25" t="s">
        <v>369</v>
      </c>
      <c r="D18" s="24" t="s">
        <v>370</v>
      </c>
      <c r="E18" s="25" t="s">
        <v>371</v>
      </c>
      <c r="F18" s="26" t="s">
        <v>180</v>
      </c>
    </row>
    <row r="19" spans="1:6" x14ac:dyDescent="0.25">
      <c r="A19" s="24" t="s">
        <v>15</v>
      </c>
      <c r="B19" s="24" t="s">
        <v>56</v>
      </c>
      <c r="C19" s="25" t="s">
        <v>372</v>
      </c>
      <c r="D19" s="24" t="s">
        <v>373</v>
      </c>
      <c r="E19" s="25" t="s">
        <v>374</v>
      </c>
      <c r="F19" s="24" t="s">
        <v>6</v>
      </c>
    </row>
  </sheetData>
  <autoFilter ref="A4:F19"/>
  <mergeCells count="1">
    <mergeCell ref="A1:F1"/>
  </mergeCells>
  <hyperlinks>
    <hyperlink ref="F5" r:id="rId1"/>
    <hyperlink ref="F18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404</v>
      </c>
      <c r="B1" s="5" t="s">
        <v>405</v>
      </c>
      <c r="C1" s="5" t="s">
        <v>406</v>
      </c>
      <c r="D1" s="5" t="s">
        <v>407</v>
      </c>
      <c r="E1" s="5" t="s">
        <v>408</v>
      </c>
      <c r="F1" s="5" t="s">
        <v>409</v>
      </c>
      <c r="G1" s="5" t="s">
        <v>410</v>
      </c>
    </row>
    <row r="2" spans="1:7" x14ac:dyDescent="0.25">
      <c r="A2" s="10" t="s">
        <v>411</v>
      </c>
      <c r="B2" s="30">
        <v>136036</v>
      </c>
      <c r="C2" s="30">
        <v>130050</v>
      </c>
      <c r="D2" s="30">
        <v>5986</v>
      </c>
      <c r="E2" s="31" t="s">
        <v>412</v>
      </c>
      <c r="F2" s="10" t="s">
        <v>6</v>
      </c>
      <c r="G2" s="32" t="s">
        <v>413</v>
      </c>
    </row>
    <row r="3" spans="1:7" x14ac:dyDescent="0.25">
      <c r="A3" s="10" t="s">
        <v>414</v>
      </c>
      <c r="B3" s="30">
        <v>1368261</v>
      </c>
      <c r="C3" s="30">
        <v>3423086</v>
      </c>
      <c r="D3" s="33">
        <v>-2054825</v>
      </c>
      <c r="E3" s="31" t="s">
        <v>415</v>
      </c>
      <c r="F3" s="10" t="s">
        <v>416</v>
      </c>
      <c r="G3" s="32" t="s">
        <v>413</v>
      </c>
    </row>
    <row r="4" spans="1:7" x14ac:dyDescent="0.25">
      <c r="A4" s="10" t="s">
        <v>417</v>
      </c>
      <c r="B4" s="30">
        <v>1357208</v>
      </c>
      <c r="C4" s="30">
        <v>1406177</v>
      </c>
      <c r="D4" s="30">
        <v>-48969</v>
      </c>
      <c r="E4" s="31" t="s">
        <v>418</v>
      </c>
      <c r="F4" s="10" t="s">
        <v>6</v>
      </c>
      <c r="G4" s="32" t="s">
        <v>413</v>
      </c>
    </row>
    <row r="5" spans="1:7" x14ac:dyDescent="0.25">
      <c r="A5" s="10" t="s">
        <v>419</v>
      </c>
      <c r="B5" s="30">
        <v>1507624</v>
      </c>
      <c r="C5" s="30">
        <v>1205912</v>
      </c>
      <c r="D5" s="30">
        <v>301712</v>
      </c>
      <c r="E5" s="31" t="s">
        <v>420</v>
      </c>
      <c r="F5" s="10" t="s">
        <v>6</v>
      </c>
      <c r="G5" s="32" t="s">
        <v>413</v>
      </c>
    </row>
    <row r="6" spans="1:7" x14ac:dyDescent="0.25">
      <c r="A6" s="10" t="s">
        <v>421</v>
      </c>
      <c r="B6" s="30">
        <v>2230740</v>
      </c>
      <c r="C6" s="30">
        <v>2230740</v>
      </c>
      <c r="D6" s="30">
        <v>0</v>
      </c>
      <c r="E6" s="31" t="s">
        <v>422</v>
      </c>
      <c r="F6" s="10" t="s">
        <v>6</v>
      </c>
      <c r="G6" s="32" t="s">
        <v>413</v>
      </c>
    </row>
    <row r="7" spans="1:7" x14ac:dyDescent="0.25">
      <c r="A7" s="10" t="s">
        <v>423</v>
      </c>
      <c r="B7" s="30">
        <v>5346390</v>
      </c>
      <c r="C7" s="30">
        <v>5601734</v>
      </c>
      <c r="D7" s="30">
        <v>-255344</v>
      </c>
      <c r="E7" s="31" t="s">
        <v>424</v>
      </c>
      <c r="F7" s="10" t="s">
        <v>6</v>
      </c>
      <c r="G7" s="32" t="s">
        <v>413</v>
      </c>
    </row>
    <row r="8" spans="1:7" x14ac:dyDescent="0.25">
      <c r="A8" s="10" t="s">
        <v>425</v>
      </c>
      <c r="B8" s="30">
        <v>1878290</v>
      </c>
      <c r="C8" s="30">
        <v>2342487</v>
      </c>
      <c r="D8" s="30">
        <v>-464197</v>
      </c>
      <c r="E8" s="31" t="s">
        <v>426</v>
      </c>
      <c r="F8" s="10" t="s">
        <v>6</v>
      </c>
      <c r="G8" s="32" t="s">
        <v>413</v>
      </c>
    </row>
    <row r="9" spans="1:7" x14ac:dyDescent="0.25">
      <c r="A9" s="10" t="s">
        <v>427</v>
      </c>
      <c r="B9" s="30">
        <v>3444588</v>
      </c>
      <c r="C9" s="30">
        <v>932816</v>
      </c>
      <c r="D9" s="33">
        <v>2511772</v>
      </c>
      <c r="E9" s="31" t="s">
        <v>428</v>
      </c>
      <c r="F9" s="10" t="s">
        <v>416</v>
      </c>
      <c r="G9" s="32" t="s">
        <v>413</v>
      </c>
    </row>
    <row r="10" spans="1:7" x14ac:dyDescent="0.25">
      <c r="A10" s="10" t="s">
        <v>429</v>
      </c>
      <c r="B10" s="30">
        <v>892</v>
      </c>
      <c r="C10" s="30">
        <v>1922799</v>
      </c>
      <c r="D10" s="33">
        <v>-1921907</v>
      </c>
      <c r="E10" s="31" t="s">
        <v>430</v>
      </c>
      <c r="F10" s="10" t="s">
        <v>416</v>
      </c>
      <c r="G10" s="32" t="s">
        <v>413</v>
      </c>
    </row>
    <row r="11" spans="1:7" x14ac:dyDescent="0.25">
      <c r="A11" s="10" t="s">
        <v>431</v>
      </c>
      <c r="B11" s="30">
        <v>231312</v>
      </c>
      <c r="C11" s="30">
        <v>229849</v>
      </c>
      <c r="D11" s="30">
        <v>1463</v>
      </c>
      <c r="E11" s="31" t="s">
        <v>432</v>
      </c>
      <c r="F11" s="10" t="s">
        <v>6</v>
      </c>
      <c r="G11" s="32" t="s">
        <v>413</v>
      </c>
    </row>
    <row r="12" spans="1:7" x14ac:dyDescent="0.25">
      <c r="A12" s="10" t="s">
        <v>433</v>
      </c>
      <c r="B12" s="30">
        <v>0</v>
      </c>
      <c r="C12" s="30">
        <v>0</v>
      </c>
      <c r="D12" s="30">
        <v>0</v>
      </c>
      <c r="E12" s="31" t="s">
        <v>6</v>
      </c>
      <c r="F12" s="10" t="s">
        <v>6</v>
      </c>
      <c r="G12" s="32" t="s">
        <v>413</v>
      </c>
    </row>
    <row r="13" spans="1:7" x14ac:dyDescent="0.25">
      <c r="A13" s="10" t="s">
        <v>434</v>
      </c>
      <c r="B13" s="30">
        <v>0</v>
      </c>
      <c r="C13" s="30">
        <v>0</v>
      </c>
      <c r="D13" s="30">
        <v>0</v>
      </c>
      <c r="E13" s="31" t="s">
        <v>6</v>
      </c>
      <c r="F13" s="10" t="s">
        <v>6</v>
      </c>
      <c r="G13" s="32" t="s">
        <v>413</v>
      </c>
    </row>
    <row r="14" spans="1:7" x14ac:dyDescent="0.25">
      <c r="A14" s="10" t="s">
        <v>435</v>
      </c>
      <c r="B14" s="30">
        <v>0</v>
      </c>
      <c r="C14" s="30">
        <v>0</v>
      </c>
      <c r="D14" s="30">
        <v>0</v>
      </c>
      <c r="E14" s="31" t="s">
        <v>6</v>
      </c>
      <c r="F14" s="10" t="s">
        <v>6</v>
      </c>
      <c r="G14" s="32" t="s">
        <v>413</v>
      </c>
    </row>
    <row r="15" spans="1:7" x14ac:dyDescent="0.25">
      <c r="A15" s="10" t="s">
        <v>436</v>
      </c>
      <c r="B15" s="30">
        <v>158000</v>
      </c>
      <c r="C15" s="30">
        <v>158000</v>
      </c>
      <c r="D15" s="30">
        <v>0</v>
      </c>
      <c r="E15" s="31" t="s">
        <v>422</v>
      </c>
      <c r="F15" s="10" t="s">
        <v>6</v>
      </c>
      <c r="G15" s="32" t="s">
        <v>413</v>
      </c>
    </row>
    <row r="16" spans="1:7" x14ac:dyDescent="0.25">
      <c r="A16" s="10" t="s">
        <v>437</v>
      </c>
      <c r="B16" s="30">
        <v>0</v>
      </c>
      <c r="C16" s="30">
        <v>0</v>
      </c>
      <c r="D16" s="30">
        <v>0</v>
      </c>
      <c r="E16" s="31" t="s">
        <v>6</v>
      </c>
      <c r="F16" s="10" t="s">
        <v>6</v>
      </c>
      <c r="G16" s="32" t="s">
        <v>413</v>
      </c>
    </row>
    <row r="17" spans="1:7" x14ac:dyDescent="0.25">
      <c r="A17" s="10" t="s">
        <v>438</v>
      </c>
      <c r="B17" s="30">
        <v>0</v>
      </c>
      <c r="C17" s="30">
        <v>0</v>
      </c>
      <c r="D17" s="30">
        <v>0</v>
      </c>
      <c r="E17" s="31" t="s">
        <v>6</v>
      </c>
      <c r="F17" s="10" t="s">
        <v>6</v>
      </c>
      <c r="G17" s="32" t="s">
        <v>413</v>
      </c>
    </row>
    <row r="18" spans="1:7" x14ac:dyDescent="0.25">
      <c r="A18" s="10" t="s">
        <v>439</v>
      </c>
      <c r="B18" s="30">
        <v>517013</v>
      </c>
      <c r="C18" s="30">
        <v>526034</v>
      </c>
      <c r="D18" s="30">
        <v>-9021</v>
      </c>
      <c r="E18" s="31" t="s">
        <v>440</v>
      </c>
      <c r="F18" s="10" t="s">
        <v>6</v>
      </c>
      <c r="G18" s="32" t="s">
        <v>413</v>
      </c>
    </row>
    <row r="19" spans="1:7" x14ac:dyDescent="0.25">
      <c r="A19" s="10" t="s">
        <v>441</v>
      </c>
      <c r="B19" s="30">
        <v>443760</v>
      </c>
      <c r="C19" s="30">
        <v>446308</v>
      </c>
      <c r="D19" s="30">
        <v>-2548</v>
      </c>
      <c r="E19" s="31" t="s">
        <v>442</v>
      </c>
      <c r="F19" s="10" t="s">
        <v>6</v>
      </c>
      <c r="G19" s="32" t="s">
        <v>413</v>
      </c>
    </row>
    <row r="20" spans="1:7" x14ac:dyDescent="0.25">
      <c r="A20" s="10" t="s">
        <v>443</v>
      </c>
      <c r="B20" s="30">
        <v>2964097</v>
      </c>
      <c r="C20" s="30">
        <v>3059602</v>
      </c>
      <c r="D20" s="30">
        <v>-95505</v>
      </c>
      <c r="E20" s="31" t="s">
        <v>444</v>
      </c>
      <c r="F20" s="10" t="s">
        <v>6</v>
      </c>
      <c r="G20" s="32" t="s">
        <v>413</v>
      </c>
    </row>
    <row r="21" spans="1:7" x14ac:dyDescent="0.25">
      <c r="A21" s="10" t="s">
        <v>445</v>
      </c>
      <c r="B21" s="30">
        <v>3162137</v>
      </c>
      <c r="C21" s="30">
        <v>3355736</v>
      </c>
      <c r="D21" s="30">
        <v>-193599</v>
      </c>
      <c r="E21" s="31" t="s">
        <v>446</v>
      </c>
      <c r="F21" s="10" t="s">
        <v>6</v>
      </c>
      <c r="G21" s="32" t="s">
        <v>413</v>
      </c>
    </row>
    <row r="22" spans="1:7" x14ac:dyDescent="0.25">
      <c r="A22" s="10" t="s">
        <v>447</v>
      </c>
      <c r="B22" s="30">
        <v>3143403</v>
      </c>
      <c r="C22" s="30">
        <v>3143403</v>
      </c>
      <c r="D22" s="30">
        <v>0</v>
      </c>
      <c r="E22" s="31" t="s">
        <v>422</v>
      </c>
      <c r="F22" s="10" t="s">
        <v>6</v>
      </c>
      <c r="G22" s="32" t="s">
        <v>413</v>
      </c>
    </row>
    <row r="23" spans="1:7" x14ac:dyDescent="0.25">
      <c r="A23" s="10" t="s">
        <v>448</v>
      </c>
      <c r="B23" s="30">
        <v>60000</v>
      </c>
      <c r="C23" s="30">
        <v>60000</v>
      </c>
      <c r="D23" s="30">
        <v>0</v>
      </c>
      <c r="E23" s="31" t="s">
        <v>422</v>
      </c>
      <c r="F23" s="10" t="s">
        <v>6</v>
      </c>
      <c r="G23" s="32" t="s">
        <v>413</v>
      </c>
    </row>
    <row r="24" spans="1:7" x14ac:dyDescent="0.25">
      <c r="A24" s="10" t="s">
        <v>449</v>
      </c>
      <c r="B24" s="30">
        <v>504000</v>
      </c>
      <c r="C24" s="30">
        <v>504000</v>
      </c>
      <c r="D24" s="30">
        <v>0</v>
      </c>
      <c r="E24" s="31" t="s">
        <v>422</v>
      </c>
      <c r="F24" s="10" t="s">
        <v>6</v>
      </c>
      <c r="G24" s="32" t="s">
        <v>413</v>
      </c>
    </row>
    <row r="25" spans="1:7" x14ac:dyDescent="0.25">
      <c r="A25" s="10" t="s">
        <v>450</v>
      </c>
      <c r="B25" s="30">
        <v>8949352</v>
      </c>
      <c r="C25" s="30">
        <v>9121935</v>
      </c>
      <c r="D25" s="30">
        <v>-172583</v>
      </c>
      <c r="E25" s="31" t="s">
        <v>451</v>
      </c>
      <c r="F25" s="10" t="s">
        <v>6</v>
      </c>
      <c r="G25" s="32" t="s">
        <v>413</v>
      </c>
    </row>
    <row r="26" spans="1:7" x14ac:dyDescent="0.25">
      <c r="A26" s="10" t="s">
        <v>452</v>
      </c>
      <c r="B26" s="30">
        <v>12010</v>
      </c>
      <c r="C26" s="30">
        <v>12010</v>
      </c>
      <c r="D26" s="30">
        <v>0</v>
      </c>
      <c r="E26" s="31" t="s">
        <v>422</v>
      </c>
      <c r="F26" s="10" t="s">
        <v>6</v>
      </c>
      <c r="G26" s="32" t="s">
        <v>413</v>
      </c>
    </row>
    <row r="27" spans="1:7" x14ac:dyDescent="0.25">
      <c r="A27" s="10" t="s">
        <v>453</v>
      </c>
      <c r="B27" s="30">
        <v>1740000</v>
      </c>
      <c r="C27" s="30">
        <v>1710000</v>
      </c>
      <c r="D27" s="30">
        <v>30000</v>
      </c>
      <c r="E27" s="31" t="s">
        <v>454</v>
      </c>
      <c r="F27" s="10" t="s">
        <v>6</v>
      </c>
      <c r="G27" s="32" t="s">
        <v>413</v>
      </c>
    </row>
    <row r="28" spans="1:7" x14ac:dyDescent="0.25">
      <c r="A28" s="10" t="s">
        <v>455</v>
      </c>
      <c r="B28" s="30">
        <v>254692</v>
      </c>
      <c r="C28" s="30">
        <v>254692</v>
      </c>
      <c r="D28" s="30">
        <v>0</v>
      </c>
      <c r="E28" s="31" t="s">
        <v>422</v>
      </c>
      <c r="F28" s="10" t="s">
        <v>6</v>
      </c>
      <c r="G28" s="32" t="s">
        <v>413</v>
      </c>
    </row>
    <row r="29" spans="1:7" x14ac:dyDescent="0.25">
      <c r="A29" s="10" t="s">
        <v>456</v>
      </c>
      <c r="B29" s="30">
        <v>0</v>
      </c>
      <c r="C29" s="30">
        <v>0</v>
      </c>
      <c r="D29" s="30">
        <v>0</v>
      </c>
      <c r="E29" s="31" t="s">
        <v>6</v>
      </c>
      <c r="F29" s="10" t="s">
        <v>6</v>
      </c>
      <c r="G29" s="32" t="s">
        <v>413</v>
      </c>
    </row>
    <row r="30" spans="1:7" x14ac:dyDescent="0.25">
      <c r="A30" s="10" t="s">
        <v>457</v>
      </c>
      <c r="B30" s="30">
        <v>1229558</v>
      </c>
      <c r="C30" s="30">
        <v>1293558</v>
      </c>
      <c r="D30" s="30">
        <v>-64000</v>
      </c>
      <c r="E30" s="31" t="s">
        <v>458</v>
      </c>
      <c r="F30" s="10" t="s">
        <v>6</v>
      </c>
      <c r="G30" s="32" t="s">
        <v>413</v>
      </c>
    </row>
    <row r="31" spans="1:7" x14ac:dyDescent="0.25">
      <c r="A31" s="10" t="s">
        <v>459</v>
      </c>
      <c r="B31" s="30">
        <v>2112000</v>
      </c>
      <c r="C31" s="30">
        <v>5186734</v>
      </c>
      <c r="D31" s="33">
        <v>-3074734</v>
      </c>
      <c r="E31" s="31" t="s">
        <v>460</v>
      </c>
      <c r="F31" s="10" t="s">
        <v>416</v>
      </c>
      <c r="G31" s="32" t="s">
        <v>413</v>
      </c>
    </row>
    <row r="32" spans="1:7" x14ac:dyDescent="0.25">
      <c r="A32" s="10" t="s">
        <v>461</v>
      </c>
      <c r="B32" s="30">
        <v>12001</v>
      </c>
      <c r="C32" s="30">
        <v>12000</v>
      </c>
      <c r="D32" s="30">
        <v>1</v>
      </c>
      <c r="E32" s="31" t="s">
        <v>422</v>
      </c>
      <c r="F32" s="10" t="s">
        <v>6</v>
      </c>
      <c r="G32" s="32" t="s">
        <v>413</v>
      </c>
    </row>
    <row r="33" spans="1:7" x14ac:dyDescent="0.25">
      <c r="A33" s="10" t="s">
        <v>462</v>
      </c>
      <c r="B33" s="30">
        <v>7361</v>
      </c>
      <c r="C33" s="30">
        <v>7998</v>
      </c>
      <c r="D33" s="30">
        <v>-637</v>
      </c>
      <c r="E33" s="31" t="s">
        <v>463</v>
      </c>
      <c r="F33" s="10" t="s">
        <v>6</v>
      </c>
      <c r="G33" s="32" t="s">
        <v>413</v>
      </c>
    </row>
    <row r="34" spans="1:7" x14ac:dyDescent="0.25">
      <c r="A34" s="10" t="s">
        <v>464</v>
      </c>
      <c r="B34" s="30">
        <v>97085</v>
      </c>
      <c r="C34" s="30">
        <v>167206</v>
      </c>
      <c r="D34" s="30">
        <v>-70121</v>
      </c>
      <c r="E34" s="31" t="s">
        <v>465</v>
      </c>
      <c r="F34" s="10" t="s">
        <v>6</v>
      </c>
      <c r="G34" s="32" t="s">
        <v>413</v>
      </c>
    </row>
    <row r="35" spans="1:7" x14ac:dyDescent="0.25">
      <c r="A35" s="10" t="s">
        <v>466</v>
      </c>
      <c r="B35" s="30">
        <v>32598</v>
      </c>
      <c r="C35" s="30">
        <v>32848</v>
      </c>
      <c r="D35" s="30">
        <v>-250</v>
      </c>
      <c r="E35" s="31" t="s">
        <v>467</v>
      </c>
      <c r="F35" s="10" t="s">
        <v>6</v>
      </c>
      <c r="G35" s="32" t="s">
        <v>413</v>
      </c>
    </row>
    <row r="36" spans="1:7" x14ac:dyDescent="0.25">
      <c r="A36" s="10" t="s">
        <v>468</v>
      </c>
      <c r="B36" s="30">
        <v>29905</v>
      </c>
      <c r="C36" s="30">
        <v>29905</v>
      </c>
      <c r="D36" s="30">
        <v>0</v>
      </c>
      <c r="E36" s="31" t="s">
        <v>422</v>
      </c>
      <c r="F36" s="10" t="s">
        <v>6</v>
      </c>
      <c r="G36" s="32" t="s">
        <v>413</v>
      </c>
    </row>
    <row r="37" spans="1:7" x14ac:dyDescent="0.25">
      <c r="A37" s="10" t="s">
        <v>469</v>
      </c>
      <c r="B37" s="34">
        <v>-263646</v>
      </c>
      <c r="C37" s="30">
        <v>16399</v>
      </c>
      <c r="D37" s="30">
        <v>-280045</v>
      </c>
      <c r="E37" s="31" t="s">
        <v>470</v>
      </c>
      <c r="F37" s="10" t="s">
        <v>30</v>
      </c>
      <c r="G37" s="32" t="s">
        <v>413</v>
      </c>
    </row>
    <row r="38" spans="1:7" x14ac:dyDescent="0.25">
      <c r="A38" s="10" t="s">
        <v>471</v>
      </c>
      <c r="B38" s="30">
        <v>0</v>
      </c>
      <c r="C38" s="30">
        <v>0</v>
      </c>
      <c r="D38" s="30">
        <v>0</v>
      </c>
      <c r="E38" s="31" t="s">
        <v>6</v>
      </c>
      <c r="F38" s="10" t="s">
        <v>6</v>
      </c>
      <c r="G38" s="32" t="s">
        <v>413</v>
      </c>
    </row>
    <row r="39" spans="1:7" x14ac:dyDescent="0.25">
      <c r="A39" s="10" t="s">
        <v>472</v>
      </c>
      <c r="B39" s="34">
        <v>-672695</v>
      </c>
      <c r="C39" s="30">
        <v>22735</v>
      </c>
      <c r="D39" s="30">
        <v>-695430</v>
      </c>
      <c r="E39" s="31" t="s">
        <v>473</v>
      </c>
      <c r="F39" s="10" t="s">
        <v>30</v>
      </c>
      <c r="G39" s="32" t="s">
        <v>413</v>
      </c>
    </row>
    <row r="40" spans="1:7" x14ac:dyDescent="0.25">
      <c r="A40" s="10" t="s">
        <v>474</v>
      </c>
      <c r="B40" s="30">
        <v>401337</v>
      </c>
      <c r="C40" s="30">
        <v>401337</v>
      </c>
      <c r="D40" s="30">
        <v>0</v>
      </c>
      <c r="E40" s="31" t="s">
        <v>422</v>
      </c>
      <c r="F40" s="10" t="s">
        <v>6</v>
      </c>
      <c r="G40" s="32" t="s">
        <v>413</v>
      </c>
    </row>
    <row r="41" spans="1:7" x14ac:dyDescent="0.25">
      <c r="A41" s="10" t="s">
        <v>475</v>
      </c>
      <c r="B41" s="30">
        <v>78000</v>
      </c>
      <c r="C41" s="30">
        <v>78000</v>
      </c>
      <c r="D41" s="30">
        <v>0</v>
      </c>
      <c r="E41" s="31" t="s">
        <v>422</v>
      </c>
      <c r="F41" s="10" t="s">
        <v>6</v>
      </c>
      <c r="G41" s="32" t="s">
        <v>413</v>
      </c>
    </row>
    <row r="42" spans="1:7" x14ac:dyDescent="0.25">
      <c r="A42" s="10" t="s">
        <v>476</v>
      </c>
      <c r="B42" s="30">
        <v>0</v>
      </c>
      <c r="C42" s="30">
        <v>-2440000</v>
      </c>
      <c r="D42" s="33">
        <v>2440000</v>
      </c>
      <c r="E42" s="31" t="s">
        <v>477</v>
      </c>
      <c r="F42" s="10" t="s">
        <v>416</v>
      </c>
      <c r="G42" s="32" t="s">
        <v>413</v>
      </c>
    </row>
    <row r="43" spans="1:7" x14ac:dyDescent="0.25">
      <c r="A43" s="10" t="s">
        <v>478</v>
      </c>
      <c r="B43" s="30">
        <v>37518000</v>
      </c>
      <c r="C43" s="30">
        <v>38404000</v>
      </c>
      <c r="D43" s="30">
        <v>-886000</v>
      </c>
      <c r="E43" s="31" t="s">
        <v>479</v>
      </c>
      <c r="F43" s="10" t="s">
        <v>6</v>
      </c>
      <c r="G43" s="32" t="s">
        <v>413</v>
      </c>
    </row>
    <row r="44" spans="1:7" x14ac:dyDescent="0.25">
      <c r="A44" s="10" t="s">
        <v>480</v>
      </c>
      <c r="B44" s="30">
        <v>1600000</v>
      </c>
      <c r="C44" s="30">
        <v>1600000</v>
      </c>
      <c r="D44" s="30">
        <v>0</v>
      </c>
      <c r="E44" s="31" t="s">
        <v>422</v>
      </c>
      <c r="F44" s="10" t="s">
        <v>6</v>
      </c>
      <c r="G44" s="32" t="s">
        <v>413</v>
      </c>
    </row>
    <row r="45" spans="1:7" x14ac:dyDescent="0.25">
      <c r="A45" s="10" t="s">
        <v>481</v>
      </c>
      <c r="B45" s="30">
        <v>4967958</v>
      </c>
      <c r="C45" s="30">
        <v>4967958</v>
      </c>
      <c r="D45" s="30">
        <v>0</v>
      </c>
      <c r="E45" s="31" t="s">
        <v>422</v>
      </c>
      <c r="F45" s="10" t="s">
        <v>6</v>
      </c>
      <c r="G45" s="32" t="s">
        <v>413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51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35" t="s">
        <v>482</v>
      </c>
      <c r="B1" s="35"/>
      <c r="C1" s="35"/>
      <c r="D1" s="35"/>
      <c r="E1" s="35"/>
      <c r="F1" s="35"/>
      <c r="G1" s="35"/>
      <c r="H1" s="35"/>
    </row>
    <row r="3" ht="22" customHeight="1" spans="1:8" x14ac:dyDescent="0.25">
      <c r="A3" s="5" t="s">
        <v>404</v>
      </c>
      <c r="B3" s="5" t="s">
        <v>483</v>
      </c>
      <c r="C3" s="5" t="s">
        <v>484</v>
      </c>
      <c r="D3" s="5" t="s">
        <v>485</v>
      </c>
      <c r="E3" s="5" t="s">
        <v>486</v>
      </c>
      <c r="F3" s="36" t="s">
        <v>487</v>
      </c>
      <c r="G3" s="5" t="s">
        <v>488</v>
      </c>
      <c r="H3" s="5" t="s">
        <v>410</v>
      </c>
    </row>
    <row r="4" spans="1:8" x14ac:dyDescent="0.25">
      <c r="A4" s="10" t="s">
        <v>489</v>
      </c>
      <c r="B4" s="30">
        <v>3323100</v>
      </c>
      <c r="C4" s="30">
        <v>4996450</v>
      </c>
      <c r="D4" s="30">
        <v>3991230</v>
      </c>
      <c r="E4" s="30">
        <v>3685230</v>
      </c>
      <c r="F4" s="37">
        <v>1775800</v>
      </c>
      <c r="G4" s="38">
        <f>SUM(B4:F4)</f>
        <v>17771810</v>
      </c>
      <c r="H4" s="39"/>
    </row>
    <row r="5" spans="1:8" x14ac:dyDescent="0.25">
      <c r="A5" s="10" t="s">
        <v>490</v>
      </c>
      <c r="B5" s="30">
        <v>599213</v>
      </c>
      <c r="C5" s="30">
        <v>1563603</v>
      </c>
      <c r="D5" s="30">
        <v>1545574</v>
      </c>
      <c r="E5" s="30">
        <v>267168</v>
      </c>
      <c r="F5" s="37">
        <v>196911</v>
      </c>
      <c r="G5" s="38">
        <f>SUM(B5:F5)</f>
        <v>4172469</v>
      </c>
      <c r="H5" s="39"/>
    </row>
    <row r="6" spans="1:8" x14ac:dyDescent="0.25">
      <c r="A6" s="40" t="s">
        <v>491</v>
      </c>
      <c r="B6" s="41">
        <v>2723887</v>
      </c>
      <c r="C6" s="41">
        <v>3432847</v>
      </c>
      <c r="D6" s="41">
        <v>2445656</v>
      </c>
      <c r="E6" s="41">
        <v>3418062</v>
      </c>
      <c r="F6" s="41">
        <v>1578889</v>
      </c>
      <c r="G6" s="41">
        <f>SUM(B6:F6)</f>
        <v>13599341</v>
      </c>
      <c r="H6" s="42"/>
    </row>
    <row r="7" spans="1:8" x14ac:dyDescent="0.25">
      <c r="A7" s="10" t="s">
        <v>492</v>
      </c>
      <c r="B7" s="30">
        <f>HYPERLINK("https://secure.freee.co.jp/reports/general_ledgers/show?name=%E5%BD%B9%E5%93%A1%E5%A0%B1%E9%85%AC&amp;start_date=2025-11-01&amp;end_date=2025-11-30&amp;fiscal_year_id=10456857",800000)</f>
        <v>800000</v>
      </c>
      <c r="C7" s="30">
        <f>HYPERLINK("https://secure.freee.co.jp/reports/general_ledgers/show?name=%E5%BD%B9%E5%93%A1%E5%A0%B1%E9%85%AC&amp;start_date=2025-12-01&amp;end_date=2025-12-31&amp;fiscal_year_id=10456857",800000)</f>
        <v>800000</v>
      </c>
      <c r="D7" s="30">
        <f>HYPERLINK("https://secure.freee.co.jp/reports/general_ledgers/show?name=%E5%BD%B9%E5%93%A1%E5%A0%B1%E9%85%AC&amp;start_date=2026-01-01&amp;end_date=2026-01-31&amp;fiscal_year_id=10456857",800000)</f>
        <v>800000</v>
      </c>
      <c r="E7" s="30">
        <f>HYPERLINK("https://secure.freee.co.jp/reports/general_ledgers/show?name=%E5%BD%B9%E5%93%A1%E5%A0%B1%E9%85%AC&amp;start_date=2026-02-01&amp;end_date=2026-02-28&amp;fiscal_year_id=10456857",800000)</f>
        <v>800000</v>
      </c>
      <c r="F7" s="43">
        <v>0</v>
      </c>
      <c r="G7" s="38">
        <f>SUM(B7:F7)</f>
        <v>3200000</v>
      </c>
      <c r="H7" s="32" t="s">
        <v>410</v>
      </c>
    </row>
    <row r="8" spans="1:8" x14ac:dyDescent="0.25">
      <c r="A8" s="10" t="s">
        <v>493</v>
      </c>
      <c r="B8" s="30">
        <f>HYPERLINK("https://secure.freee.co.jp/reports/general_ledgers/show?name=%E7%B5%A6%E6%96%99%E6%89%8B%E5%BD%93&amp;start_date=2025-11-01&amp;end_date=2025-11-30&amp;fiscal_year_id=10456857",829083)</f>
        <v>829083</v>
      </c>
      <c r="C8" s="30">
        <f>HYPERLINK("https://secure.freee.co.jp/reports/general_ledgers/show?name=%E7%B5%A6%E6%96%99%E6%89%8B%E5%BD%93&amp;start_date=2025-12-01&amp;end_date=2025-12-31&amp;fiscal_year_id=10456857",1160835)</f>
        <v>1160835</v>
      </c>
      <c r="D8" s="30">
        <f>HYPERLINK("https://secure.freee.co.jp/reports/general_ledgers/show?name=%E7%B5%A6%E6%96%99%E6%89%8B%E5%BD%93&amp;start_date=2026-01-01&amp;end_date=2026-01-31&amp;fiscal_year_id=10456857",1118273)</f>
        <v>1118273</v>
      </c>
      <c r="E8" s="33">
        <f>HYPERLINK("https://secure.freee.co.jp/reports/general_ledgers/show?name=%E7%B5%A6%E6%96%99%E6%89%8B%E5%BD%93&amp;start_date=2026-02-01&amp;end_date=2026-02-28&amp;fiscal_year_id=10456857",1709425)</f>
        <v>1709425</v>
      </c>
      <c r="F8" s="43">
        <v>0</v>
      </c>
      <c r="G8" s="38">
        <f>SUM(B8:F8)</f>
        <v>4817616</v>
      </c>
      <c r="H8" s="32" t="s">
        <v>410</v>
      </c>
    </row>
    <row r="9" spans="1:8" x14ac:dyDescent="0.25">
      <c r="A9" s="10" t="s">
        <v>494</v>
      </c>
      <c r="B9" s="30">
        <f>HYPERLINK("https://secure.freee.co.jp/reports/general_ledgers/show?name=%E6%B3%95%E5%AE%9A%E7%A6%8F%E5%88%A9%E8%B2%BB&amp;start_date=2025-11-01&amp;end_date=2025-11-30&amp;fiscal_year_id=10456857",185086)</f>
        <v>185086</v>
      </c>
      <c r="C9" s="30">
        <f>HYPERLINK("https://secure.freee.co.jp/reports/general_ledgers/show?name=%E6%B3%95%E5%AE%9A%E7%A6%8F%E5%88%A9%E8%B2%BB&amp;start_date=2025-12-01&amp;end_date=2025-12-31&amp;fiscal_year_id=10456857",162027)</f>
        <v>162027</v>
      </c>
      <c r="D9" s="30">
        <f>HYPERLINK("https://secure.freee.co.jp/reports/general_ledgers/show?name=%E6%B3%95%E5%AE%9A%E7%A6%8F%E5%88%A9%E8%B2%BB&amp;start_date=2026-01-01&amp;end_date=2026-01-31&amp;fiscal_year_id=10456857",162027)</f>
        <v>162027</v>
      </c>
      <c r="E9" s="33">
        <f>HYPERLINK("https://secure.freee.co.jp/reports/general_ledgers/show?name=%E6%B3%95%E5%AE%9A%E7%A6%8F%E5%88%A9%E8%B2%BB&amp;start_date=2026-02-01&amp;end_date=2026-02-28&amp;fiscal_year_id=10456857",247859)</f>
        <v>247859</v>
      </c>
      <c r="F9" s="33">
        <f>HYPERLINK("https://secure.freee.co.jp/reports/general_ledgers/show?name=%E6%B3%95%E5%AE%9A%E7%A6%8F%E5%88%A9%E8%B2%BB&amp;start_date=2026-03-01&amp;end_date=2026-03-31&amp;fiscal_year_id=10456857",-46118)</f>
        <v>-46118</v>
      </c>
      <c r="G9" s="38">
        <f>SUM(B9:F9)</f>
        <v>710881</v>
      </c>
      <c r="H9" s="32" t="s">
        <v>410</v>
      </c>
    </row>
    <row r="10" spans="1:8" x14ac:dyDescent="0.25">
      <c r="A10" s="10" t="s">
        <v>495</v>
      </c>
      <c r="B10" s="44">
        <v>0</v>
      </c>
      <c r="C10" s="30">
        <f>HYPERLINK("https://secure.freee.co.jp/reports/general_ledgers/show?name=%E7%A6%8F%E5%88%A9%E5%8E%9A%E7%94%9F%E8%B2%BB&amp;start_date=2025-12-01&amp;end_date=2025-12-31&amp;fiscal_year_id=10456857",10000)</f>
        <v>10000</v>
      </c>
      <c r="D10" s="30">
        <f>HYPERLINK("https://secure.freee.co.jp/reports/general_ledgers/show?name=%E7%A6%8F%E5%88%A9%E5%8E%9A%E7%94%9F%E8%B2%BB&amp;start_date=2026-01-01&amp;end_date=2026-01-31&amp;fiscal_year_id=10456857",10530)</f>
        <v>10530</v>
      </c>
      <c r="E10" s="33">
        <f>HYPERLINK("https://secure.freee.co.jp/reports/general_ledgers/show?name=%E7%A6%8F%E5%88%A9%E5%8E%9A%E7%94%9F%E8%B2%BB&amp;start_date=2026-02-01&amp;end_date=2026-02-28&amp;fiscal_year_id=10456857",5000)</f>
        <v>5000</v>
      </c>
      <c r="F10" s="37">
        <f>HYPERLINK("https://secure.freee.co.jp/reports/general_ledgers/show?name=%E7%A6%8F%E5%88%A9%E5%8E%9A%E7%94%9F%E8%B2%BB&amp;start_date=2026-03-01&amp;end_date=2026-03-31&amp;fiscal_year_id=10456857",5000)</f>
        <v>5000</v>
      </c>
      <c r="G10" s="38">
        <f>SUM(B10:F10)</f>
        <v>30530</v>
      </c>
      <c r="H10" s="32" t="s">
        <v>410</v>
      </c>
    </row>
    <row r="11" spans="1:8" x14ac:dyDescent="0.25">
      <c r="A11" s="10" t="s">
        <v>496</v>
      </c>
      <c r="B11" s="44">
        <v>0</v>
      </c>
      <c r="C11" s="30">
        <f>HYPERLINK("https://secure.freee.co.jp/reports/general_ledgers/show?name=%E6%8E%A1%E7%94%A8%E6%95%99%E8%82%B2%E8%B2%BB&amp;start_date=2025-12-01&amp;end_date=2025-12-31&amp;fiscal_year_id=10456857",332076)</f>
        <v>332076</v>
      </c>
      <c r="D11" s="30">
        <f>HYPERLINK("https://secure.freee.co.jp/reports/general_ledgers/show?name=%E6%8E%A1%E7%94%A8%E6%95%99%E8%82%B2%E8%B2%BB&amp;start_date=2026-01-01&amp;end_date=2026-01-31&amp;fiscal_year_id=10456857",337748)</f>
        <v>337748</v>
      </c>
      <c r="E11" s="33">
        <f>HYPERLINK("https://secure.freee.co.jp/reports/general_ledgers/show?name=%E6%8E%A1%E7%94%A8%E6%95%99%E8%82%B2%E8%B2%BB&amp;start_date=2026-02-01&amp;end_date=2026-02-28&amp;fiscal_year_id=10456857",18618)</f>
        <v>18618</v>
      </c>
      <c r="F11" s="37">
        <f>HYPERLINK("https://secure.freee.co.jp/reports/general_ledgers/show?name=%E6%8E%A1%E7%94%A8%E6%95%99%E8%82%B2%E8%B2%BB&amp;start_date=2026-03-01&amp;end_date=2026-03-31&amp;fiscal_year_id=10456857",17595)</f>
        <v>17595</v>
      </c>
      <c r="G11" s="38">
        <f>SUM(B11:F11)</f>
        <v>706037</v>
      </c>
      <c r="H11" s="32" t="s">
        <v>410</v>
      </c>
    </row>
    <row r="12" spans="1:8" x14ac:dyDescent="0.25">
      <c r="A12" s="10" t="s">
        <v>497</v>
      </c>
      <c r="B12" s="30">
        <f>HYPERLINK("https://secure.freee.co.jp/reports/general_ledgers/show?name=%E5%A4%96%E6%B3%A8%E8%B2%BB&amp;start_date=2025-11-01&amp;end_date=2025-11-30&amp;fiscal_year_id=10456857",638000)</f>
        <v>638000</v>
      </c>
      <c r="C12" s="30">
        <f>HYPERLINK("https://secure.freee.co.jp/reports/general_ledgers/show?name=%E5%A4%96%E6%B3%A8%E8%B2%BB&amp;start_date=2025-12-01&amp;end_date=2025-12-31&amp;fiscal_year_id=10456857",638000)</f>
        <v>638000</v>
      </c>
      <c r="D12" s="33">
        <f>HYPERLINK("https://secure.freee.co.jp/reports/general_ledgers/show?name=%E5%A4%96%E6%B3%A8%E8%B2%BB&amp;start_date=2026-01-01&amp;end_date=2026-01-31&amp;fiscal_year_id=10456857",12000)</f>
        <v>12000</v>
      </c>
      <c r="E12" s="33">
        <f>HYPERLINK("https://secure.freee.co.jp/reports/general_ledgers/show?name=%E5%A4%96%E6%B3%A8%E8%B2%BB&amp;start_date=2026-02-01&amp;end_date=2026-02-28&amp;fiscal_year_id=10456857",155715)</f>
        <v>155715</v>
      </c>
      <c r="F12" s="43">
        <v>0</v>
      </c>
      <c r="G12" s="38">
        <f>SUM(B12:F12)</f>
        <v>1443715</v>
      </c>
      <c r="H12" s="32" t="s">
        <v>410</v>
      </c>
    </row>
    <row r="13" spans="1:8" x14ac:dyDescent="0.25">
      <c r="A13" s="10" t="s">
        <v>498</v>
      </c>
      <c r="B13" s="30">
        <f>HYPERLINK("https://secure.freee.co.jp/reports/general_ledgers/show?name=%E5%BA%83%E5%91%8A%E5%AE%A3%E4%BC%9D%E8%B2%BB&amp;start_date=2025-11-01&amp;end_date=2025-11-30&amp;fiscal_year_id=10456857",22000)</f>
        <v>22000</v>
      </c>
      <c r="C13" s="33">
        <f>HYPERLINK("https://secure.freee.co.jp/reports/general_ledgers/show?name=%E5%BA%83%E5%91%8A%E5%AE%A3%E4%BC%9D%E8%B2%BB&amp;start_date=2025-12-01&amp;end_date=2025-12-31&amp;fiscal_year_id=10456857",276289)</f>
        <v>276289</v>
      </c>
      <c r="D13" s="33">
        <f>HYPERLINK("https://secure.freee.co.jp/reports/general_ledgers/show?name=%E5%BA%83%E5%91%8A%E5%AE%A3%E4%BC%9D%E8%B2%BB&amp;start_date=2026-01-01&amp;end_date=2026-01-31&amp;fiscal_year_id=10456857",120019)</f>
        <v>120019</v>
      </c>
      <c r="E13" s="33">
        <f>HYPERLINK("https://secure.freee.co.jp/reports/general_ledgers/show?name=%E5%BA%83%E5%91%8A%E5%AE%A3%E4%BC%9D%E8%B2%BB&amp;start_date=2026-02-01&amp;end_date=2026-02-28&amp;fiscal_year_id=10456857",321935)</f>
        <v>321935</v>
      </c>
      <c r="F13" s="37">
        <f>HYPERLINK("https://secure.freee.co.jp/reports/general_ledgers/show?name=%E5%BA%83%E5%91%8A%E5%AE%A3%E4%BC%9D%E8%B2%BB&amp;start_date=2026-03-01&amp;end_date=2026-03-31&amp;fiscal_year_id=10456857",395648)</f>
        <v>395648</v>
      </c>
      <c r="G13" s="38">
        <f>SUM(B13:F13)</f>
        <v>1135891</v>
      </c>
      <c r="H13" s="32" t="s">
        <v>410</v>
      </c>
    </row>
    <row r="14" spans="1:8" x14ac:dyDescent="0.25">
      <c r="A14" s="10" t="s">
        <v>499</v>
      </c>
      <c r="B14" s="44">
        <v>0</v>
      </c>
      <c r="C14" s="30">
        <f>HYPERLINK("https://secure.freee.co.jp/reports/general_ledgers/show?name=%E4%BA%A4%E9%9A%9B%E8%B2%BB&amp;start_date=2025-12-01&amp;end_date=2025-12-31&amp;fiscal_year_id=10456857",28001)</f>
        <v>28001</v>
      </c>
      <c r="D14" s="33">
        <f>HYPERLINK("https://secure.freee.co.jp/reports/general_ledgers/show?name=%E4%BA%A4%E9%9A%9B%E8%B2%BB&amp;start_date=2026-01-01&amp;end_date=2026-01-31&amp;fiscal_year_id=10456857",5000)</f>
        <v>5000</v>
      </c>
      <c r="E14" s="33">
        <f>HYPERLINK("https://secure.freee.co.jp/reports/general_ledgers/show?name=%E4%BA%A4%E9%9A%9B%E8%B2%BB&amp;start_date=2026-02-01&amp;end_date=2026-02-28&amp;fiscal_year_id=10456857",15631)</f>
        <v>15631</v>
      </c>
      <c r="F14" s="43">
        <v>0</v>
      </c>
      <c r="G14" s="38">
        <f>SUM(B14:F14)</f>
        <v>48632</v>
      </c>
      <c r="H14" s="32" t="s">
        <v>410</v>
      </c>
    </row>
    <row r="15" spans="1:8" x14ac:dyDescent="0.25">
      <c r="A15" s="10" t="s">
        <v>500</v>
      </c>
      <c r="B15" s="44">
        <v>0</v>
      </c>
      <c r="C15" s="30">
        <f>HYPERLINK("https://secure.freee.co.jp/reports/general_ledgers/show?name=%E4%BC%9A%E8%AD%B0%E8%B2%BB&amp;start_date=2025-12-01&amp;end_date=2025-12-31&amp;fiscal_year_id=10456857",4304)</f>
        <v>4304</v>
      </c>
      <c r="D15" s="33">
        <f>HYPERLINK("https://secure.freee.co.jp/reports/general_ledgers/show?name=%E4%BC%9A%E8%AD%B0%E8%B2%BB&amp;start_date=2026-01-01&amp;end_date=2026-01-31&amp;fiscal_year_id=10456857",8072)</f>
        <v>8072</v>
      </c>
      <c r="E15" s="33">
        <f>HYPERLINK("https://secure.freee.co.jp/reports/general_ledgers/show?name=%E4%BC%9A%E8%AD%B0%E8%B2%BB&amp;start_date=2026-02-01&amp;end_date=2026-02-28&amp;fiscal_year_id=10456857",13084)</f>
        <v>13084</v>
      </c>
      <c r="F15" s="43">
        <v>0</v>
      </c>
      <c r="G15" s="38">
        <f>SUM(B15:F15)</f>
        <v>25460</v>
      </c>
      <c r="H15" s="32" t="s">
        <v>410</v>
      </c>
    </row>
    <row r="16" spans="1:8" x14ac:dyDescent="0.25">
      <c r="A16" s="10" t="s">
        <v>501</v>
      </c>
      <c r="B16" s="30">
        <f>HYPERLINK("https://secure.freee.co.jp/reports/general_ledgers/show?name=%E6%97%85%E8%B2%BB%E4%BA%A4%E9%80%9A%E8%B2%BB&amp;start_date=2025-11-01&amp;end_date=2025-11-30&amp;fiscal_year_id=10456857",15100)</f>
        <v>15100</v>
      </c>
      <c r="C16" s="33">
        <f>HYPERLINK("https://secure.freee.co.jp/reports/general_ledgers/show?name=%E6%97%85%E8%B2%BB%E4%BA%A4%E9%80%9A%E8%B2%BB&amp;start_date=2025-12-01&amp;end_date=2025-12-31&amp;fiscal_year_id=10456857",62660)</f>
        <v>62660</v>
      </c>
      <c r="D16" s="33">
        <f>HYPERLINK("https://secure.freee.co.jp/reports/general_ledgers/show?name=%E6%97%85%E8%B2%BB%E4%BA%A4%E9%80%9A%E8%B2%BB&amp;start_date=2026-01-01&amp;end_date=2026-01-31&amp;fiscal_year_id=10456857",108640)</f>
        <v>108640</v>
      </c>
      <c r="E16" s="33">
        <f>HYPERLINK("https://secure.freee.co.jp/reports/general_ledgers/show?name=%E6%97%85%E8%B2%BB%E4%BA%A4%E9%80%9A%E8%B2%BB&amp;start_date=2026-02-01&amp;end_date=2026-02-28&amp;fiscal_year_id=10456857",163830)</f>
        <v>163830</v>
      </c>
      <c r="F16" s="33">
        <f>HYPERLINK("https://secure.freee.co.jp/reports/general_ledgers/show?name=%E6%97%85%E8%B2%BB%E4%BA%A4%E9%80%9A%E8%B2%BB&amp;start_date=2026-03-01&amp;end_date=2026-03-31&amp;fiscal_year_id=10456857",29300)</f>
        <v>29300</v>
      </c>
      <c r="G16" s="38">
        <f>SUM(B16:F16)</f>
        <v>379530</v>
      </c>
      <c r="H16" s="32" t="s">
        <v>410</v>
      </c>
    </row>
    <row r="17" spans="1:8" x14ac:dyDescent="0.25">
      <c r="A17" s="10" t="s">
        <v>502</v>
      </c>
      <c r="B17" s="30">
        <f>HYPERLINK("https://secure.freee.co.jp/reports/general_ledgers/show?name=%E9%80%9A%E4%BF%A1%E8%B2%BB&amp;start_date=2025-11-01&amp;end_date=2025-11-30&amp;fiscal_year_id=10456857",89912)</f>
        <v>89912</v>
      </c>
      <c r="C17" s="30">
        <f>HYPERLINK("https://secure.freee.co.jp/reports/general_ledgers/show?name=%E9%80%9A%E4%BF%A1%E8%B2%BB&amp;start_date=2025-12-01&amp;end_date=2025-12-31&amp;fiscal_year_id=10456857",71136)</f>
        <v>71136</v>
      </c>
      <c r="D17" s="30">
        <f>HYPERLINK("https://secure.freee.co.jp/reports/general_ledgers/show?name=%E9%80%9A%E4%BF%A1%E8%B2%BB&amp;start_date=2026-01-01&amp;end_date=2026-01-31&amp;fiscal_year_id=10456857",72663)</f>
        <v>72663</v>
      </c>
      <c r="E17" s="30">
        <f>HYPERLINK("https://secure.freee.co.jp/reports/general_ledgers/show?name=%E9%80%9A%E4%BF%A1%E8%B2%BB&amp;start_date=2026-02-01&amp;end_date=2026-02-28&amp;fiscal_year_id=10456857",86952)</f>
        <v>86952</v>
      </c>
      <c r="F17" s="37">
        <f>HYPERLINK("https://secure.freee.co.jp/reports/general_ledgers/show?name=%E9%80%9A%E4%BF%A1%E8%B2%BB&amp;start_date=2026-03-01&amp;end_date=2026-03-31&amp;fiscal_year_id=10456857",59378)</f>
        <v>59378</v>
      </c>
      <c r="G17" s="38">
        <f>SUM(B17:F17)</f>
        <v>380041</v>
      </c>
      <c r="H17" s="32" t="s">
        <v>410</v>
      </c>
    </row>
    <row r="18" spans="1:8" x14ac:dyDescent="0.25">
      <c r="A18" s="10" t="s">
        <v>503</v>
      </c>
      <c r="B18" s="44">
        <v>0</v>
      </c>
      <c r="C18" s="44">
        <v>0</v>
      </c>
      <c r="D18" s="30">
        <f>HYPERLINK("https://secure.freee.co.jp/reports/general_ledgers/show?name=%E8%B2%A9%E5%A3%B2%E6%89%8B%E6%95%B0%E6%96%99&amp;start_date=2026-01-01&amp;end_date=2026-01-31&amp;fiscal_year_id=10456857",9511)</f>
        <v>9511</v>
      </c>
      <c r="E18" s="33">
        <f>HYPERLINK("https://secure.freee.co.jp/reports/general_ledgers/show?name=%E8%B2%A9%E5%A3%B2%E6%89%8B%E6%95%B0%E6%96%99&amp;start_date=2026-02-01&amp;end_date=2026-02-28&amp;fiscal_year_id=10456857",19046)</f>
        <v>19046</v>
      </c>
      <c r="F18" s="43">
        <v>0</v>
      </c>
      <c r="G18" s="38">
        <f>SUM(B18:F18)</f>
        <v>28557</v>
      </c>
      <c r="H18" s="32" t="s">
        <v>410</v>
      </c>
    </row>
    <row r="19" spans="1:8" x14ac:dyDescent="0.25">
      <c r="A19" s="10" t="s">
        <v>504</v>
      </c>
      <c r="B19" s="30">
        <f>HYPERLINK("https://secure.freee.co.jp/reports/general_ledgers/show?name=%E6%B6%88%E8%80%97%E5%93%81%E8%B2%BB&amp;start_date=2025-11-01&amp;end_date=2025-11-30&amp;fiscal_year_id=10456857",687389)</f>
        <v>687389</v>
      </c>
      <c r="C19" s="30">
        <f>HYPERLINK("https://secure.freee.co.jp/reports/general_ledgers/show?name=%E6%B6%88%E8%80%97%E5%93%81%E8%B2%BB&amp;start_date=2025-12-01&amp;end_date=2025-12-31&amp;fiscal_year_id=10456857",625219)</f>
        <v>625219</v>
      </c>
      <c r="D19" s="33">
        <f>HYPERLINK("https://secure.freee.co.jp/reports/general_ledgers/show?name=%E6%B6%88%E8%80%97%E5%93%81%E8%B2%BB&amp;start_date=2026-01-01&amp;end_date=2026-01-31&amp;fiscal_year_id=10456857",1049803)</f>
        <v>1049803</v>
      </c>
      <c r="E19" s="33">
        <f>HYPERLINK("https://secure.freee.co.jp/reports/general_ledgers/show?name=%E6%B6%88%E8%80%97%E5%93%81%E8%B2%BB&amp;start_date=2026-02-01&amp;end_date=2026-02-28&amp;fiscal_year_id=10456857",522184)</f>
        <v>522184</v>
      </c>
      <c r="F19" s="33">
        <f>HYPERLINK("https://secure.freee.co.jp/reports/general_ledgers/show?name=%E6%B6%88%E8%80%97%E5%93%81%E8%B2%BB&amp;start_date=2026-03-01&amp;end_date=2026-03-31&amp;fiscal_year_id=10456857",232926)</f>
        <v>232926</v>
      </c>
      <c r="G19" s="38">
        <f>SUM(B19:F19)</f>
        <v>3117521</v>
      </c>
      <c r="H19" s="32" t="s">
        <v>410</v>
      </c>
    </row>
    <row r="20" spans="1:8" x14ac:dyDescent="0.25">
      <c r="A20" s="10" t="s">
        <v>505</v>
      </c>
      <c r="B20" s="44">
        <v>0</v>
      </c>
      <c r="C20" s="30">
        <f>HYPERLINK("https://secure.freee.co.jp/reports/general_ledgers/show?name=%E4%BF%AE%E7%B9%95%E8%B2%BB&amp;start_date=2025-12-01&amp;end_date=2025-12-31&amp;fiscal_year_id=10456857",21780)</f>
        <v>21780</v>
      </c>
      <c r="D20" s="43">
        <v>0</v>
      </c>
      <c r="E20" s="44">
        <v>0</v>
      </c>
      <c r="F20" s="45">
        <v>0</v>
      </c>
      <c r="G20" s="38">
        <f>SUM(B20:F20)</f>
        <v>21780</v>
      </c>
      <c r="H20" s="32" t="s">
        <v>410</v>
      </c>
    </row>
    <row r="21" spans="1:8" x14ac:dyDescent="0.25">
      <c r="A21" s="10" t="s">
        <v>506</v>
      </c>
      <c r="B21" s="30">
        <f>HYPERLINK("https://secure.freee.co.jp/reports/general_ledgers/show?name=%E6%B0%B4%E9%81%93%E5%85%89%E7%86%B1%E8%B2%BB&amp;start_date=2025-11-01&amp;end_date=2025-11-30&amp;fiscal_year_id=10456857",2918)</f>
        <v>2918</v>
      </c>
      <c r="C21" s="33">
        <f>HYPERLINK("https://secure.freee.co.jp/reports/general_ledgers/show?name=%E6%B0%B4%E9%81%93%E5%85%89%E7%86%B1%E8%B2%BB&amp;start_date=2025-12-01&amp;end_date=2025-12-31&amp;fiscal_year_id=10456857",17035)</f>
        <v>17035</v>
      </c>
      <c r="D21" s="30">
        <f>HYPERLINK("https://secure.freee.co.jp/reports/general_ledgers/show?name=%E6%B0%B4%E9%81%93%E5%85%89%E7%86%B1%E8%B2%BB&amp;start_date=2026-01-01&amp;end_date=2026-01-31&amp;fiscal_year_id=10456857",19964)</f>
        <v>19964</v>
      </c>
      <c r="E21" s="30">
        <f>HYPERLINK("https://secure.freee.co.jp/reports/general_ledgers/show?name=%E6%B0%B4%E9%81%93%E5%85%89%E7%86%B1%E8%B2%BB&amp;start_date=2026-02-01&amp;end_date=2026-02-28&amp;fiscal_year_id=10456857",16670)</f>
        <v>16670</v>
      </c>
      <c r="F21" s="43">
        <v>0</v>
      </c>
      <c r="G21" s="38">
        <f>SUM(B21:F21)</f>
        <v>56587</v>
      </c>
      <c r="H21" s="32" t="s">
        <v>410</v>
      </c>
    </row>
    <row r="22" spans="1:8" x14ac:dyDescent="0.25">
      <c r="A22" s="10" t="s">
        <v>507</v>
      </c>
      <c r="B22" s="30">
        <f>HYPERLINK("https://secure.freee.co.jp/reports/general_ledgers/show?name=%E6%94%AF%E6%89%95%E6%89%8B%E6%95%B0%E6%96%99&amp;start_date=2025-11-01&amp;end_date=2025-11-30&amp;fiscal_year_id=10456857",226238)</f>
        <v>226238</v>
      </c>
      <c r="C22" s="33">
        <f>HYPERLINK("https://secure.freee.co.jp/reports/general_ledgers/show?name=%E6%94%AF%E6%89%95%E6%89%8B%E6%95%B0%E6%96%99&amp;start_date=2025-12-01&amp;end_date=2025-12-31&amp;fiscal_year_id=10456857",387603)</f>
        <v>387603</v>
      </c>
      <c r="D22" s="30">
        <f>HYPERLINK("https://secure.freee.co.jp/reports/general_ledgers/show?name=%E6%94%AF%E6%89%95%E6%89%8B%E6%95%B0%E6%96%99&amp;start_date=2026-01-01&amp;end_date=2026-01-31&amp;fiscal_year_id=10456857",444758)</f>
        <v>444758</v>
      </c>
      <c r="E22" s="33">
        <f>HYPERLINK("https://secure.freee.co.jp/reports/general_ledgers/show?name=%E6%94%AF%E6%89%95%E6%89%8B%E6%95%B0%E6%96%99&amp;start_date=2026-02-01&amp;end_date=2026-02-28&amp;fiscal_year_id=10456857",1045982)</f>
        <v>1045982</v>
      </c>
      <c r="F22" s="33">
        <f>HYPERLINK("https://secure.freee.co.jp/reports/general_ledgers/show?name=%E6%94%AF%E6%89%95%E6%89%8B%E6%95%B0%E6%96%99&amp;start_date=2026-03-01&amp;end_date=2026-03-31&amp;fiscal_year_id=10456857",250185)</f>
        <v>250185</v>
      </c>
      <c r="G22" s="38">
        <f>SUM(B22:F22)</f>
        <v>2354766</v>
      </c>
      <c r="H22" s="32" t="s">
        <v>410</v>
      </c>
    </row>
    <row r="23" spans="1:8" x14ac:dyDescent="0.25">
      <c r="A23" s="10" t="s">
        <v>508</v>
      </c>
      <c r="B23" s="30">
        <f>HYPERLINK("https://secure.freee.co.jp/reports/general_ledgers/show?name=%E8%BB%8A%E4%B8%A1%E8%B2%BB&amp;start_date=2025-11-01&amp;end_date=2025-11-30&amp;fiscal_year_id=10456857",4808)</f>
        <v>4808</v>
      </c>
      <c r="C23" s="33">
        <f>HYPERLINK("https://secure.freee.co.jp/reports/general_ledgers/show?name=%E8%BB%8A%E4%B8%A1%E8%B2%BB&amp;start_date=2025-12-01&amp;end_date=2025-12-31&amp;fiscal_year_id=10456857",7900)</f>
        <v>7900</v>
      </c>
      <c r="D23" s="30">
        <f>HYPERLINK("https://secure.freee.co.jp/reports/general_ledgers/show?name=%E8%BB%8A%E4%B8%A1%E8%B2%BB&amp;start_date=2026-01-01&amp;end_date=2026-01-31&amp;fiscal_year_id=10456857",9009)</f>
        <v>9009</v>
      </c>
      <c r="E23" s="30">
        <f>HYPERLINK("https://secure.freee.co.jp/reports/general_ledgers/show?name=%E8%BB%8A%E4%B8%A1%E8%B2%BB&amp;start_date=2026-02-01&amp;end_date=2026-02-28&amp;fiscal_year_id=10456857",11652)</f>
        <v>11652</v>
      </c>
      <c r="F23" s="37">
        <f>HYPERLINK("https://secure.freee.co.jp/reports/general_ledgers/show?name=%E8%BB%8A%E4%B8%A1%E8%B2%BB&amp;start_date=2026-03-01&amp;end_date=2026-03-31&amp;fiscal_year_id=10456857",9513)</f>
        <v>9513</v>
      </c>
      <c r="G23" s="38">
        <f>SUM(B23:F23)</f>
        <v>42882</v>
      </c>
      <c r="H23" s="32" t="s">
        <v>410</v>
      </c>
    </row>
    <row r="24" spans="1:8" x14ac:dyDescent="0.25">
      <c r="A24" s="10" t="s">
        <v>509</v>
      </c>
      <c r="B24" s="30">
        <f>HYPERLINK("https://secure.freee.co.jp/reports/general_ledgers/show?name=%E7%AE%A1%E7%90%86%E8%AB%B8%E8%B2%BB&amp;start_date=2025-11-01&amp;end_date=2025-11-30&amp;fiscal_year_id=10456857",32500)</f>
        <v>32500</v>
      </c>
      <c r="C24" s="30">
        <f>HYPERLINK("https://secure.freee.co.jp/reports/general_ledgers/show?name=%E7%AE%A1%E7%90%86%E8%AB%B8%E8%B2%BB&amp;start_date=2025-12-01&amp;end_date=2025-12-31&amp;fiscal_year_id=10456857",32500)</f>
        <v>32500</v>
      </c>
      <c r="D24" s="33">
        <f>HYPERLINK("https://secure.freee.co.jp/reports/general_ledgers/show?name=%E7%AE%A1%E7%90%86%E8%AB%B8%E8%B2%BB&amp;start_date=2026-01-01&amp;end_date=2026-01-31&amp;fiscal_year_id=10456857",16200)</f>
        <v>16200</v>
      </c>
      <c r="E24" s="33">
        <f>HYPERLINK("https://secure.freee.co.jp/reports/general_ledgers/show?name=%E7%AE%A1%E7%90%86%E8%AB%B8%E8%B2%BB&amp;start_date=2026-02-01&amp;end_date=2026-02-28&amp;fiscal_year_id=10456857",75679)</f>
        <v>75679</v>
      </c>
      <c r="F24" s="37">
        <f>HYPERLINK("https://secure.freee.co.jp/reports/general_ledgers/show?name=%E7%AE%A1%E7%90%86%E8%AB%B8%E8%B2%BB&amp;start_date=2026-03-01&amp;end_date=2026-03-31&amp;fiscal_year_id=10456857",48800)</f>
        <v>48800</v>
      </c>
      <c r="G24" s="38">
        <f>SUM(B24:F24)</f>
        <v>205679</v>
      </c>
      <c r="H24" s="32" t="s">
        <v>410</v>
      </c>
    </row>
    <row r="25" spans="1:8" x14ac:dyDescent="0.25">
      <c r="A25" s="10" t="s">
        <v>510</v>
      </c>
      <c r="B25" s="30">
        <f>HYPERLINK("https://secure.freee.co.jp/reports/general_ledgers/show?name=%E8%A1%9B%EF%BF%BD%EF%BF%BD%E8%B2%BB&amp;start_date=2025-11-01&amp;end_date=2025-11-30&amp;fiscal_year_id=10456857",57800)</f>
        <v>57800</v>
      </c>
      <c r="C25" s="43">
        <v>0</v>
      </c>
      <c r="D25" s="44">
        <v>0</v>
      </c>
      <c r="E25" s="44">
        <v>0</v>
      </c>
      <c r="F25" s="45">
        <v>0</v>
      </c>
      <c r="G25" s="38">
        <f>SUM(B25:F25)</f>
        <v>57800</v>
      </c>
      <c r="H25" s="32" t="s">
        <v>410</v>
      </c>
    </row>
    <row r="26" spans="1:8" x14ac:dyDescent="0.25">
      <c r="A26" s="10" t="s">
        <v>511</v>
      </c>
      <c r="B26" s="30">
        <f>HYPERLINK("https://secure.freee.co.jp/reports/general_ledgers/show?name=%E5%9C%B0%E4%BB%A3%E5%AE%B6%E8%B3%83&amp;start_date=2025-11-01&amp;end_date=2025-11-30&amp;fiscal_year_id=10456857",93500)</f>
        <v>93500</v>
      </c>
      <c r="C26" s="33">
        <f>HYPERLINK("https://secure.freee.co.jp/reports/general_ledgers/show?name=%E5%9C%B0%E4%BB%A3%E5%AE%B6%E8%B3%83&amp;start_date=2025-12-01&amp;end_date=2025-12-31&amp;fiscal_year_id=10456857",254694)</f>
        <v>254694</v>
      </c>
      <c r="D26" s="30">
        <f>HYPERLINK("https://secure.freee.co.jp/reports/general_ledgers/show?name=%E5%9C%B0%E4%BB%A3%E5%AE%B6%E8%B3%83&amp;start_date=2026-01-01&amp;end_date=2026-01-31&amp;fiscal_year_id=10456857",211600)</f>
        <v>211600</v>
      </c>
      <c r="E26" s="30">
        <f>HYPERLINK("https://secure.freee.co.jp/reports/general_ledgers/show?name=%E5%9C%B0%E4%BB%A3%E5%AE%B6%E8%B3%83&amp;start_date=2026-02-01&amp;end_date=2026-02-28&amp;fiscal_year_id=10456857",147300)</f>
        <v>147300</v>
      </c>
      <c r="F26" s="37">
        <f>HYPERLINK("https://secure.freee.co.jp/reports/general_ledgers/show?name=%E5%9C%B0%E4%BB%A3%E5%AE%B6%E8%B3%83&amp;start_date=2026-03-01&amp;end_date=2026-03-31&amp;fiscal_year_id=10456857",83000)</f>
        <v>83000</v>
      </c>
      <c r="G26" s="38">
        <f>SUM(B26:F26)</f>
        <v>790094</v>
      </c>
      <c r="H26" s="32" t="s">
        <v>410</v>
      </c>
    </row>
    <row r="27" spans="1:8" x14ac:dyDescent="0.25">
      <c r="A27" s="10" t="s">
        <v>512</v>
      </c>
      <c r="B27" s="30">
        <f>HYPERLINK("https://secure.freee.co.jp/reports/general_ledgers/show?name=%E4%BF%9D%E9%99%BA%E6%96%99&amp;start_date=2025-11-01&amp;end_date=2025-11-30&amp;fiscal_year_id=10456857",50288)</f>
        <v>50288</v>
      </c>
      <c r="C27" s="30">
        <f>HYPERLINK("https://secure.freee.co.jp/reports/general_ledgers/show?name=%E4%BF%9D%E9%99%BA%E6%96%99&amp;start_date=2025-12-01&amp;end_date=2025-12-31&amp;fiscal_year_id=10456857",26008)</f>
        <v>26008</v>
      </c>
      <c r="D27" s="33">
        <f>HYPERLINK("https://secure.freee.co.jp/reports/general_ledgers/show?name=%E4%BF%9D%E9%99%BA%E6%96%99&amp;start_date=2026-01-01&amp;end_date=2026-01-31&amp;fiscal_year_id=10456857",7858)</f>
        <v>7858</v>
      </c>
      <c r="E27" s="33">
        <f>HYPERLINK("https://secure.freee.co.jp/reports/general_ledgers/show?name=%E4%BF%9D%E9%99%BA%E6%96%99&amp;start_date=2026-02-01&amp;end_date=2026-02-28&amp;fiscal_year_id=10456857",13098)</f>
        <v>13098</v>
      </c>
      <c r="F27" s="33">
        <f>HYPERLINK("https://secure.freee.co.jp/reports/general_ledgers/show?name=%E4%BF%9D%E9%99%BA%E6%96%99&amp;start_date=2026-03-01&amp;end_date=2026-03-31&amp;fiscal_year_id=10456857",1008)</f>
        <v>1008</v>
      </c>
      <c r="G27" s="38">
        <f>SUM(B27:F27)</f>
        <v>98260</v>
      </c>
      <c r="H27" s="32" t="s">
        <v>410</v>
      </c>
    </row>
    <row r="28" spans="1:8" x14ac:dyDescent="0.25">
      <c r="A28" s="10" t="s">
        <v>513</v>
      </c>
      <c r="B28" s="44">
        <v>0</v>
      </c>
      <c r="C28" s="44">
        <v>0</v>
      </c>
      <c r="D28" s="30">
        <f>HYPERLINK("https://secure.freee.co.jp/reports/general_ledgers/show?name=%E7%A7%9F%E7%A8%8E%E5%85%AC%E8%AA%B2&amp;start_date=2026-01-01&amp;end_date=2026-01-31&amp;fiscal_year_id=10456857",44900)</f>
        <v>44900</v>
      </c>
      <c r="E28" s="30">
        <f>HYPERLINK("https://secure.freee.co.jp/reports/general_ledgers/show?name=%E7%A7%9F%E7%A8%8E%E5%85%AC%E8%AA%B2&amp;start_date=2026-02-01&amp;end_date=2026-02-28&amp;fiscal_year_id=10456857",46150)</f>
        <v>46150</v>
      </c>
      <c r="F28" s="43">
        <v>0</v>
      </c>
      <c r="G28" s="38">
        <f>SUM(B28:F28)</f>
        <v>91050</v>
      </c>
      <c r="H28" s="32" t="s">
        <v>410</v>
      </c>
    </row>
    <row r="29" spans="1:8" x14ac:dyDescent="0.25">
      <c r="A29" s="10" t="s">
        <v>514</v>
      </c>
      <c r="B29" s="44">
        <v>0</v>
      </c>
      <c r="C29" s="44">
        <v>0</v>
      </c>
      <c r="D29" s="30">
        <f>HYPERLINK("https://secure.freee.co.jp/reports/general_ledgers/show?name=%E7%A0%94%E4%BF%AE%E8%B2%BB&amp;start_date=2026-01-01&amp;end_date=2026-01-31&amp;fiscal_year_id=10456857",10000)</f>
        <v>10000</v>
      </c>
      <c r="E29" s="33">
        <f>HYPERLINK("https://secure.freee.co.jp/reports/general_ledgers/show?name=%E7%A0%94%E4%BF%AE%E8%B2%BB&amp;start_date=2026-02-01&amp;end_date=2026-02-28&amp;fiscal_year_id=10456857",375765)</f>
        <v>375765</v>
      </c>
      <c r="F29" s="43">
        <v>0</v>
      </c>
      <c r="G29" s="38">
        <f>SUM(B29:F29)</f>
        <v>385765</v>
      </c>
      <c r="H29" s="32" t="s">
        <v>410</v>
      </c>
    </row>
    <row r="30" spans="1:8" x14ac:dyDescent="0.25">
      <c r="A30" s="10" t="s">
        <v>515</v>
      </c>
      <c r="B30" s="30">
        <f>HYPERLINK("https://secure.freee.co.jp/reports/general_ledgers/show?name=%E6%B8%9B%E4%BE%A1%E5%84%9F%E5%8D%B4%E8%B2%BB&amp;start_date=2025-11-01&amp;end_date=2025-11-30&amp;fiscal_year_id=10456857",181238)</f>
        <v>181238</v>
      </c>
      <c r="C30" s="30">
        <f>HYPERLINK("https://secure.freee.co.jp/reports/general_ledgers/show?name=%E6%B8%9B%E4%BE%A1%E5%84%9F%E5%8D%B4%E8%B2%BB&amp;start_date=2025-12-01&amp;end_date=2025-12-31&amp;fiscal_year_id=10456857",181238)</f>
        <v>181238</v>
      </c>
      <c r="D30" s="33">
        <f>HYPERLINK("https://secure.freee.co.jp/reports/general_ledgers/show?name=%E6%B8%9B%E4%BE%A1%E5%84%9F%E5%8D%B4%E8%B2%BB&amp;start_date=2026-01-01&amp;end_date=2026-01-31&amp;fiscal_year_id=10456857",310304)</f>
        <v>310304</v>
      </c>
      <c r="E30" s="30">
        <f>HYPERLINK("https://secure.freee.co.jp/reports/general_ledgers/show?name=%E6%B8%9B%E4%BE%A1%E5%84%9F%E5%8D%B4%E8%B2%BB&amp;start_date=2026-02-01&amp;end_date=2026-02-28&amp;fiscal_year_id=10456857",310306)</f>
        <v>310306</v>
      </c>
      <c r="F30" s="37">
        <f>HYPERLINK("https://secure.freee.co.jp/reports/general_ledgers/show?name=%E6%B8%9B%E4%BE%A1%E5%84%9F%E5%8D%B4%E8%B2%BB&amp;start_date=2026-03-01&amp;end_date=2026-03-31&amp;fiscal_year_id=10456857",300673)</f>
        <v>300673</v>
      </c>
      <c r="G30" s="38">
        <f>SUM(B30:F30)</f>
        <v>1283759</v>
      </c>
      <c r="H30" s="32" t="s">
        <v>410</v>
      </c>
    </row>
    <row r="31" spans="1:8" x14ac:dyDescent="0.25">
      <c r="A31" s="10" t="s">
        <v>516</v>
      </c>
      <c r="B31" s="44">
        <v>0</v>
      </c>
      <c r="C31" s="44">
        <v>0</v>
      </c>
      <c r="D31" s="44">
        <v>0</v>
      </c>
      <c r="E31" s="30">
        <f>HYPERLINK("https://secure.freee.co.jp/reports/general_ledgers/show?name=%E9%9B%91%E8%B2%BB&amp;start_date=2026-02-01&amp;end_date=2026-02-28&amp;fiscal_year_id=10456857",300)</f>
        <v>300</v>
      </c>
      <c r="F31" s="43">
        <v>0</v>
      </c>
      <c r="G31" s="38">
        <f>SUM(B31:F31)</f>
        <v>300</v>
      </c>
      <c r="H31" s="32" t="s">
        <v>410</v>
      </c>
    </row>
    <row r="32" spans="1:8" x14ac:dyDescent="0.25">
      <c r="A32" s="40" t="s">
        <v>517</v>
      </c>
      <c r="B32" s="41">
        <v>3915860</v>
      </c>
      <c r="C32" s="41">
        <v>5099305</v>
      </c>
      <c r="D32" s="41">
        <v>4888879</v>
      </c>
      <c r="E32" s="41">
        <v>6122181</v>
      </c>
      <c r="F32" s="41">
        <v>1386908</v>
      </c>
      <c r="G32" s="41">
        <f>SUM(B32:F32)</f>
        <v>21413133</v>
      </c>
      <c r="H32" s="42"/>
    </row>
    <row r="33" spans="1:8" x14ac:dyDescent="0.25">
      <c r="A33" s="40" t="s">
        <v>518</v>
      </c>
      <c r="B33" s="41">
        <v>-1191973</v>
      </c>
      <c r="C33" s="41">
        <v>-1666458</v>
      </c>
      <c r="D33" s="41">
        <v>-2443223</v>
      </c>
      <c r="E33" s="41">
        <v>-2704119</v>
      </c>
      <c r="F33" s="41">
        <v>191981</v>
      </c>
      <c r="G33" s="41">
        <f>SUM(B33:F33)</f>
        <v>-7813792</v>
      </c>
      <c r="H33" s="42"/>
    </row>
    <row r="34" spans="1:8" x14ac:dyDescent="0.25">
      <c r="A34" s="10" t="s">
        <v>519</v>
      </c>
      <c r="B34" s="30">
        <f>HYPERLINK("https://secure.freee.co.jp/reports/general_ledgers/show?name=%E5%8F%97%E5%8F%96%E5%88%A9%E6%81%AF&amp;start_date=2025-11-01&amp;end_date=2025-11-30&amp;fiscal_year_id=10456857",856)</f>
        <v>856</v>
      </c>
      <c r="C34" s="30">
        <f>HYPERLINK("https://secure.freee.co.jp/reports/general_ledgers/show?name=%E5%8F%97%E5%8F%96%E5%88%A9%E6%81%AF&amp;start_date=2025-12-01&amp;end_date=2025-12-31&amp;fiscal_year_id=10456857",1064)</f>
        <v>1064</v>
      </c>
      <c r="D34" s="30">
        <f>HYPERLINK("https://secure.freee.co.jp/reports/general_ledgers/show?name=%E5%8F%97%E5%8F%96%E5%88%A9%E6%81%AF&amp;start_date=2026-01-01&amp;end_date=2026-01-31&amp;fiscal_year_id=10456857",1269)</f>
        <v>1269</v>
      </c>
      <c r="E34" s="30">
        <f>HYPERLINK("https://secure.freee.co.jp/reports/general_ledgers/show?name=%E5%8F%97%E5%8F%96%E5%88%A9%E6%81%AF&amp;start_date=2026-02-01&amp;end_date=2026-02-28&amp;fiscal_year_id=10456857",1079)</f>
        <v>1079</v>
      </c>
      <c r="F34" s="33">
        <f>HYPERLINK("https://secure.freee.co.jp/reports/general_ledgers/show?name=%E5%8F%97%E5%8F%96%E5%88%A9%E6%81%AF&amp;start_date=2026-03-01&amp;end_date=2026-03-31&amp;fiscal_year_id=10456857",11615)</f>
        <v>11615</v>
      </c>
      <c r="G34" s="38">
        <f>SUM(B34:F34)</f>
        <v>15883</v>
      </c>
      <c r="H34" s="32" t="s">
        <v>410</v>
      </c>
    </row>
    <row r="35" spans="1:8" x14ac:dyDescent="0.25">
      <c r="A35" s="10" t="s">
        <v>520</v>
      </c>
      <c r="B35" s="30">
        <f>HYPERLINK("https://secure.freee.co.jp/reports/general_ledgers/show?name=%E9%9B%91%E5%8F%8E%E5%85%A5&amp;start_date=2025-11-01&amp;end_date=2025-11-30&amp;fiscal_year_id=10456857",48002)</f>
        <v>48002</v>
      </c>
      <c r="C35" s="30">
        <f>HYPERLINK("https://secure.freee.co.jp/reports/general_ledgers/show?name=%E9%9B%91%E5%8F%8E%E5%85%A5&amp;start_date=2025-12-01&amp;end_date=2025-12-31&amp;fiscal_year_id=10456857",48895)</f>
        <v>48895</v>
      </c>
      <c r="D35" s="30">
        <f>HYPERLINK("https://secure.freee.co.jp/reports/general_ledgers/show?name=%E9%9B%91%E5%8F%8E%E5%85%A5&amp;start_date=2026-01-01&amp;end_date=2026-01-31&amp;fiscal_year_id=10456857",52998)</f>
        <v>52998</v>
      </c>
      <c r="E35" s="30">
        <f>HYPERLINK("https://secure.freee.co.jp/reports/general_ledgers/show?name=%E9%9B%91%E5%8F%8E%E5%85%A5&amp;start_date=2026-02-01&amp;end_date=2026-02-28&amp;fiscal_year_id=10456857",64603)</f>
        <v>64603</v>
      </c>
      <c r="F35" s="33">
        <f>HYPERLINK("https://secure.freee.co.jp/reports/general_ledgers/show?name=%E9%9B%91%E5%8F%8E%E5%85%A5&amp;start_date=2026-03-01&amp;end_date=2026-03-31&amp;fiscal_year_id=10456857",132609)</f>
        <v>132609</v>
      </c>
      <c r="G35" s="38">
        <f>SUM(B35:F35)</f>
        <v>347107</v>
      </c>
      <c r="H35" s="32" t="s">
        <v>410</v>
      </c>
    </row>
    <row r="36" spans="1:8" x14ac:dyDescent="0.25">
      <c r="A36" s="10" t="s">
        <v>521</v>
      </c>
      <c r="B36" s="30">
        <v>48858</v>
      </c>
      <c r="C36" s="30">
        <v>49959</v>
      </c>
      <c r="D36" s="30">
        <v>54267</v>
      </c>
      <c r="E36" s="30">
        <v>65682</v>
      </c>
      <c r="F36" s="37">
        <v>144224</v>
      </c>
      <c r="G36" s="38">
        <f>SUM(B36:F36)</f>
        <v>362990</v>
      </c>
      <c r="H36" s="39"/>
    </row>
    <row r="37" spans="1:8" x14ac:dyDescent="0.25">
      <c r="A37" s="10" t="s">
        <v>522</v>
      </c>
      <c r="B37" s="30">
        <f>HYPERLINK("https://secure.freee.co.jp/reports/general_ledgers/show?name=%E6%94%AF%E6%89%95%E5%88%A9%E6%81%AF&amp;start_date=2025-11-01&amp;end_date=2025-11-30&amp;fiscal_year_id=10456857",85375)</f>
        <v>85375</v>
      </c>
      <c r="C37" s="30">
        <f>HYPERLINK("https://secure.freee.co.jp/reports/general_ledgers/show?name=%E6%94%AF%E6%89%95%E5%88%A9%E6%81%AF&amp;start_date=2025-12-01&amp;end_date=2025-12-31&amp;fiscal_year_id=10456857",80922)</f>
        <v>80922</v>
      </c>
      <c r="D37" s="30">
        <f>HYPERLINK("https://secure.freee.co.jp/reports/general_ledgers/show?name=%E6%94%AF%E6%89%95%E5%88%A9%E6%81%AF&amp;start_date=2026-01-01&amp;end_date=2026-01-31&amp;fiscal_year_id=10456857",81868)</f>
        <v>81868</v>
      </c>
      <c r="E37" s="30">
        <f>HYPERLINK("https://secure.freee.co.jp/reports/general_ledgers/show?name=%E6%94%AF%E6%89%95%E5%88%A9%E6%81%AF&amp;start_date=2026-02-01&amp;end_date=2026-02-28&amp;fiscal_year_id=10456857",80113)</f>
        <v>80113</v>
      </c>
      <c r="F37" s="37">
        <f>HYPERLINK("https://secure.freee.co.jp/reports/general_ledgers/show?name=%E6%94%AF%E6%89%95%E5%88%A9%E6%81%AF&amp;start_date=2026-03-01&amp;end_date=2026-03-31&amp;fiscal_year_id=10456857",70778)</f>
        <v>70778</v>
      </c>
      <c r="G37" s="38">
        <f>SUM(B37:F37)</f>
        <v>399056</v>
      </c>
      <c r="H37" s="32" t="s">
        <v>410</v>
      </c>
    </row>
    <row r="38" spans="1:8" x14ac:dyDescent="0.25">
      <c r="A38" s="10" t="s">
        <v>523</v>
      </c>
      <c r="B38" s="30">
        <v>85375</v>
      </c>
      <c r="C38" s="30">
        <v>80922</v>
      </c>
      <c r="D38" s="30">
        <v>81868</v>
      </c>
      <c r="E38" s="30">
        <v>80113</v>
      </c>
      <c r="F38" s="37">
        <v>70778</v>
      </c>
      <c r="G38" s="38">
        <f>SUM(B38:F38)</f>
        <v>399056</v>
      </c>
      <c r="H38" s="39"/>
    </row>
    <row r="39" spans="1:8" x14ac:dyDescent="0.25">
      <c r="A39" s="40" t="s">
        <v>524</v>
      </c>
      <c r="B39" s="41">
        <v>-1228490</v>
      </c>
      <c r="C39" s="41">
        <v>-1697421</v>
      </c>
      <c r="D39" s="41">
        <v>-2470824</v>
      </c>
      <c r="E39" s="41">
        <v>-2718550</v>
      </c>
      <c r="F39" s="41">
        <v>265427</v>
      </c>
      <c r="G39" s="41">
        <f>SUM(B39:F39)</f>
        <v>-7849858</v>
      </c>
      <c r="H39" s="42"/>
    </row>
    <row r="40" spans="1:8" x14ac:dyDescent="0.25">
      <c r="A40" s="10" t="s">
        <v>525</v>
      </c>
      <c r="B40" s="44">
        <v>0</v>
      </c>
      <c r="C40" s="44">
        <v>0</v>
      </c>
      <c r="D40" s="44">
        <v>0</v>
      </c>
      <c r="E40" s="30">
        <f>HYPERLINK("https://secure.freee.co.jp/reports/general_ledgers/show?name=%E5%9B%BA%E5%AE%9A%E8%B3%87%E7%94%A3%E5%A3%B2%E5%8D%B4%E7%9B%8A&amp;start_date=2026-02-01&amp;end_date=2026-02-28&amp;fiscal_year_id=10456857",278281)</f>
        <v>278281</v>
      </c>
      <c r="F40" s="43">
        <v>0</v>
      </c>
      <c r="G40" s="38">
        <f>SUM(B40:F40)</f>
        <v>278281</v>
      </c>
      <c r="H40" s="32" t="s">
        <v>410</v>
      </c>
    </row>
    <row r="41" spans="1:8" x14ac:dyDescent="0.25">
      <c r="A41" s="10" t="s">
        <v>526</v>
      </c>
      <c r="B41" s="44">
        <v>0</v>
      </c>
      <c r="C41" s="44">
        <v>0</v>
      </c>
      <c r="D41" s="44">
        <v>0</v>
      </c>
      <c r="E41" s="30">
        <v>278281</v>
      </c>
      <c r="F41" s="45">
        <v>0</v>
      </c>
      <c r="G41" s="38">
        <f>SUM(B41:F41)</f>
        <v>278281</v>
      </c>
      <c r="H41" s="39"/>
    </row>
    <row r="42" spans="1:8" x14ac:dyDescent="0.25">
      <c r="A42" s="10" t="s">
        <v>527</v>
      </c>
      <c r="B42" s="44">
        <v>0</v>
      </c>
      <c r="C42" s="44">
        <v>0</v>
      </c>
      <c r="D42" s="44">
        <v>0</v>
      </c>
      <c r="E42" s="30">
        <f>HYPERLINK("https://secure.freee.co.jp/reports/general_ledgers/show?name=%E5%9B%BA%E5%AE%9A%E8%B3%87%E7%94%A3%E5%A3%B2%E5%8D%B4%E6%90%8D&amp;start_date=2026-02-01&amp;end_date=2026-02-28&amp;fiscal_year_id=10456857",165655)</f>
        <v>165655</v>
      </c>
      <c r="F42" s="43">
        <v>0</v>
      </c>
      <c r="G42" s="38">
        <f>SUM(B42:F42)</f>
        <v>165655</v>
      </c>
      <c r="H42" s="32" t="s">
        <v>410</v>
      </c>
    </row>
    <row r="43" spans="1:8" x14ac:dyDescent="0.25">
      <c r="A43" s="10" t="s">
        <v>528</v>
      </c>
      <c r="B43" s="44">
        <v>0</v>
      </c>
      <c r="C43" s="44">
        <v>0</v>
      </c>
      <c r="D43" s="44">
        <v>0</v>
      </c>
      <c r="E43" s="30">
        <v>165655</v>
      </c>
      <c r="F43" s="45">
        <v>0</v>
      </c>
      <c r="G43" s="38">
        <f>SUM(B43:F43)</f>
        <v>165655</v>
      </c>
      <c r="H43" s="39"/>
    </row>
    <row r="44" spans="1:8" x14ac:dyDescent="0.25">
      <c r="A44" s="40" t="s">
        <v>529</v>
      </c>
      <c r="B44" s="41">
        <v>-1228490</v>
      </c>
      <c r="C44" s="41">
        <v>-1697421</v>
      </c>
      <c r="D44" s="41">
        <v>-2470824</v>
      </c>
      <c r="E44" s="41">
        <v>-2605924</v>
      </c>
      <c r="F44" s="41">
        <v>265427</v>
      </c>
      <c r="G44" s="41">
        <f>SUM(B44:F44)</f>
        <v>-7737232</v>
      </c>
      <c r="H44" s="42"/>
    </row>
    <row r="45" spans="1:8" x14ac:dyDescent="0.25">
      <c r="A45" s="10" t="s">
        <v>530</v>
      </c>
      <c r="B45" s="30">
        <f>HYPERLINK("https://secure.freee.co.jp/reports/general_ledgers/show?name=%E6%B3%95%E4%BA%BA%E7%A8%8E%E3%83%BB%E4%BD%8F%E6%B0%91%E7%A8%8E%E5%8F%8A%E3%81%B3%E4%BA%8B%E6%A5%AD%E7%A8%8E&amp;start_date=2025-11-01&amp;end_date=2025-11-30&amp;fiscal_year_id=10456857",130)</f>
        <v>130</v>
      </c>
      <c r="C45" s="30">
        <f>HYPERLINK("https://secure.freee.co.jp/reports/general_ledgers/show?name=%E6%B3%95%E4%BA%BA%E7%A8%8E%E3%83%BB%E4%BD%8F%E6%B0%91%E7%A8%8E%E5%8F%8A%E3%81%B3%E4%BA%8B%E6%A5%AD%E7%A8%8E&amp;start_date=2025-12-01&amp;end_date=2025-12-31&amp;fiscal_year_id=10456857",162)</f>
        <v>162</v>
      </c>
      <c r="D45" s="30">
        <f>HYPERLINK("https://secure.freee.co.jp/reports/general_ledgers/show?name=%E6%B3%95%E4%BA%BA%E7%A8%8E%E3%83%BB%E4%BD%8F%E6%B0%91%E7%A8%8E%E5%8F%8A%E3%81%B3%E4%BA%8B%E6%A5%AD%E7%A8%8E&amp;start_date=2026-01-01&amp;end_date=2026-01-31&amp;fiscal_year_id=10456857",193)</f>
        <v>193</v>
      </c>
      <c r="E45" s="30">
        <f>HYPERLINK("https://secure.freee.co.jp/reports/general_ledgers/show?name=%E6%B3%95%E4%BA%BA%E7%A8%8E%E3%83%BB%E4%BD%8F%E6%B0%91%E7%A8%8E%E5%8F%8A%E3%81%B3%E4%BA%8B%E6%A5%AD%E7%A8%8E&amp;start_date=2026-02-01&amp;end_date=2026-02-28&amp;fiscal_year_id=10456857",164)</f>
        <v>164</v>
      </c>
      <c r="F45" s="33">
        <f>HYPERLINK("https://secure.freee.co.jp/reports/general_ledgers/show?name=%E6%B3%95%E4%BA%BA%E7%A8%8E%E3%83%BB%E4%BD%8F%E6%B0%91%E7%A8%8E%E5%8F%8A%E3%81%B3%E4%BA%8B%E6%A5%AD%E7%A8%8E&amp;start_date=2026-03-01&amp;end_date=2026-03-31&amp;fiscal_year_id=10456857",1776)</f>
        <v>1776</v>
      </c>
      <c r="G45" s="38">
        <f>SUM(B45:F45)</f>
        <v>2425</v>
      </c>
      <c r="H45" s="32" t="s">
        <v>410</v>
      </c>
    </row>
    <row r="46" spans="1:8" x14ac:dyDescent="0.25">
      <c r="A46" s="10" t="s">
        <v>531</v>
      </c>
      <c r="B46" s="30">
        <v>130</v>
      </c>
      <c r="C46" s="30">
        <v>162</v>
      </c>
      <c r="D46" s="30">
        <v>193</v>
      </c>
      <c r="E46" s="30">
        <v>164</v>
      </c>
      <c r="F46" s="37">
        <v>1776</v>
      </c>
      <c r="G46" s="38">
        <f>SUM(B46:F46)</f>
        <v>2425</v>
      </c>
      <c r="H46" s="39"/>
    </row>
    <row r="47" spans="1:8" x14ac:dyDescent="0.25">
      <c r="A47" s="40" t="s">
        <v>532</v>
      </c>
      <c r="B47" s="41">
        <v>-1228620</v>
      </c>
      <c r="C47" s="41">
        <v>-1697583</v>
      </c>
      <c r="D47" s="41">
        <v>-2471017</v>
      </c>
      <c r="E47" s="41">
        <v>-2606088</v>
      </c>
      <c r="F47" s="41">
        <v>263651</v>
      </c>
      <c r="G47" s="41">
        <f>SUM(B47:F47)</f>
        <v>-7739657</v>
      </c>
      <c r="H47" s="42"/>
    </row>
    <row r="48" spans="1:8" x14ac:dyDescent="0.25">
      <c r="A48" s="10" t="s">
        <v>533</v>
      </c>
      <c r="B48" s="44">
        <v>0</v>
      </c>
      <c r="C48" s="44">
        <v>0</v>
      </c>
      <c r="D48" s="30">
        <f>HYPERLINK("https://secure.freee.co.jp/reports/general_ledgers/show?name=%E5%A3%B2%E4%B8%8A%E6%88%BB%E3%82%8A%E9%AB%98&amp;start_date=2026-01-01&amp;end_date=2026-01-31&amp;fiscal_year_id=10456857",-900)</f>
        <v>-900</v>
      </c>
      <c r="E48" s="33">
        <f>HYPERLINK("https://secure.freee.co.jp/reports/general_ledgers/show?name=%E5%A3%B2%E4%B8%8A%E6%88%BB%E3%82%8A%E9%AB%98&amp;start_date=2026-02-01&amp;end_date=2026-02-28&amp;fiscal_year_id=10456857",-12800)</f>
        <v>-12800</v>
      </c>
      <c r="F48" s="33">
        <f>HYPERLINK("https://secure.freee.co.jp/reports/general_ledgers/show?name=%E5%A3%B2%E4%B8%8A%E6%88%BB%E3%82%8A%E9%AB%98&amp;start_date=2026-03-01&amp;end_date=2026-03-31&amp;fiscal_year_id=10456857",-19333)</f>
        <v>-19333</v>
      </c>
      <c r="G48" s="38">
        <f>SUM(B48:F48)</f>
        <v>-33033</v>
      </c>
      <c r="H48" s="32" t="s">
        <v>410</v>
      </c>
    </row>
    <row r="49" spans="1:8" x14ac:dyDescent="0.25">
      <c r="A49" s="10" t="s">
        <v>534</v>
      </c>
      <c r="B49" s="30">
        <f>HYPERLINK("https://secure.freee.co.jp/reports/general_ledgers/show?name=%E6%9C%9F%E9%A6%96%E5%95%86%E5%93%81%E6%A3%9A%E5%8D%B8%E9%AB%98&amp;start_date=2025-11-01&amp;end_date=2025-11-30&amp;fiscal_year_id=10456857",117755)</f>
        <v>117755</v>
      </c>
      <c r="C49" s="43">
        <v>0</v>
      </c>
      <c r="D49" s="44">
        <v>0</v>
      </c>
      <c r="E49" s="44">
        <v>0</v>
      </c>
      <c r="F49" s="45">
        <v>0</v>
      </c>
      <c r="G49" s="38">
        <f>SUM(B49:F49)</f>
        <v>117755</v>
      </c>
      <c r="H49" s="32" t="s">
        <v>410</v>
      </c>
    </row>
    <row r="50" spans="1:8" x14ac:dyDescent="0.25">
      <c r="A50" s="10" t="s">
        <v>535</v>
      </c>
      <c r="B50" s="30">
        <f>HYPERLINK("https://secure.freee.co.jp/reports/general_ledgers/show?name=%E4%BB%95%E5%85%A5%E9%AB%98&amp;start_date=2025-11-01&amp;end_date=2025-11-30&amp;fiscal_year_id=10456857",599213)</f>
        <v>599213</v>
      </c>
      <c r="C50" s="33">
        <f>HYPERLINK("https://secure.freee.co.jp/reports/general_ledgers/show?name=%E4%BB%95%E5%85%A5%E9%AB%98&amp;start_date=2025-12-01&amp;end_date=2025-12-31&amp;fiscal_year_id=10456857",1563603)</f>
        <v>1563603</v>
      </c>
      <c r="D50" s="30">
        <f>HYPERLINK("https://secure.freee.co.jp/reports/general_ledgers/show?name=%E4%BB%95%E5%85%A5%E9%AB%98&amp;start_date=2026-01-01&amp;end_date=2026-01-31&amp;fiscal_year_id=10456857",1427819)</f>
        <v>1427819</v>
      </c>
      <c r="E50" s="33">
        <f>HYPERLINK("https://secure.freee.co.jp/reports/general_ledgers/show?name=%E4%BB%95%E5%85%A5%E9%AB%98&amp;start_date=2026-02-01&amp;end_date=2026-02-28&amp;fiscal_year_id=10456857",267168)</f>
        <v>267168</v>
      </c>
      <c r="F50" s="37">
        <f>HYPERLINK("https://secure.freee.co.jp/reports/general_ledgers/show?name=%E4%BB%95%E5%85%A5%E9%AB%98&amp;start_date=2026-03-01&amp;end_date=2026-03-31&amp;fiscal_year_id=10456857",196911)</f>
        <v>196911</v>
      </c>
      <c r="G50" s="38">
        <f>SUM(B50:F50)</f>
        <v>4054714</v>
      </c>
      <c r="H50" s="32" t="s">
        <v>410</v>
      </c>
    </row>
    <row r="51" spans="1:8" x14ac:dyDescent="0.25">
      <c r="A51" s="10" t="s">
        <v>536</v>
      </c>
      <c r="B51" s="30">
        <f>HYPERLINK("https://secure.freee.co.jp/reports/general_ledgers/show?name=%E6%9C%9F%E6%9C%AB%E5%95%86%E5%93%81%E6%A3%9A%E5%8D%B8%E9%AB%98&amp;start_date=2025-11-01&amp;end_date=2025-11-30&amp;fiscal_year_id=10456857",117755)</f>
        <v>117755</v>
      </c>
      <c r="C51" s="43">
        <v>0</v>
      </c>
      <c r="D51" s="30">
        <f>HYPERLINK("https://secure.freee.co.jp/reports/general_ledgers/show?name=%E6%9C%9F%E6%9C%AB%E5%95%86%E5%93%81%E6%A3%9A%E5%8D%B8%E9%AB%98&amp;start_date=2026-01-01&amp;end_date=2026-01-31&amp;fiscal_year_id=10456857",-117755)</f>
        <v>-117755</v>
      </c>
      <c r="E51" s="43">
        <v>0</v>
      </c>
      <c r="F51" s="45">
        <v>0</v>
      </c>
      <c r="G51" s="38">
        <f>SUM(B51:F51)</f>
        <v>0</v>
      </c>
      <c r="H51" s="32" t="s">
        <v>410</v>
      </c>
    </row>
  </sheetData>
  <mergeCells count="1">
    <mergeCell ref="A1:H1"/>
  </mergeCells>
  <hyperlinks>
    <hyperlink ref="H7" r:id="rId1"/>
    <hyperlink ref="H8" r:id="rId2"/>
    <hyperlink ref="H9" r:id="rId3"/>
    <hyperlink ref="H10" r:id="rId4"/>
    <hyperlink ref="H11" r:id="rId5"/>
    <hyperlink ref="H12" r:id="rId6"/>
    <hyperlink ref="H13" r:id="rId7"/>
    <hyperlink ref="H14" r:id="rId8"/>
    <hyperlink ref="H15" r:id="rId9"/>
    <hyperlink ref="H16" r:id="rId10"/>
    <hyperlink ref="H17" r:id="rId11"/>
    <hyperlink ref="H18" r:id="rId12"/>
    <hyperlink ref="H19" r:id="rId13"/>
    <hyperlink ref="H20" r:id="rId14"/>
    <hyperlink ref="H21" r:id="rId15"/>
    <hyperlink ref="H22" r:id="rId16"/>
    <hyperlink ref="H23" r:id="rId17"/>
    <hyperlink ref="H24" r:id="rId18"/>
    <hyperlink ref="H25" r:id="rId19"/>
    <hyperlink ref="H26" r:id="rId20"/>
    <hyperlink ref="H27" r:id="rId21"/>
    <hyperlink ref="H28" r:id="rId22"/>
    <hyperlink ref="H29" r:id="rId23"/>
    <hyperlink ref="H30" r:id="rId24"/>
    <hyperlink ref="H31" r:id="rId25"/>
    <hyperlink ref="H34" r:id="rId26"/>
    <hyperlink ref="H35" r:id="rId27"/>
    <hyperlink ref="H37" r:id="rId28"/>
    <hyperlink ref="H40" r:id="rId29"/>
    <hyperlink ref="H42" r:id="rId30"/>
    <hyperlink ref="H45" r:id="rId31"/>
    <hyperlink ref="H48" r:id="rId32"/>
    <hyperlink ref="H49" r:id="rId33"/>
    <hyperlink ref="H50" r:id="rId34"/>
    <hyperlink ref="H51" r:id="rId3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404</v>
      </c>
      <c r="B1" s="5" t="s">
        <v>537</v>
      </c>
      <c r="C1" s="5" t="s">
        <v>538</v>
      </c>
      <c r="D1" s="5" t="s">
        <v>539</v>
      </c>
    </row>
    <row r="2" spans="1:4" x14ac:dyDescent="0.25">
      <c r="A2" s="10" t="s">
        <v>459</v>
      </c>
      <c r="B2" s="10" t="s">
        <v>540</v>
      </c>
      <c r="C2" s="30">
        <v>2112000</v>
      </c>
      <c r="D2" s="14" t="s">
        <v>541</v>
      </c>
    </row>
    <row r="3" spans="1:4" x14ac:dyDescent="0.25">
      <c r="A3" s="10" t="s">
        <v>429</v>
      </c>
      <c r="B3" s="10" t="s">
        <v>542</v>
      </c>
      <c r="C3" s="30">
        <v>892</v>
      </c>
      <c r="D3" s="10" t="s">
        <v>6</v>
      </c>
    </row>
    <row r="4" spans="1:4" x14ac:dyDescent="0.25">
      <c r="A4" s="10" t="s">
        <v>429</v>
      </c>
      <c r="B4" s="10" t="s">
        <v>543</v>
      </c>
      <c r="C4" s="30">
        <v>0</v>
      </c>
      <c r="D4" s="10" t="s">
        <v>6</v>
      </c>
    </row>
    <row r="5" spans="1:4" x14ac:dyDescent="0.25">
      <c r="A5" s="10" t="s">
        <v>429</v>
      </c>
      <c r="B5" s="10" t="s">
        <v>544</v>
      </c>
      <c r="C5" s="30">
        <v>0</v>
      </c>
      <c r="D5" s="10" t="s">
        <v>6</v>
      </c>
    </row>
    <row r="6" spans="1:4" x14ac:dyDescent="0.25">
      <c r="A6" s="10" t="s">
        <v>429</v>
      </c>
      <c r="B6" s="10" t="s">
        <v>545</v>
      </c>
      <c r="C6" s="30">
        <v>0</v>
      </c>
      <c r="D6" s="10" t="s">
        <v>6</v>
      </c>
    </row>
    <row r="7" spans="1:4" x14ac:dyDescent="0.25">
      <c r="A7" s="10" t="s">
        <v>459</v>
      </c>
      <c r="B7" s="10" t="s">
        <v>546</v>
      </c>
      <c r="C7" s="30">
        <v>0</v>
      </c>
      <c r="D7" s="10" t="s">
        <v>6</v>
      </c>
    </row>
    <row r="8" spans="1:4" x14ac:dyDescent="0.25">
      <c r="A8" s="10" t="s">
        <v>459</v>
      </c>
      <c r="B8" s="10" t="s">
        <v>547</v>
      </c>
      <c r="C8" s="30">
        <v>0</v>
      </c>
      <c r="D8" s="10" t="s">
        <v>6</v>
      </c>
    </row>
    <row r="9" spans="1:4" x14ac:dyDescent="0.25">
      <c r="A9" s="10" t="s">
        <v>459</v>
      </c>
      <c r="B9" s="10" t="s">
        <v>548</v>
      </c>
      <c r="C9" s="30">
        <v>0</v>
      </c>
      <c r="D9" s="10" t="s">
        <v>6</v>
      </c>
    </row>
    <row r="10" spans="1:4" x14ac:dyDescent="0.25">
      <c r="A10" s="10" t="s">
        <v>459</v>
      </c>
      <c r="B10" s="10" t="s">
        <v>549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2026-04-07T06:42:48Z</dcterms:created>
  <dcterms:modified xsi:type="dcterms:W3CDTF">2026-04-07T06:42:48Z</dcterms:modified>
</cp:coreProperties>
</file>