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<sst xmlns="http://schemas.openxmlformats.org/spreadsheetml/2006/main" count="1967" uniqueCount="563">
  <si>
    <t>合同会社CEI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</si>
  <si>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</si>
  <si>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</si>
  <si>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</si>
  <si>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</si>
  <si>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</si>
  <si>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</si>
  <si>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</si>
  <si>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</si>
  <si>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</si>
  <si>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</si>
  <si>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</si>
  <si>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</si>
  <si>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</si>
  <si>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</si>
  <si>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</si>
  <si>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</si>
  <si>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</si>
  <si>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源泉所得税チェック</t>
  </si>
  <si>
    <t>-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</si>
  <si>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</si>
  <si>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</si>
  <si>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</si>
  <si>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</si>
  <si>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</si>
  <si>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</si>
  <si>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</si>
  <si>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</si>
  <si>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</si>
  <si>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</si>
  <si>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</si>
  <si>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</si>
  <si>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</si>
  <si>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</si>
  <si>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</si>
  <si>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</si>
  <si>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</si>
  <si>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</si>
  <si>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</si>
  <si>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</si>
  <si>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</si>
  <si>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</si>
  <si>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</si>
  <si>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</si>
  <si>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</si>
  <si>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</si>
  <si>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</si>
  <si>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</si>
  <si>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</si>
  <si>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</si>
  <si>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</si>
  <si>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</si>
  <si>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</si>
  <si>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</si>
  <si>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</si>
  <si>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</si>
  <si>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</si>
  <si>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</si>
  <si>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</si>
  <si>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</si>
  <si>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</si>
  <si>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</si>
  <si>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</si>
  <si>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</si>
  <si>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</si>
  <si>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</si>
  <si>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</si>
  <si>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</si>
  <si>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</si>
  <si>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</si>
  <si>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</si>
  <si>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</si>
  <si>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</si>
  <si>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</si>
  <si>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</si>
  <si>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</si>
  <si>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</si>
  <si>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</si>
  <si>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</si>
  <si>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</si>
  <si>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</si>
  <si>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</si>
  <si>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</si>
  <si>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</si>
  <si>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</si>
  <si>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</si>
  <si>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</si>
  <si>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</si>
  <si>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</si>
  <si>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</si>
  <si>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</si>
  <si>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</si>
  <si>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</si>
  <si>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</si>
  <si>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</si>
  <si>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</si>
  <si>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</si>
  <si>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</si>
  <si>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</si>
  <si>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</si>
  <si>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</si>
  <si>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</si>
  <si>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</si>
  <si>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</si>
  <si>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</si>
  <si>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</si>
  <si>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</si>
  <si>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</si>
  <si>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</si>
  <si>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</si>
  <si>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</si>
  <si>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</si>
  <si>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</si>
  <si>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</si>
  <si>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</si>
  <si>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</si>
  <si>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</si>
  <si>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</si>
  <si>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</si>
  <si>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</si>
  <si>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</si>
  <si>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</si>
  <si>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</si>
  <si>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</si>
  <si>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</si>
  <si>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</si>
  <si>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</si>
  <si>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</si>
  <si>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</si>
  <si>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</si>
  <si>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</si>
  <si>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</si>
  <si>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</si>
  <si>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</si>
  <si>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</si>
  <si>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</si>
  <si>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</si>
  <si>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</si>
  <si>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</si>
  <si>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</si>
  <si>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</si>
  <si>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</si>
  <si>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</si>
  <si>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</si>
  <si>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</si>
  <si>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</si>
  <si>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</si>
  <si>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</si>
  <si>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</si>
  <si>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</si>
  <si>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</si>
  <si>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</si>
  <si>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</si>
  <si>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</si>
  <si>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</si>
  <si>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</si>
  <si>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</si>
  <si>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</si>
  <si>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</si>
  <si>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</si>
  <si>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</si>
  <si>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</si>
  <si>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</si>
  <si>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</si>
  <si>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</si>
  <si>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</si>
  <si>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</si>
  <si>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</si>
  <si>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</si>
  <si>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</si>
  <si>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</si>
  <si>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</si>
  <si>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</si>
  <si>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</si>
  <si>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</si>
  <si>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</si>
  <si>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消費税区分</t>
  </si>
  <si>
    <t>「売上高」に非課税・不課税の取引が6件（2,645,000円）あります。売上は原則課税売上です。</t>
  </si>
  <si>
    <t>非課税/不課税 × 6件</t>
  </si>
  <si>
    <t>課税売上10%に修正</t>
  </si>
  <si>
    <t>freeeで確認</t>
  </si>
  <si>
    <t xml:space="preserve">　　2026-02-28  ライツ事業部 業務委託費 26年2月分</t>
  </si>
  <si>
    <t>1,265,000円</t>
  </si>
  <si>
    <t>明細を開く</t>
  </si>
  <si>
    <t xml:space="preserve">　　2026-02-28  26年2月度　業務委託費用</t>
  </si>
  <si>
    <t>400,000円</t>
  </si>
  <si>
    <t xml:space="preserve">　　2026-02-28  26年2月分</t>
  </si>
  <si>
    <t>440,000円</t>
  </si>
  <si>
    <t xml:space="preserve">　　2026-02-28  アドバイザリー契約　26年2月度分</t>
  </si>
  <si>
    <t>220,000円</t>
  </si>
  <si>
    <t xml:space="preserve">　　2026-02-28  26年2月度　業務委託費</t>
  </si>
  <si>
    <t>100,000円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</si>
  <si>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</si>
  <si>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</si>
  <si>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</si>
  <si>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</si>
  <si>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2026-02-28 に同日・同額（220,000円）・同科目(ID:592038649)の取引が 3 件あります。重複計上の可能性があります。</t>
  </si>
  <si>
    <t>deal_id: 3444919915, 3433094431, 3433093738</t>
  </si>
  <si>
    <t>重複していないか確認してください</t>
  </si>
  <si>
    <t>2026-02-28 に同日・同額（11,800円）・同科目(ID:592038703)の取引が 2 件あります。重複計上の可能性があります。</t>
  </si>
  <si>
    <t>deal_id: 3441872921, 3441872892</t>
  </si>
  <si>
    <t>2026-02-25 に同日・同額（135円）・同科目(ID:592038693)の取引が 9 件あります。重複計上の可能性があります。</t>
  </si>
  <si>
    <t>deal_id: 3316402319, 3316402281, 3316402243, 3316402205, 3316402161, 3316402131, 3316402086, 3316402061, 3316402017</t>
  </si>
  <si>
    <t>2026-02-10 に同日・同額（135円）・同科目(ID:592038693)の取引が 2 件あります。重複計上の可能性があります。</t>
  </si>
  <si>
    <t>deal_id: 3269632515, 3269632485</t>
  </si>
  <si>
    <t>2026-02-03 に同日・同額（140円）・同科目(ID:592038679)の取引が 2 件あります。重複計上の可能性があります。</t>
  </si>
  <si>
    <t>deal_id: 3452643573, 3452642725</t>
  </si>
  <si>
    <t>2026-02-02 に同日・同額（135円）・同科目(ID:592038693)の取引が 8 件あります。重複計上の可能性があります。</t>
  </si>
  <si>
    <t>deal_id: 3250047016, 3238045488, 3238045413, 3238045339, 3238045278, 3238045222, 3238045136, 3238045088</t>
  </si>
  <si>
    <t>借入金・リース</t>
  </si>
  <si>
    <t>「役員借入金」に品目タグなしの残高（-165,900円）があります。どの借入先・リース契約に属するか不明です。</t>
  </si>
  <si>
    <t>未選択: -165,900円</t>
  </si>
  <si>
    <t>各借入先・リース契約ごとに品目タグを設定し、内訳を明確にしてください</t>
  </si>
  <si>
    <t>「役員借入金」の「住民税」で当月の返済が確認できません（残高変動なし: 165,900円）。</t>
  </si>
  <si>
    <t>前月: 165,900円 → 当月: 165,900円（変動 0円）</t>
  </si>
  <si>
    <t>返済日の出金が正しく記帳されているか確認してください。据置期間中の場合は問題ありません</t>
  </si>
  <si>
    <t>地代家賃</t>
  </si>
  <si>
    <t>地代家賃が前月平均比 42%減少しています（当月: 225,500円、前月平均: 388,532円）。（変動あり取引先: NTT都市開発㈱）</t>
  </si>
  <si>
    <t>当月: 225,500円</t>
  </si>
  <si>
    <t>新規契約・解約・更新料等の理由がなければ、仕訳内容を確認してください</t>
  </si>
  <si>
    <t>人件費</t>
  </si>
  <si>
    <t>法定福利費の比率が高すぎます。給与合計 1,743,500円 に対し 法定福利費 998,503円（57.3%）。正常値は概ね14〜15%です。</t>
  </si>
  <si>
    <t>57.3%（給与合計: 1,743,500円、法定福利費: 998,503円）</t>
  </si>
  <si>
    <t>法定福利費は社会保険対象の給与合計の14〜15%程度が正常です</t>
  </si>
  <si>
    <t>外注費</t>
  </si>
  <si>
    <t>「支払報酬料」で士業取引先「あしたの会計事務所税理士法人」への支払 77,000円があります。「預り金（源泉所得税（士業））」に残高（20,420円）あり。源泉徴収（推定 7,861円 / 10.21%）の計上・納付を確認してください。</t>
  </si>
  <si>
    <t>支払額: 77,000円</t>
  </si>
  <si>
    <t>源泉所得税 約7,861円 を「預り金（源泉所得税（士業））」として計上し、翌月10日までに納付してください</t>
  </si>
  <si>
    <t>「支払報酬料」で士業取引先「弁護士　菱山光輝」への支払 110,000円があります。「預り金（源泉所得税（士業））」に残高（20,420円）あり。源泉徴収（推定 11,231円 / 10.21%）の計上・納付を確認してください。</t>
  </si>
  <si>
    <t>支払額: 110,000円</t>
  </si>
  <si>
    <t>源泉所得税 約11,231円 を「預り金（源泉所得税（士業））」として計上し、翌月10日までに納付してください</t>
  </si>
  <si>
    <t>「支払報酬料」で士業取引先「社会保険労務士法人閃光舎」への支払 16,500円があります。「預り金（源泉所得税（士業））」に残高（20,420円）あり。源泉徴収（推定 1,684円 / 10.21%）の計上・納付を確認してください。</t>
  </si>
  <si>
    <t>支払額: 16,500円</t>
  </si>
  <si>
    <t>源泉所得税 約1,684円 を「預り金（源泉所得税（士業））」として計上し、翌月10日までに納付してください</t>
  </si>
  <si>
    <t>「支払報酬」で士業取引先「あしたの会計事務所税理士法人」への支払 77,000円があります。「預り金（源泉所得税（士業））」に残高（20,420円）あり。源泉徴収（推定 7,861円 / 10.21%）の計上・納付を確認してください。</t>
  </si>
  <si>
    <t>「支払報酬」で士業取引先「弁護士　菱山光輝」への支払 110,000円があります。「預り金（源泉所得税（士業））」に残高（20,420円）あり。源泉徴収（推定 11,231円 / 10.21%）の計上・納付を確認してください。</t>
  </si>
  <si>
    <t>「支払報酬」で士業取引先「社会保険労務士法人閃光舎」への支払 16,500円があります。「預り金（源泉所得税（士業））」に残高（20,420円）あり。源泉徴収（推定 1,684円 / 10.21%）の計上・納付を確認してください。</t>
  </si>
  <si>
    <t>売上・売掛金</t>
  </si>
  <si>
    <t>売上高が前年同月比 34%増加しています（当月: 21,474,263円、前年同月推定: 16,023,295円）。</t>
  </si>
  <si>
    <t>当月: 21,474,263円</t>
  </si>
  <si>
    <t>顧客増減・単価変更・業務構成の変化等の背景を確認してください</t>
  </si>
  <si>
    <t>「売掛金」の「REALITY Studios株式会社」残高が2ヶ月連続で同額（220,000円）です。回収が滞留している可能性があります。</t>
  </si>
  <si>
    <t>220,000円（前月比変動なし）</t>
  </si>
  <si>
    <t>回収期日を確認し、顧客に入金を依頼してください。回収不能の場合は貸倒引当金の計上を検討してください</t>
  </si>
  <si>
    <t>「売掛金」の「ぴあ㈱」残高が2ヶ月連続で同額（440,000円）です。回収が滞留している可能性があります。</t>
  </si>
  <si>
    <t>440,000円（前月比変動なし）</t>
  </si>
  <si>
    <t>「売掛金」の「㈱ディ・テクノ」残高が2ヶ月連続で同額（220,000円）です。回収が滞留している可能性があります。</t>
  </si>
  <si>
    <t>「売掛金」の「東宝㈱」残高が2ヶ月連続で同額（1,265,000円）です。回収が滞留している可能性があります。</t>
  </si>
  <si>
    <t>1,265,000円（前月比変動なし）</t>
  </si>
  <si>
    <t>仕入・買掛金</t>
  </si>
  <si>
    <t>「仕入高」が前月平均比 75%減少しています（当月: 2,600,579円、前月平均: 10,214,156円）。</t>
  </si>
  <si>
    <t>当月: 2,600,579円</t>
  </si>
  <si>
    <t>季節変動・大口発注以外の原因がなければ、計上漏れや二重計上を確認してください</t>
  </si>
  <si>
    <t>「売上原価」が前月平均比 75%減少しています（当月: 2,600,579円、前月平均: 10,214,156円）。</t>
  </si>
  <si>
    <t>「外注費」が前月平均比 61%増加しています（当月: 1,353,185円、前月平均: 838,515円）。</t>
  </si>
  <si>
    <t>当月: 1,353,185円</t>
  </si>
  <si>
    <t>「買掛金」の「㈱funbox」残高が2ヶ月連続で同額（1,874,400円）です。支払が滞留している可能性があります。</t>
  </si>
  <si>
    <t>1,874,400円（前月比変動なし）</t>
  </si>
  <si>
    <t>支払期日を確認し、消込処理または支払を実施してください</t>
  </si>
  <si>
    <t>「買掛金」の「東宝㈱」残高が2ヶ月連続で同額（1,273,536円）です。支払が滞留している可能性があります。</t>
  </si>
  <si>
    <t>1,273,536円（前月比変動なし）</t>
  </si>
  <si>
    <t>「未払金」の「㈱Orange Tabby」残高が2ヶ月連続で同額（275,000円）です。支払が滞留している可能性があります。</t>
  </si>
  <si>
    <t>275,000円（前月比変動なし）</t>
  </si>
  <si>
    <t>「未払金」の「弁護士　菱山光輝」残高が2ヶ月連続で同額（99,790円）です。支払が滞留している可能性があります。</t>
  </si>
  <si>
    <t>99,790円（前月比変動なし）</t>
  </si>
  <si>
    <t>「未払金」の「斉藤和子」残高が2ヶ月連続で同額（99,790円）です。支払が滞留している可能性があります。</t>
  </si>
  <si>
    <t>「未払金」の「杉本 拓朗」残高が2ヶ月連続で同額（427,452円）です。支払が滞留している可能性があります。</t>
  </si>
  <si>
    <t>427,452円（前月比変動なし）</t>
  </si>
  <si>
    <t>「未払金」の「阿部哲子」残高が2ヶ月連続で同額（264,555円）です。支払が滞留している可能性があります。</t>
  </si>
  <si>
    <t>264,555円（前月比変動なし）</t>
  </si>
  <si>
    <t>「未払費用」の「CHANG WEIHSI」残高が2ヶ月連続で同額（247,390円）です。支払が滞留している可能性があります。</t>
  </si>
  <si>
    <t>247,390円（前月比変動なし）</t>
  </si>
  <si>
    <t>「未払費用」の「成田　美紀」残高が2ヶ月連続で同額（293,969円）です。支払が滞留している可能性があります。</t>
  </si>
  <si>
    <t>293,969円（前月比変動なし）</t>
  </si>
  <si>
    <t>残高異常</t>
  </si>
  <si>
    <t>「みずほ（法人）（API）」の残高 973,812円が前月から変動ありません（滞留の可能性）。</t>
  </si>
  <si>
    <t>973,812円（前月同額）</t>
  </si>
  <si>
    <t>回収・支払状況を確認し、必要に応じて貸倒処理や振替を検討してください</t>
  </si>
  <si>
    <t xml:space="preserve">　　取引先「未選択」で滞留</t>
  </si>
  <si>
    <t>1,000,000円</t>
  </si>
  <si>
    <t xml:space="preserve">　　取引先「みずほ銀行」で滞留</t>
  </si>
  <si>
    <t>-26,188円</t>
  </si>
  <si>
    <t>「前渡金」の残高 6,476,493円が前月から変動ありません（滞留の可能性）。</t>
  </si>
  <si>
    <t>6,476,493円（前月同額）</t>
  </si>
  <si>
    <t xml:space="preserve">　　取引先「Wing Ching Industrial (China-HK)」で滞留</t>
  </si>
  <si>
    <t>4,795,000円</t>
  </si>
  <si>
    <t xml:space="preserve">　　取引先「㈱広英社」で滞留</t>
  </si>
  <si>
    <t>1,220,560円</t>
  </si>
  <si>
    <t xml:space="preserve">　　取引先「㈱リンクアカデミー」で滞留</t>
  </si>
  <si>
    <t>460,933円</t>
  </si>
  <si>
    <t>「関係会社株式」の残高 8,000,000円が前月から変動ありません（滞留の可能性）。</t>
  </si>
  <si>
    <t>8,000,000円（前月同額）</t>
  </si>
  <si>
    <t xml:space="preserve">　　取引先「㈱Orange Tabby」で滞留</t>
  </si>
  <si>
    <t>8,000,000円</t>
  </si>
  <si>
    <t>仮勘定「前渡金」に 6,476,493円の残高があります。</t>
  </si>
  <si>
    <t>6,476,493円</t>
  </si>
  <si>
    <t>内容を確認し、適切な科目に振り替えてください</t>
  </si>
  <si>
    <t xml:space="preserve">　　[品目] 未選択</t>
  </si>
  <si>
    <t>5,255,933円</t>
  </si>
  <si>
    <t xml:space="preserve">　　[品目] 物販（卸売り）</t>
  </si>
  <si>
    <t>仮勘定「立替金」に 3,448,850円の残高があります。</t>
  </si>
  <si>
    <t>3,448,850円</t>
  </si>
  <si>
    <t>2,583,150円</t>
  </si>
  <si>
    <t xml:space="preserve">　　[品目] あしたの会計事務所税理士法人</t>
  </si>
  <si>
    <t>519,200円</t>
  </si>
  <si>
    <t xml:space="preserve">　　[品目] 社会保険労務士法人閃光舎</t>
  </si>
  <si>
    <t>181,500円</t>
  </si>
  <si>
    <t xml:space="preserve">　　[品目] 人事情報システム㈱</t>
  </si>
  <si>
    <t>165,000円</t>
  </si>
  <si>
    <t xml:space="preserve">　　2026-02-28  Orange Tabby 立替（年末調整　1月分）</t>
  </si>
  <si>
    <t>37,400円</t>
  </si>
  <si>
    <t>支払報酬料</t>
  </si>
  <si>
    <t xml:space="preserve">　　2026-02-28  Orange Tabby 立替　2月分</t>
  </si>
  <si>
    <t>26,400円</t>
  </si>
  <si>
    <t xml:space="preserve">　　2026-02-26  給与計算報酬 1月分</t>
  </si>
  <si>
    <t>16,500円</t>
  </si>
  <si>
    <t>立替金</t>
  </si>
  <si>
    <t xml:space="preserve">　　2026-02-26  顧問報酬 1月分</t>
  </si>
  <si>
    <t>「売掛金」が前月比 536% 変動（3,565,000円 → 22,674,263円）。</t>
  </si>
  <si>
    <t>22,674,263円（前月: 3,565,000円、変動率: 536%）</t>
  </si>
  <si>
    <t>変動原因を確認してください</t>
  </si>
  <si>
    <t>「前払費用」が前月比 178% 変動（225,500円 → 627,000円）。</t>
  </si>
  <si>
    <t>627,000円（前月: 225,500円、変動率: 178%）</t>
  </si>
  <si>
    <t>「差入保証金」が前月比 100% 変動（100,000円 → 0円）。 主な取引: 2026-02-28 100,000円 売上高。</t>
  </si>
  <si>
    <t>0円（前月: 100,000円、変動率: 100%）</t>
  </si>
  <si>
    <t xml:space="preserve">　　2026-02-28  1/27支払済み　出店証拠金 ※2026/2/11-2/23</t>
  </si>
  <si>
    <t>売上高</t>
  </si>
  <si>
    <t>「立替経費（杉本）」が前月比 275% 変動（214,978円 → 806,382円）。</t>
  </si>
  <si>
    <t>806,382円（前月: 214,978円、変動率: 275%）</t>
  </si>
  <si>
    <t>「アメリカン・エキスプレス - ビジネス・カード（API）1」が前月比 77% 変動（728,282円 → 165,915円）。</t>
  </si>
  <si>
    <t>165,915円（前月: 728,282円、変動率: 77%）</t>
  </si>
  <si>
    <t>「預り金」が前月比 329% 変動（549,888円 → 2,358,138円）。 主な取引: 2026-02-25 1,473,624円 役員賞与、2026-02-28 91,890円 外注費、2026-02-25 53,521円 賞与 （他10件の取引あり）。</t>
  </si>
  <si>
    <t>2,358,138円（前月: 549,888円、変動率: 329%）</t>
  </si>
  <si>
    <t xml:space="preserve">　　2026-02-25  源泉所得税</t>
  </si>
  <si>
    <t>1,473,624円</t>
  </si>
  <si>
    <t>役員賞与</t>
  </si>
  <si>
    <t xml:space="preserve">　　2026-02-28  源泉所得税</t>
  </si>
  <si>
    <t>91,890円</t>
  </si>
  <si>
    <t xml:space="preserve">　　2026-02-25  源泉所得税（賞与）</t>
  </si>
  <si>
    <t>53,521円</t>
  </si>
  <si>
    <t>賞与</t>
  </si>
  <si>
    <t xml:space="preserve">　　2026-02-28  住民税</t>
  </si>
  <si>
    <t>52,300円</t>
  </si>
  <si>
    <t>給料手当</t>
  </si>
  <si>
    <t>26,141円</t>
  </si>
  <si>
    <t>期間配分</t>
  </si>
  <si>
    <t>「地代家賃」で以下の取引先への計上が当月ありません。計上漏れの可能性があります: 「NTT都市開発㈱」（前月平均: 163,032円/月）</t>
  </si>
  <si>
    <t>当月 計上なし</t>
  </si>
  <si>
    <t>NTT都市開発㈱: 約163,032円</t>
  </si>
  <si>
    <t>「賃借料」で以下の取引先への計上が当月ありません。計上漏れの可能性があります: 「㈱Gホールディングス」（前月平均: 1,030,400円/月）、「㈱カードラボ」（前月平均: 20,300円/月）</t>
  </si>
  <si>
    <t>㈱Gホールディングス: 約1,030,400円、㈱カードラボ: 約20,300円</t>
  </si>
  <si>
    <t>「支払手数料」で以下の取引先への計上が当月ありません。計上漏れの可能性があります: 「㈱ハートランド」（前月平均: 19,847円/月）、「日本通運㈱」（前月平均: 9,000円/月）</t>
  </si>
  <si>
    <t>㈱ハートランド: 約19,847円、日本通運㈱: 約9,000円</t>
  </si>
  <si>
    <t>食品系キーワードを含む取引1件に標準税率10%が設定されています。軽減税率8%の可能性があります。</t>
  </si>
  <si>
    <t>課対仕入10% × 1件</t>
  </si>
  <si>
    <t>課対仕入8%（軽減）に修正</t>
  </si>
  <si>
    <t xml:space="preserve">　　2026-02-20  ：ねんどろいどぷらす   ペルソナ 5  ザ ‧ロイヤル   パンサー   らばーますこっと</t>
  </si>
  <si>
    <t>1,800円</t>
  </si>
  <si>
    <t>「売上高」に4種類の税区分が混在しています（課税売上10%: 7件、税区分コード134: 4件、対象外: 1件、輸出売上: 1件）。</t>
  </si>
  <si>
    <t>4種類混在</t>
  </si>
  <si>
    <t>税区分ごとの内訳を確認してください</t>
  </si>
  <si>
    <t xml:space="preserve">　　課税売上10%（7件・計18,829,263円）</t>
  </si>
  <si>
    <t>18,829,263円</t>
  </si>
  <si>
    <t xml:space="preserve">　　税区分コード134（4件・計2,145,000円）</t>
  </si>
  <si>
    <t>2,145,000円</t>
  </si>
  <si>
    <t xml:space="preserve">　　対象外（1件・計400,000円）</t>
  </si>
  <si>
    <t xml:space="preserve">　　輸出売上（1件・計100,000円）</t>
  </si>
  <si>
    <t>「仕入高」に2種類の税区分が混在しています（対象外: 10件、課対仕入10%: 6件）。</t>
  </si>
  <si>
    <t>2種類混在</t>
  </si>
  <si>
    <t xml:space="preserve">　　対象外（10件・計97,400円）</t>
  </si>
  <si>
    <t>97,400円</t>
  </si>
  <si>
    <t xml:space="preserve">　　課対仕入10%（6件・計2,503,179円）</t>
  </si>
  <si>
    <t>2,503,179円</t>
  </si>
  <si>
    <t>「会議費」に2種類の税区分が混在しています（課対仕入10%: 16件、課対仕入8%(軽): 3件）。</t>
  </si>
  <si>
    <t xml:space="preserve">　　課対仕入10%（16件・計101,241円）</t>
  </si>
  <si>
    <t>101,241円</t>
  </si>
  <si>
    <t xml:space="preserve">　　課対仕入8%(軽)（3件・計8,043円）</t>
  </si>
  <si>
    <t>8,043円</t>
  </si>
  <si>
    <t>源泉所得税</t>
  </si>
  <si>
    <t>源泉税額が期待値と乖離している取引が2件あります。消費税の税込/税抜の違い、または計算誤りの可能性があります。</t>
  </si>
  <si>
    <t>乖離 × 2件</t>
  </si>
  <si>
    <t>源泉税額を再計算してください</t>
  </si>
  <si>
    <t xml:space="preserve">　　2026-02-28  「葬送のフリーレンxタケウチ リョースケ」デザイン一式</t>
  </si>
  <si>
    <t>990,000円</t>
  </si>
  <si>
    <t>預り金: 91,890円（期待: 101,079円）</t>
  </si>
  <si>
    <t xml:space="preserve">　　2026-02-28  顧問報酬 2月分</t>
  </si>
  <si>
    <t>110,000円</t>
  </si>
  <si>
    <t>預り金: 10,210円（期待: 11,231円）</t>
  </si>
  <si>
    <t>預り金の残高が前月比で大幅に増加しています（549,888円 → 2,358,138円、増加1,808,250円）。源泉税の納付漏れの可能性があります。</t>
  </si>
  <si>
    <t>2,358,138円（前月: 549,888円）</t>
  </si>
  <si>
    <t>源泉所得税の納付状況を確認してください</t>
  </si>
  <si>
    <t>営業外・税金</t>
  </si>
  <si>
    <t>受取利息132,104円に対する源泉所得税（15.315%）の計上を確認してください。</t>
  </si>
  <si>
    <t>受取利息: 132,104円</t>
  </si>
  <si>
    <t>源泉税 約20,231円を「法人税・住民税及び事業税」または「仮払法人税等」で処理してください</t>
  </si>
  <si>
    <t>給料手当が前月平均比 30%増加しています（当月: 1,193,500円、前月平均: 917,708円）。</t>
  </si>
  <si>
    <t>当月: 1,193,500円</t>
  </si>
  <si>
    <t>入退社・昇給・賞与月などの理由がなければ内容を確認してください</t>
  </si>
  <si>
    <t>売上高に取引先タグなしの計上（13,667,940円）があります。どの顧客からの売上か不明です。</t>
  </si>
  <si>
    <t>未選択: 13,667,940円</t>
  </si>
  <si>
    <t>全ての売上取引に取引先タグを設定し、顧客別売上管理ができるようにしてください</t>
  </si>
  <si>
    <t>「役員賞与」が今月新たに計上されています（6,000,000円）。</t>
  </si>
  <si>
    <t>当月: 6,000,000円</t>
  </si>
  <si>
    <t>計上内容と金額の妥当性を確認してください</t>
  </si>
  <si>
    <t>「新聞図書費」が前月平均比 699%変動しています（当月: 96,597円、前月平均: 12,091円）。</t>
  </si>
  <si>
    <t>当月: 96,597円</t>
  </si>
  <si>
    <t>「賞与」が前月平均比 605%変動しています（当月: 1,575,000円、前月平均: 223,364円）。</t>
  </si>
  <si>
    <t>当月: 1,575,000円</t>
  </si>
  <si>
    <t>「研究開発費」が前月平均比 411%変動しています（当月: 802,978円、前月平均: 157,039円）。</t>
  </si>
  <si>
    <t>当月: 802,978円</t>
  </si>
  <si>
    <t>「荷造運賃」が前月平均比 171%変動しています（当月: 27,927円、前月平均: 10,294円）。</t>
  </si>
  <si>
    <t>当月: 27,927円</t>
  </si>
  <si>
    <t>「通信費」の取引先「KDDI㈱」が前月平均比 62% 変動しています（前月平均: 11,744円 → 当月: 19,046円）。期間配分の観点から確認を推奨します。</t>
  </si>
  <si>
    <t>当月: 19,046円（前月平均: 11,744円）</t>
  </si>
  <si>
    <t>一時的な金額増減か、契約変更等によるものか確認してください</t>
  </si>
  <si>
    <t>「支払報酬料」の取引先「あしたの会計事務所税理士法人」が前月平均比 61% 変動しています（前月平均: 47,800円 → 当月: 77,000円）。期間配分の観点から確認を推奨します。</t>
  </si>
  <si>
    <t>当月: 77,000円（前月平均: 47,800円）</t>
  </si>
  <si>
    <t>「支払報酬料」の取引先「弁護士　菱山光輝」が前月平均比 267% 変動しています（前月平均: 30,000円 → 当月: 110,000円）。期間配分の観点から確認を推奨します。</t>
  </si>
  <si>
    <t>当月: 110,000円（前月平均: 30,000円）</t>
  </si>
  <si>
    <t>100万円以上の課税仕入取引が1件（1,491,389円）あります。税区分の正確性を確認してください。</t>
  </si>
  <si>
    <t>1件（1,491,389円）</t>
  </si>
  <si>
    <t>税区分の正確性を確認</t>
  </si>
  <si>
    <t xml:space="preserve">　　2026-02-04  商品仕入 『クリアファイル：量産分』他</t>
  </si>
  <si>
    <t>1,491,389円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</si>
  <si>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</si>
  <si>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</si>
  <si>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</si>
  <si>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</si>
  <si>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</si>
  <si>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</si>
  <si>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</si>
  <si>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</si>
  <si>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</si>
  <si>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</si>
  <si>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</si>
  <si>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</si>
  <si>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</si>
  <si>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</si>
  <si>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住信ＳＢＩネット（法人）</t>
  </si>
  <si>
    <t>-14.4%</t>
  </si>
  <si>
    <t>元帳を開く</t>
  </si>
  <si>
    <t>みずほ（法人）（API）</t>
  </si>
  <si>
    <t>0.0%</t>
  </si>
  <si>
    <t>売掛金</t>
  </si>
  <si>
    <t>536.0%</t>
  </si>
  <si>
    <t>△</t>
  </si>
  <si>
    <t>前渡金</t>
  </si>
  <si>
    <t>2.9%</t>
  </si>
  <si>
    <t>前払費用</t>
  </si>
  <si>
    <t>178.0%</t>
  </si>
  <si>
    <t>役員貸付金</t>
  </si>
  <si>
    <t>-100.0%</t>
  </si>
  <si>
    <t>未収入金</t>
  </si>
  <si>
    <t>148.9%</t>
  </si>
  <si>
    <t>預け金</t>
  </si>
  <si>
    <t>工具器具備品</t>
  </si>
  <si>
    <t>関係会社株式</t>
  </si>
  <si>
    <t>敷金</t>
  </si>
  <si>
    <t>差入保証金</t>
  </si>
  <si>
    <t>買掛金</t>
  </si>
  <si>
    <t>-8.5%</t>
  </si>
  <si>
    <t>未払金</t>
  </si>
  <si>
    <t>48.7%</t>
  </si>
  <si>
    <t>未払費用</t>
  </si>
  <si>
    <t>-3.0%</t>
  </si>
  <si>
    <t>立替経費（杉本）</t>
  </si>
  <si>
    <t>275.1%</t>
  </si>
  <si>
    <t>立替経費（成田）</t>
  </si>
  <si>
    <t>99.3%</t>
  </si>
  <si>
    <t>立替経費（張）</t>
  </si>
  <si>
    <t>4.3%</t>
  </si>
  <si>
    <t>アメリカン・エキスプレス</t>
  </si>
  <si>
    <t>アメリカン・エキスプレス - ビジネス・カード（API）1</t>
  </si>
  <si>
    <t>-77.2%</t>
  </si>
  <si>
    <t>立替経費（中尾）</t>
  </si>
  <si>
    <t>0.9%</t>
  </si>
  <si>
    <t>未払法人税等</t>
  </si>
  <si>
    <t>未払消費税等</t>
  </si>
  <si>
    <t>預り金</t>
  </si>
  <si>
    <t>328.8%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</si>
  <si>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</si>
  <si>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</si>
  <si>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</si>
  <si>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</si>
  <si>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</si>
  <si>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</si>
  <si>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</si>
  <si>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</si>
  <si>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</si>
  <si>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</si>
  <si>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</si>
  <si>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</si>
  <si>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</si>
  <si>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</si>
  <si>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</si>
  <si>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</si>
  <si>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</si>
  <si>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</si>
  <si>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</si>
  <si>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</si>
  <si>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</si>
  <si>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</si>
  <si>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</si>
  <si>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</si>
  <si>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</si>
  <si>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荷造運賃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</si>
  <si>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</si>
  <si>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</si>
  <si>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</si>
  <si>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</si>
  <si>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販売手数料</t>
  </si>
  <si>
    <t xml:space="preserve">  消耗品費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</si>
  <si>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</si>
  <si>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</si>
  <si>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</si>
  <si>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</si>
  <si>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賃借料</t>
  </si>
  <si>
    <t xml:space="preserve">  保険料</t>
  </si>
  <si>
    <t xml:space="preserve">  租税公課</t>
  </si>
  <si>
    <t xml:space="preserve">  支払報酬料</t>
  </si>
  <si>
    <t xml:space="preserve">  研究開発費</t>
  </si>
  <si>
    <t xml:space="preserve">  減価償却費</t>
  </si>
  <si>
    <t>販売管理費 計</t>
  </si>
  <si>
    <t>営業利益</t>
  </si>
  <si>
    <t xml:space="preserve">  受取利息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</si>
  <si>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</si>
  <si>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</si>
  <si>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</si>
  <si>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</si>
  <si>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</si>
  <si>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</si>
  <si>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</si>
  <si>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</si>
  <si>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</si>
  <si>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</si>
  <si>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</si>
  <si>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</si>
  <si>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</si>
  <si>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株式会社viviON</t>
  </si>
  <si>
    <t>㈱広英社</t>
  </si>
  <si>
    <t>㈱パルコ</t>
  </si>
  <si>
    <t>中央年金事務所</t>
  </si>
  <si>
    <t>㈱funbox</t>
  </si>
  <si>
    <t>滞留</t>
  </si>
  <si>
    <t>東宝㈱</t>
  </si>
  <si>
    <t>Dongguan Hengjia Gifts Co., Ltd.</t>
  </si>
  <si>
    <t>寺崎 めぐみ</t>
  </si>
  <si>
    <t>㈱松栄シルク</t>
  </si>
  <si>
    <t>可来軟件開発(上海)有限公司</t>
  </si>
  <si>
    <t>ぴあ㈱</t>
  </si>
  <si>
    <t>杉本 拓朗</t>
  </si>
  <si>
    <t>㈱ムービック</t>
  </si>
  <si>
    <t>㈱Orange Tabby</t>
  </si>
  <si>
    <t>阿部哲子</t>
  </si>
  <si>
    <t>REALITY Studios株式会社</t>
  </si>
  <si>
    <t>㈱ディ・テクノ</t>
  </si>
  <si>
    <t>㈱小学館集英社プロダクション</t>
  </si>
  <si>
    <t>㈱ハートランド</t>
  </si>
  <si>
    <t>あしたの会計事務所税理士法人</t>
  </si>
  <si>
    <t>弁護士　菱山光輝</t>
  </si>
  <si>
    <t>斉藤和子</t>
  </si>
  <si>
    <t>フェデラルエクスプレスジャパン(同)</t>
  </si>
  <si>
    <t>人事情報システム㈱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</si>
</sst>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2" Type="http://schemas.openxmlformats.org/officeDocument/2006/relationships/hyperlink" Target="https://secure.freee.co.jp/reports/journals?deal_id=3444941631" TargetMode="External"/><Relationship Id="rId3" Type="http://schemas.openxmlformats.org/officeDocument/2006/relationships/hyperlink" Target="https://secure.freee.co.jp/reports/journals?deal_id=3433095445" TargetMode="External"/><Relationship Id="rId4" Type="http://schemas.openxmlformats.org/officeDocument/2006/relationships/hyperlink" Target="https://secure.freee.co.jp/reports/journals?deal_id=3433094880" TargetMode="External"/><Relationship Id="rId5" Type="http://schemas.openxmlformats.org/officeDocument/2006/relationships/hyperlink" Target="https://secure.freee.co.jp/reports/journals?deal_id=3433094431" TargetMode="External"/><Relationship Id="rId6" Type="http://schemas.openxmlformats.org/officeDocument/2006/relationships/hyperlink" Target="https://secure.freee.co.jp/reports/journals?deal_id=3433093738" TargetMode="External"/><Relationship Id="rId7" Type="http://schemas.openxmlformats.org/officeDocument/2006/relationships/hyperlink" Target="https://secure.freee.co.jp/reports/journals?deal_id=3269654313" TargetMode="External"/><Relationship Id="rId8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1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3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4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7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8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1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1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2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2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2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6" Type="http://schemas.openxmlformats.org/officeDocument/2006/relationships/hyperlink" Target="https://secure.freee.co.jp/reports/general_ledgers/show?name=%E8%B2%B7%E6%8E%9B%E9%87%91&amp;start_date=2026-02-01&amp;end_date=2026-02-28" TargetMode="External"/><Relationship Id="rId27" Type="http://schemas.openxmlformats.org/officeDocument/2006/relationships/hyperlink" Target="https://secure.freee.co.jp/reports/general_ledgers/show?name=%E8%B2%B7%E6%8E%9B%E9%87%91&amp;start_date=2026-02-01&amp;end_date=2026-02-28" TargetMode="External"/><Relationship Id="rId2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34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35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6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7" Type="http://schemas.openxmlformats.org/officeDocument/2006/relationships/hyperlink" Target="https://secure.freee.co.jp/reports/journals?start_date=2024-03-01&amp;end_date=2026-02-28&amp;name=%E3%81%BF%E3%81%9A%E3%81%BB%EF%BC%88%E6%B3%95%E4%BA%BA%EF%BC%89%EF%BC%88API%EF%BC%89&amp;partner_id=114669501" TargetMode="External"/><Relationship Id="rId38" Type="http://schemas.openxmlformats.org/officeDocument/2006/relationships/hyperlink" Target="https://secure.freee.co.jp/reports/journals?start_date=2024-03-01&amp;end_date=2026-02-28&amp;name=%E5%89%8D%E6%B8%A1%E9%87%91" TargetMode="External"/><Relationship Id="rId39" Type="http://schemas.openxmlformats.org/officeDocument/2006/relationships/hyperlink" Target="https://secure.freee.co.jp/reports/journals?start_date=2024-03-01&amp;end_date=2026-02-28&amp;name=%E5%89%8D%E6%B8%A1%E9%87%91&amp;partner_id=95997630" TargetMode="External"/><Relationship Id="rId40" Type="http://schemas.openxmlformats.org/officeDocument/2006/relationships/hyperlink" Target="https://secure.freee.co.jp/reports/journals?start_date=2024-03-01&amp;end_date=2026-02-28&amp;name=%E5%89%8D%E6%B8%A1%E9%87%91&amp;partner_id=87248718" TargetMode="External"/><Relationship Id="rId41" Type="http://schemas.openxmlformats.org/officeDocument/2006/relationships/hyperlink" Target="https://secure.freee.co.jp/reports/journals?start_date=2024-03-01&amp;end_date=2026-02-28&amp;name=%E5%89%8D%E6%B8%A1%E9%87%91&amp;partner_id=95996057" TargetMode="External"/><Relationship Id="rId42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43" Type="http://schemas.openxmlformats.org/officeDocument/2006/relationships/hyperlink" Target="https://secure.freee.co.jp/reports/journals?start_date=2024-03-01&amp;end_date=2026-02-28&amp;name=%E9%96%A2%E4%BF%82%E4%BC%9A%E7%A4%BE%E6%A0%AA%E5%BC%8F&amp;partner_id=78971783" TargetMode="External"/><Relationship Id="rId44" Type="http://schemas.openxmlformats.org/officeDocument/2006/relationships/hyperlink" Target="https://secure.freee.co.jp/reports/journals?start_date=2024-03-01&amp;end_date=2026-02-28&amp;name=%E5%89%8D%E6%B8%A1%E9%87%91" TargetMode="External"/><Relationship Id="rId45" Type="http://schemas.openxmlformats.org/officeDocument/2006/relationships/hyperlink" Target="https://secure.freee.co.jp/reports/journals?start_date=2024-03-01&amp;end_date=2026-02-28&amp;name=%E5%89%8D%E6%B8%A1%E9%87%91" TargetMode="External"/><Relationship Id="rId46" Type="http://schemas.openxmlformats.org/officeDocument/2006/relationships/hyperlink" Target="https://secure.freee.co.jp/reports/journals?start_date=2024-03-01&amp;end_date=2026-02-28&amp;name=%E5%89%8D%E6%B8%A1%E9%87%91" TargetMode="External"/><Relationship Id="rId47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48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49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0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1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52" Type="http://schemas.openxmlformats.org/officeDocument/2006/relationships/hyperlink" Target="https://secure.freee.co.jp/reports/journals?deal_id=3445768829" TargetMode="External"/><Relationship Id="rId53" Type="http://schemas.openxmlformats.org/officeDocument/2006/relationships/hyperlink" Target="https://secure.freee.co.jp/reports/journals?deal_id=3445768829" TargetMode="External"/><Relationship Id="rId54" Type="http://schemas.openxmlformats.org/officeDocument/2006/relationships/hyperlink" Target="https://secure.freee.co.jp/reports/journals?deal_id=3450884632" TargetMode="External"/><Relationship Id="rId55" Type="http://schemas.openxmlformats.org/officeDocument/2006/relationships/hyperlink" Target="https://secure.freee.co.jp/reports/journals?deal_id=3450884632" TargetMode="External"/><Relationship Id="rId56" Type="http://schemas.openxmlformats.org/officeDocument/2006/relationships/hyperlink" Target="https://secure.freee.co.jp/reports/general_ledgers/show?name=%E5%A3%B2%E6%8E%9B%E9%87%91&amp;start_date=2026-02-01&amp;end_date=2026-02-28&amp;fiscal_year_id=9735915" TargetMode="External"/><Relationship Id="rId57" Type="http://schemas.openxmlformats.org/officeDocument/2006/relationships/hyperlink" Target="https://secure.freee.co.jp/reports/general_ledgers/show?name=%E5%89%8D%E6%89%95%E8%B2%BB%E7%94%A8&amp;start_date=2026-02-01&amp;end_date=2026-02-28&amp;fiscal_year_id=9735915" TargetMode="External"/><Relationship Id="rId58" Type="http://schemas.openxmlformats.org/officeDocument/2006/relationships/hyperlink" Target="https://secure.freee.co.jp/reports/general_ledgers/show?name=%E5%B7%AE%E5%85%A5%E4%BF%9D%E8%A8%BC%E9%87%91&amp;start_date=2026-02-01&amp;end_date=2026-02-28&amp;fiscal_year_id=9735915" TargetMode="External"/><Relationship Id="rId59" Type="http://schemas.openxmlformats.org/officeDocument/2006/relationships/hyperlink" Target="https://secure.freee.co.jp/reports/journals?deal_id=3455451235" TargetMode="External"/><Relationship Id="rId60" Type="http://schemas.openxmlformats.org/officeDocument/2006/relationships/hyperlink" Target="https://secure.freee.co.jp/reports/general_ledgers/show?name=%E7%AB%8B%E6%9B%BF%E7%B5%8C%E8%B2%BB%EF%BC%88%E6%9D%89%E6%9C%AC%EF%BC%89&amp;start_date=2026-02-01&amp;end_date=2026-02-28&amp;fiscal_year_id=9735915" TargetMode="External"/><Relationship Id="rId61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6-02-01&amp;end_date=2026-02-28&amp;fiscal_year_id=9735915" TargetMode="External"/><Relationship Id="rId62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63" Type="http://schemas.openxmlformats.org/officeDocument/2006/relationships/hyperlink" Target="https://secure.freee.co.jp/reports/journals?deal_id=3433149315" TargetMode="External"/><Relationship Id="rId64" Type="http://schemas.openxmlformats.org/officeDocument/2006/relationships/hyperlink" Target="https://secure.freee.co.jp/reports/journals?deal_id=3450764904" TargetMode="External"/><Relationship Id="rId65" Type="http://schemas.openxmlformats.org/officeDocument/2006/relationships/hyperlink" Target="https://secure.freee.co.jp/reports/journals?deal_id=3433193754" TargetMode="External"/><Relationship Id="rId66" Type="http://schemas.openxmlformats.org/officeDocument/2006/relationships/hyperlink" Target="https://secure.freee.co.jp/reports/journals?deal_id=3444810021" TargetMode="External"/><Relationship Id="rId67" Type="http://schemas.openxmlformats.org/officeDocument/2006/relationships/hyperlink" Target="https://secure.freee.co.jp/reports/journals?deal_id=3433323613" TargetMode="External"/><Relationship Id="rId68" Type="http://schemas.openxmlformats.org/officeDocument/2006/relationships/hyperlink" Target="https://secure.freee.co.jp/reports/journals?start_date=2025-03-01&amp;end_date=2026-02-28&amp;name=%E5%9C%B0%E4%BB%A3%E5%AE%B6%E8%B3%83" TargetMode="External"/><Relationship Id="rId69" Type="http://schemas.openxmlformats.org/officeDocument/2006/relationships/hyperlink" Target="https://secure.freee.co.jp/reports/journals?start_date=2025-03-01&amp;end_date=2026-02-28&amp;name=%E8%B3%83%E5%80%9F%E6%96%99" TargetMode="External"/><Relationship Id="rId70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1" Type="http://schemas.openxmlformats.org/officeDocument/2006/relationships/hyperlink" Target="https://secure.freee.co.jp/reports/journals?deal_id=3444563324" TargetMode="External"/><Relationship Id="rId72" Type="http://schemas.openxmlformats.org/officeDocument/2006/relationships/hyperlink" Target="https://secure.freee.co.jp/reports/general_ledgers/show?name=%E5%A3%B2%E4%B8%8A%E9%AB%98&amp;start_date=2026-02-01&amp;end_date=2026-02-28&amp;fiscal_year_id=9735915" TargetMode="External"/><Relationship Id="rId73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21&amp;tax_rate=10&amp;tax_reduced=false" TargetMode="External"/><Relationship Id="rId74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75" Type="http://schemas.openxmlformats.org/officeDocument/2006/relationships/hyperlink" Target="https://secure.freee.co.jp/reports/general_ledgers/show?name=%E4%BB%95%E5%85%A5%E9%AB%98&amp;start_date=2026-02-01&amp;end_date=2026-02-28&amp;fiscal_year_id=9735915" TargetMode="External"/><Relationship Id="rId76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0" TargetMode="External"/><Relationship Id="rId77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34&amp;tax_rate=10&amp;tax_reduced=false" TargetMode="External"/><Relationship Id="rId78" Type="http://schemas.openxmlformats.org/officeDocument/2006/relationships/hyperlink" Target="https://secure.freee.co.jp/reports/general_ledgers/show?name=%E4%BC%9A%E8%AD%B0%E8%B2%BB&amp;start_date=2026-02-01&amp;end_date=2026-02-28&amp;fiscal_year_id=9735915" TargetMode="External"/><Relationship Id="rId79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10&amp;tax_reduced=false" TargetMode="External"/><Relationship Id="rId80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8&amp;tax_reduced=true" TargetMode="External"/><Relationship Id="rId81" Type="http://schemas.openxmlformats.org/officeDocument/2006/relationships/hyperlink" Target="https://secure.freee.co.jp/reports/journals?deal_id=3450764904" TargetMode="External"/><Relationship Id="rId82" Type="http://schemas.openxmlformats.org/officeDocument/2006/relationships/hyperlink" Target="https://secure.freee.co.jp/reports/journals?deal_id=3445779672" TargetMode="External"/><Relationship Id="rId83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84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85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86" Type="http://schemas.openxmlformats.org/officeDocument/2006/relationships/hyperlink" Target="https://secure.freee.co.jp/reports/general_ledgers/show?name=%E8%B3%9E%E4%B8%8E&amp;start_date=2026-02-01&amp;end_date=2026-02-28" TargetMode="External"/><Relationship Id="rId87" Type="http://schemas.openxmlformats.org/officeDocument/2006/relationships/hyperlink" Target="https://secure.freee.co.jp/reports/general_ledgers/show?name=%E7%A0%94%E7%A9%B6%E9%96%8B%E7%99%BA%E8%B2%BB&amp;start_date=2026-02-01&amp;end_date=2026-02-28" TargetMode="External"/><Relationship Id="rId88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89" Type="http://schemas.openxmlformats.org/officeDocument/2006/relationships/hyperlink" Target="https://secure.freee.co.jp/reports/journals?start_date=2025-03-01&amp;end_date=2026-02-28&amp;name=%E9%80%9A%E4%BF%A1%E8%B2%BB" TargetMode="External"/><Relationship Id="rId90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91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92" Type="http://schemas.openxmlformats.org/officeDocument/2006/relationships/hyperlink" Target="https://secure.freee.co.jp/reports/journals?deal_id=32704271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2" Type="http://schemas.openxmlformats.org/officeDocument/2006/relationships/hyperlink" Target="https://secure.freee.co.jp/reports/journals?deal_id=3444941631" TargetMode="External"/><Relationship Id="rId3" Type="http://schemas.openxmlformats.org/officeDocument/2006/relationships/hyperlink" Target="https://secure.freee.co.jp/reports/journals?deal_id=3433095445" TargetMode="External"/><Relationship Id="rId4" Type="http://schemas.openxmlformats.org/officeDocument/2006/relationships/hyperlink" Target="https://secure.freee.co.jp/reports/journals?deal_id=3433094880" TargetMode="External"/><Relationship Id="rId5" Type="http://schemas.openxmlformats.org/officeDocument/2006/relationships/hyperlink" Target="https://secure.freee.co.jp/reports/journals?deal_id=3433094431" TargetMode="External"/><Relationship Id="rId6" Type="http://schemas.openxmlformats.org/officeDocument/2006/relationships/hyperlink" Target="https://secure.freee.co.jp/reports/journals?deal_id=3433093738" TargetMode="External"/><Relationship Id="rId7" Type="http://schemas.openxmlformats.org/officeDocument/2006/relationships/hyperlink" Target="https://secure.freee.co.jp/reports/journals?deal_id=3269654313" TargetMode="External"/><Relationship Id="rId8" Type="http://schemas.openxmlformats.org/officeDocument/2006/relationships/hyperlink" Target="https://secure.freee.co.jp/reports/journals?deal_id=3444563324" TargetMode="External"/><Relationship Id="rId9" Type="http://schemas.openxmlformats.org/officeDocument/2006/relationships/hyperlink" Target="https://secure.freee.co.jp/reports/general_ledgers/show?name=%E5%A3%B2%E4%B8%8A%E9%AB%98&amp;start_date=2026-02-01&amp;end_date=2026-02-28&amp;fiscal_year_id=9735915" TargetMode="External"/><Relationship Id="rId10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21&amp;tax_rate=10&amp;tax_reduced=false" TargetMode="External"/><Relationship Id="rId11" Type="http://schemas.openxmlformats.org/officeDocument/2006/relationships/hyperlink" Target="https://secure.freee.co.jp/reports/general_ledgers/show?name=%E5%A3%B2%E4%B8%8A%E9%AB%98&amp;start_date=2026-02-01&amp;end_date=2026-02-28&amp;fiscal_year_id=9735915&amp;tax_group_codes=0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&amp;fiscal_year_id=9735915" TargetMode="External"/><Relationship Id="rId13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0" TargetMode="External"/><Relationship Id="rId14" Type="http://schemas.openxmlformats.org/officeDocument/2006/relationships/hyperlink" Target="https://secure.freee.co.jp/reports/general_ledgers/show?name=%E4%BB%95%E5%85%A5%E9%AB%98&amp;start_date=2026-02-01&amp;end_date=2026-02-28&amp;fiscal_year_id=9735915&amp;tax_group_codes=34&amp;tax_rate=10&amp;tax_reduced=false" TargetMode="External"/><Relationship Id="rId15" Type="http://schemas.openxmlformats.org/officeDocument/2006/relationships/hyperlink" Target="https://secure.freee.co.jp/reports/general_ledgers/show?name=%E4%BC%9A%E8%AD%B0%E8%B2%BB&amp;start_date=2026-02-01&amp;end_date=2026-02-28&amp;fiscal_year_id=9735915" TargetMode="External"/><Relationship Id="rId16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10&amp;tax_reduced=false" TargetMode="External"/><Relationship Id="rId17" Type="http://schemas.openxmlformats.org/officeDocument/2006/relationships/hyperlink" Target="https://secure.freee.co.jp/reports/general_ledgers/show?name=%E4%BC%9A%E8%AD%B0%E8%B2%BB&amp;start_date=2026-02-01&amp;end_date=2026-02-28&amp;fiscal_year_id=9735915&amp;tax_group_codes=34&amp;tax_rate=8&amp;tax_reduced=true" TargetMode="External"/><Relationship Id="rId18" Type="http://schemas.openxmlformats.org/officeDocument/2006/relationships/hyperlink" Target="https://secure.freee.co.jp/reports/journals?deal_id=32704271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50764904" TargetMode="External"/><Relationship Id="rId2" Type="http://schemas.openxmlformats.org/officeDocument/2006/relationships/hyperlink" Target="https://secure.freee.co.jp/reports/journals?deal_id=3445779672" TargetMode="External"/><Relationship Id="rId3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3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4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5" Type="http://schemas.openxmlformats.org/officeDocument/2006/relationships/hyperlink" Target="https://secure.freee.co.jp/reports/journals?start_date=2024-03-01&amp;end_date=2026-02-28&amp;name=%E3%81%BF%E3%81%9A%E3%81%BB%EF%BC%88%E6%B3%95%E4%BA%BA%EF%BC%89%EF%BC%88API%EF%BC%89&amp;partner_id=114669501" TargetMode="External"/><Relationship Id="rId6" Type="http://schemas.openxmlformats.org/officeDocument/2006/relationships/hyperlink" Target="https://secure.freee.co.jp/reports/journals?start_date=2024-03-01&amp;end_date=2026-02-28&amp;name=%E5%89%8D%E6%B8%A1%E9%87%91" TargetMode="External"/><Relationship Id="rId7" Type="http://schemas.openxmlformats.org/officeDocument/2006/relationships/hyperlink" Target="https://secure.freee.co.jp/reports/journals?start_date=2024-03-01&amp;end_date=2026-02-28&amp;name=%E5%89%8D%E6%B8%A1%E9%87%91&amp;partner_id=95997630" TargetMode="External"/><Relationship Id="rId8" Type="http://schemas.openxmlformats.org/officeDocument/2006/relationships/hyperlink" Target="https://secure.freee.co.jp/reports/journals?start_date=2024-03-01&amp;end_date=2026-02-28&amp;name=%E5%89%8D%E6%B8%A1%E9%87%91&amp;partner_id=87248718" TargetMode="External"/><Relationship Id="rId9" Type="http://schemas.openxmlformats.org/officeDocument/2006/relationships/hyperlink" Target="https://secure.freee.co.jp/reports/journals?start_date=2024-03-01&amp;end_date=2026-02-28&amp;name=%E5%89%8D%E6%B8%A1%E9%87%91&amp;partner_id=95996057" TargetMode="External"/><Relationship Id="rId10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11" Type="http://schemas.openxmlformats.org/officeDocument/2006/relationships/hyperlink" Target="https://secure.freee.co.jp/reports/journals?start_date=2024-03-01&amp;end_date=2026-02-28&amp;name=%E9%96%A2%E4%BF%82%E4%BC%9A%E7%A4%BE%E6%A0%AA%E5%BC%8F&amp;partner_id=78971783" TargetMode="External"/><Relationship Id="rId12" Type="http://schemas.openxmlformats.org/officeDocument/2006/relationships/hyperlink" Target="https://secure.freee.co.jp/reports/journals?start_date=2024-03-01&amp;end_date=2026-02-28&amp;name=%E5%89%8D%E6%B8%A1%E9%87%91" TargetMode="External"/><Relationship Id="rId13" Type="http://schemas.openxmlformats.org/officeDocument/2006/relationships/hyperlink" Target="https://secure.freee.co.jp/reports/journals?start_date=2024-03-01&amp;end_date=2026-02-28&amp;name=%E5%89%8D%E6%B8%A1%E9%87%91" TargetMode="External"/><Relationship Id="rId14" Type="http://schemas.openxmlformats.org/officeDocument/2006/relationships/hyperlink" Target="https://secure.freee.co.jp/reports/journals?start_date=2024-03-01&amp;end_date=2026-02-28&amp;name=%E5%89%8D%E6%B8%A1%E9%87%91" TargetMode="External"/><Relationship Id="rId15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20" Type="http://schemas.openxmlformats.org/officeDocument/2006/relationships/hyperlink" Target="https://secure.freee.co.jp/reports/journals?deal_id=3445768829" TargetMode="External"/><Relationship Id="rId21" Type="http://schemas.openxmlformats.org/officeDocument/2006/relationships/hyperlink" Target="https://secure.freee.co.jp/reports/journals?deal_id=3445768829" TargetMode="External"/><Relationship Id="rId22" Type="http://schemas.openxmlformats.org/officeDocument/2006/relationships/hyperlink" Target="https://secure.freee.co.jp/reports/journals?deal_id=3450884632" TargetMode="External"/><Relationship Id="rId23" Type="http://schemas.openxmlformats.org/officeDocument/2006/relationships/hyperlink" Target="https://secure.freee.co.jp/reports/journals?deal_id=3450884632" TargetMode="External"/><Relationship Id="rId24" Type="http://schemas.openxmlformats.org/officeDocument/2006/relationships/hyperlink" Target="https://secure.freee.co.jp/reports/general_ledgers/show?name=%E5%A3%B2%E6%8E%9B%E9%87%91&amp;start_date=2026-02-01&amp;end_date=2026-02-28&amp;fiscal_year_id=9735915" TargetMode="External"/><Relationship Id="rId25" Type="http://schemas.openxmlformats.org/officeDocument/2006/relationships/hyperlink" Target="https://secure.freee.co.jp/reports/general_ledgers/show?name=%E5%89%8D%E6%89%95%E8%B2%BB%E7%94%A8&amp;start_date=2026-02-01&amp;end_date=2026-02-28&amp;fiscal_year_id=9735915" TargetMode="External"/><Relationship Id="rId26" Type="http://schemas.openxmlformats.org/officeDocument/2006/relationships/hyperlink" Target="https://secure.freee.co.jp/reports/general_ledgers/show?name=%E5%B7%AE%E5%85%A5%E4%BF%9D%E8%A8%BC%E9%87%91&amp;start_date=2026-02-01&amp;end_date=2026-02-28&amp;fiscal_year_id=9735915" TargetMode="External"/><Relationship Id="rId27" Type="http://schemas.openxmlformats.org/officeDocument/2006/relationships/hyperlink" Target="https://secure.freee.co.jp/reports/journals?deal_id=3455451235" TargetMode="External"/><Relationship Id="rId28" Type="http://schemas.openxmlformats.org/officeDocument/2006/relationships/hyperlink" Target="https://secure.freee.co.jp/reports/general_ledgers/show?name=%E7%AB%8B%E6%9B%BF%E7%B5%8C%E8%B2%BB%EF%BC%88%E6%9D%89%E6%9C%AC%EF%BC%89&amp;start_date=2026-02-01&amp;end_date=2026-02-28&amp;fiscal_year_id=9735915" TargetMode="External"/><Relationship Id="rId29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6-02-01&amp;end_date=2026-02-28&amp;fiscal_year_id=9735915" TargetMode="External"/><Relationship Id="rId30" Type="http://schemas.openxmlformats.org/officeDocument/2006/relationships/hyperlink" Target="https://secure.freee.co.jp/reports/general_ledgers/show?name=%E9%A0%90%E3%82%8A%E9%87%91&amp;start_date=2026-02-01&amp;end_date=2026-02-28&amp;fiscal_year_id=9735915" TargetMode="External"/><Relationship Id="rId31" Type="http://schemas.openxmlformats.org/officeDocument/2006/relationships/hyperlink" Target="https://secure.freee.co.jp/reports/journals?deal_id=3433149315" TargetMode="External"/><Relationship Id="rId32" Type="http://schemas.openxmlformats.org/officeDocument/2006/relationships/hyperlink" Target="https://secure.freee.co.jp/reports/journals?deal_id=3450764904" TargetMode="External"/><Relationship Id="rId33" Type="http://schemas.openxmlformats.org/officeDocument/2006/relationships/hyperlink" Target="https://secure.freee.co.jp/reports/journals?deal_id=3433193754" TargetMode="External"/><Relationship Id="rId34" Type="http://schemas.openxmlformats.org/officeDocument/2006/relationships/hyperlink" Target="https://secure.freee.co.jp/reports/journals?deal_id=3444810021" TargetMode="External"/><Relationship Id="rId35" Type="http://schemas.openxmlformats.org/officeDocument/2006/relationships/hyperlink" Target="https://secure.freee.co.jp/reports/journals?deal_id=343332361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7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8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2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3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6" Type="http://schemas.openxmlformats.org/officeDocument/2006/relationships/hyperlink" Target="https://secure.freee.co.jp/reports/general_ledgers/show?name=%E8%B2%B7%E6%8E%9B%E9%87%91&amp;start_date=2026-02-01&amp;end_date=2026-02-28" TargetMode="External"/><Relationship Id="rId17" Type="http://schemas.openxmlformats.org/officeDocument/2006/relationships/hyperlink" Target="https://secure.freee.co.jp/reports/general_ledgers/show?name=%E8%B2%B7%E6%8E%9B%E9%87%91&amp;start_date=2026-02-01&amp;end_date=2026-02-28" TargetMode="External"/><Relationship Id="rId18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4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5" Type="http://schemas.openxmlformats.org/officeDocument/2006/relationships/hyperlink" Target="https://secure.freee.co.jp/reports/journals?start_date=2025-03-01&amp;end_date=2026-02-28&amp;name=%E5%9C%B0%E4%BB%A3%E5%AE%B6%E8%B3%83" TargetMode="External"/><Relationship Id="rId26" Type="http://schemas.openxmlformats.org/officeDocument/2006/relationships/hyperlink" Target="https://secure.freee.co.jp/reports/journals?start_date=2025-03-01&amp;end_date=2026-02-28&amp;name=%E8%B3%83%E5%80%9F%E6%96%99" TargetMode="External"/><Relationship Id="rId27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8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29" Type="http://schemas.openxmlformats.org/officeDocument/2006/relationships/hyperlink" Target="https://secure.freee.co.jp/reports/general_ledgers/show?name=%E6%96%B0%E8%81%9E%E5%9B%B3%E6%9B%B8%E8%B2%BB&amp;start_date=2026-02-01&amp;end_date=2026-02-28" TargetMode="External"/><Relationship Id="rId30" Type="http://schemas.openxmlformats.org/officeDocument/2006/relationships/hyperlink" Target="https://secure.freee.co.jp/reports/general_ledgers/show?name=%E8%B3%9E%E4%B8%8E&amp;start_date=2026-02-01&amp;end_date=2026-02-28" TargetMode="External"/><Relationship Id="rId31" Type="http://schemas.openxmlformats.org/officeDocument/2006/relationships/hyperlink" Target="https://secure.freee.co.jp/reports/general_ledgers/show?name=%E7%A0%94%E7%A9%B6%E9%96%8B%E7%99%BA%E8%B2%BB&amp;start_date=2026-02-01&amp;end_date=2026-02-28" TargetMode="External"/><Relationship Id="rId32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33" Type="http://schemas.openxmlformats.org/officeDocument/2006/relationships/hyperlink" Target="https://secure.freee.co.jp/reports/journals?start_date=2025-03-01&amp;end_date=2026-02-28&amp;name=%E9%80%9A%E4%BF%A1%E8%B2%BB" TargetMode="External"/><Relationship Id="rId34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35" Type="http://schemas.openxmlformats.org/officeDocument/2006/relationships/hyperlink" Target="https://secure.freee.co.jp/reports/journals?start_date=2025-03-01&amp;end_date=2026-02-28&amp;name=%E6%94%AF%E6%89%95%E5%A0%B1%E9%85%AC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5-03-01&amp;end_date=2026-02-28&amp;fiscal_year_id=9735915" TargetMode="External"/><Relationship Id="rId2" Type="http://schemas.openxmlformats.org/officeDocument/2006/relationships/hyperlink" Target="https://secure.freee.co.jp/reports/journals?start_date=2024-03-01&amp;end_date=2026-02-28&amp;name=%E3%81%BF%E3%81%9A%E3%81%BB%EF%BC%88%E6%B3%95%E4%BA%BA%EF%BC%89%EF%BC%88API%EF%BC%89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735915" TargetMode="External"/><Relationship Id="rId4" Type="http://schemas.openxmlformats.org/officeDocument/2006/relationships/hyperlink" Target="https://secure.freee.co.jp/reports/journals?start_date=2024-03-01&amp;end_date=2026-02-28&amp;name=%E5%89%8D%E6%B8%A1%E9%87%91" TargetMode="External"/><Relationship Id="rId5" Type="http://schemas.openxmlformats.org/officeDocument/2006/relationships/hyperlink" Target="https://secure.freee.co.jp/reports/general_ledgers/show?name=%E7%AB%8B%E6%9B%BF%E9%87%91&amp;start_date=2025-03-01&amp;end_date=2026-02-28&amp;fiscal_year_id=9735915" TargetMode="External"/><Relationship Id="rId6" Type="http://schemas.openxmlformats.org/officeDocument/2006/relationships/hyperlink" Target="https://secure.freee.co.jp/reports/general_ledgers/show?name=%E5%89%8D%E6%89%95%E8%B2%BB%E7%94%A8&amp;start_date=2025-03-01&amp;end_date=2026-02-28&amp;fiscal_year_id=9735915" TargetMode="External"/><Relationship Id="rId7" Type="http://schemas.openxmlformats.org/officeDocument/2006/relationships/hyperlink" Target="https://secure.freee.co.jp/reports/general_ledgers/show?name=%E5%BD%B9%E5%93%A1%E8%B2%B8%E4%BB%98%E9%87%91&amp;start_date=2025-03-01&amp;end_date=2026-02-28&amp;fiscal_year_id=9735915" TargetMode="External"/><Relationship Id="rId8" Type="http://schemas.openxmlformats.org/officeDocument/2006/relationships/hyperlink" Target="https://secure.freee.co.jp/reports/general_ledgers/show?name=%E6%9C%AA%E5%8F%8E%E5%85%A5%E9%87%91&amp;start_date=2025-03-01&amp;end_date=2026-02-28&amp;fiscal_year_id=9735915" TargetMode="External"/><Relationship Id="rId9" Type="http://schemas.openxmlformats.org/officeDocument/2006/relationships/hyperlink" Target="https://secure.freee.co.jp/reports/journals?start_date=2024-03-01&amp;end_date=2026-02-28&amp;name=%E9%A0%90%E3%81%91%E9%87%91" TargetMode="External"/><Relationship Id="rId10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35915" TargetMode="External"/><Relationship Id="rId11" Type="http://schemas.openxmlformats.org/officeDocument/2006/relationships/hyperlink" Target="https://secure.freee.co.jp/reports/journals?start_date=2024-03-01&amp;end_date=2026-02-28&amp;name=%E9%96%A2%E4%BF%82%E4%BC%9A%E7%A4%BE%E6%A0%AA%E5%BC%8F" TargetMode="External"/><Relationship Id="rId12" Type="http://schemas.openxmlformats.org/officeDocument/2006/relationships/hyperlink" Target="https://secure.freee.co.jp/reports/journals?start_date=2024-03-01&amp;end_date=2026-02-28&amp;name=%E6%95%B7%E9%87%91" TargetMode="External"/><Relationship Id="rId13" Type="http://schemas.openxmlformats.org/officeDocument/2006/relationships/hyperlink" Target="https://secure.freee.co.jp/reports/general_ledgers/show?name=%E5%B7%AE%E5%85%A5%E4%BF%9D%E8%A8%BC%E9%87%91&amp;start_date=2025-03-01&amp;end_date=2026-02-28&amp;fiscal_year_id=9735915" TargetMode="External"/><Relationship Id="rId14" Type="http://schemas.openxmlformats.org/officeDocument/2006/relationships/hyperlink" Target="https://secure.freee.co.jp/reports/general_ledgers/show?name=%E8%B2%B7%E6%8E%9B%E9%87%91&amp;start_date=2025-03-01&amp;end_date=2026-02-28&amp;fiscal_year_id=9735915" TargetMode="External"/><Relationship Id="rId15" Type="http://schemas.openxmlformats.org/officeDocument/2006/relationships/hyperlink" Target="https://secure.freee.co.jp/reports/general_ledgers/show?name=%E6%9C%AA%E6%89%95%E9%87%91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6%9C%AA%E6%89%95%E8%B2%BB%E7%94%A8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7%AB%8B%E6%9B%BF%E7%B5%8C%E8%B2%BB%EF%BC%88%E6%9D%89%E6%9C%AC%EF%BC%89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7%AB%8B%E6%9B%BF%E7%B5%8C%E8%B2%BB%EF%BC%88%E6%88%90%E7%94%B0%EF%BC%89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7%AB%8B%E6%9B%BF%E7%B5%8C%E8%B2%BB%EF%BC%88%E5%BC%B5%EF%BC%89&amp;start_date=2025-03-01&amp;end_date=2026-02-28&amp;fiscal_year_id=9735915" TargetMode="External"/><Relationship Id="rId20" Type="http://schemas.openxmlformats.org/officeDocument/2006/relationships/hyperlink" Target="https://secure.freee.co.jp/reports/journals?start_date=2024-03-01&amp;end_date=2026-02-28&amp;name=%E3%82%A2%E3%83%A1%E3%83%AA%E3%82%AB%E3%83%B3%E3%83%BB%E3%82%A8%E3%82%AD%E3%82%B9%E3%83%97%E3%83%AC%E3%82%B9" TargetMode="External"/><Relationship Id="rId21" Type="http://schemas.openxmlformats.org/officeDocument/2006/relationships/hyperlink" Target="https://secure.freee.co.jp/reports/general_ledgers/show?name=%E3%82%A2%E3%83%A1%E3%83%AA%E3%82%AB%E3%83%B3%E3%83%BB%E3%82%A8%E3%82%AD%E3%82%B9%E3%83%97%E3%83%AC%E3%82%B9+-+%E3%83%93%E3%82%B8%E3%83%8D%E3%82%B9%E3%83%BB%E3%82%AB%E3%83%BC%E3%83%89%EF%BC%88API%EF%BC%891&amp;start_date=2025-03-01&amp;end_date=2026-02-28&amp;fiscal_year_id=9735915" TargetMode="External"/><Relationship Id="rId22" Type="http://schemas.openxmlformats.org/officeDocument/2006/relationships/hyperlink" Target="https://secure.freee.co.jp/reports/general_ledgers/show?name=%E7%AB%8B%E6%9B%BF%E7%B5%8C%E8%B2%BB%EF%BC%88%E4%B8%AD%E5%B0%BE%EF%BC%89&amp;start_date=2025-03-01&amp;end_date=2026-02-28&amp;fiscal_year_id=9735915" TargetMode="External"/><Relationship Id="rId23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5" Type="http://schemas.openxmlformats.org/officeDocument/2006/relationships/hyperlink" Target="https://secure.freee.co.jp/reports/general_ledgers/show?name=%E9%A0%90%E3%82%8A%E9%87%91&amp;start_date=2025-03-01&amp;end_date=2026-02-28&amp;fiscal_year_id=9735915" TargetMode="External"/><Relationship Id="rId26" Type="http://schemas.openxmlformats.org/officeDocument/2006/relationships/hyperlink" Target="https://secure.freee.co.jp/reports/journals?start_date=2020-03-01&amp;end_date=2026-02-28&amp;name=%E8%B3%87%E6%9C%AC%E9%87%91" TargetMode="External"/><Relationship Id="rId27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5915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35915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35915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35915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35915" TargetMode="External"/><Relationship Id="rId6" Type="http://schemas.openxmlformats.org/officeDocument/2006/relationships/hyperlink" Target="https://secure.freee.co.jp/reports/general_ledgers/show?name=%E7%A6%8F%E5%88%A9%E5%8E%9A%E7%94%9F%E8%B2%BB&amp;start_date=2025-03-01&amp;end_date=2026-02-28&amp;fiscal_year_id=9735915" TargetMode="External"/><Relationship Id="rId7" Type="http://schemas.openxmlformats.org/officeDocument/2006/relationships/hyperlink" Target="https://secure.freee.co.jp/reports/general_ledgers/show?name=%E5%A4%96%E6%B3%A8%E8%B2%BB&amp;start_date=2025-03-01&amp;end_date=2026-02-28&amp;fiscal_year_id=9735915" TargetMode="External"/><Relationship Id="rId8" Type="http://schemas.openxmlformats.org/officeDocument/2006/relationships/hyperlink" Target="https://secure.freee.co.jp/reports/general_ledgers/show?name=%E8%8D%B7%E9%80%A0%E9%81%8B%E8%B3%83&amp;start_date=2025-03-01&amp;end_date=2026-02-28&amp;fiscal_year_id=9735915" TargetMode="External"/><Relationship Id="rId9" Type="http://schemas.openxmlformats.org/officeDocument/2006/relationships/hyperlink" Target="https://secure.freee.co.jp/reports/general_ledgers/show?name=%E4%BA%A4%E9%9A%9B%E8%B2%BB&amp;start_date=2025-03-01&amp;end_date=2026-02-28&amp;fiscal_year_id=9735915" TargetMode="External"/><Relationship Id="rId10" Type="http://schemas.openxmlformats.org/officeDocument/2006/relationships/hyperlink" Target="https://secure.freee.co.jp/reports/general_ledgers/show?name=%E4%BC%9A%E8%AD%B0%E8%B2%BB&amp;start_date=2025-03-01&amp;end_date=2026-02-28&amp;fiscal_year_id=9735915" TargetMode="External"/><Relationship Id="rId11" Type="http://schemas.openxmlformats.org/officeDocument/2006/relationships/hyperlink" Target="https://secure.freee.co.jp/reports/general_ledgers/show?name=%E6%97%85%E8%B2%BB%E4%BA%A4%E9%80%9A%E8%B2%BB&amp;start_date=2025-03-01&amp;end_date=2026-02-28&amp;fiscal_year_id=9735915" TargetMode="External"/><Relationship Id="rId12" Type="http://schemas.openxmlformats.org/officeDocument/2006/relationships/hyperlink" Target="https://secure.freee.co.jp/reports/general_ledgers/show?name=%E9%80%9A%E4%BF%A1%E8%B2%BB&amp;start_date=2025-03-01&amp;end_date=2026-02-28&amp;fiscal_year_id=9735915" TargetMode="External"/><Relationship Id="rId13" Type="http://schemas.openxmlformats.org/officeDocument/2006/relationships/hyperlink" Target="https://secure.freee.co.jp/reports/general_ledgers/show?name=%E8%B2%A9%E5%A3%B2%E6%89%8B%E6%95%B0%E6%96%99&amp;start_date=2025-03-01&amp;end_date=2026-02-28&amp;fiscal_year_id=9735915" TargetMode="External"/><Relationship Id="rId14" Type="http://schemas.openxmlformats.org/officeDocument/2006/relationships/hyperlink" Target="https://secure.freee.co.jp/reports/general_ledgers/show?name=%E6%B6%88%E8%80%97%E5%93%81%E8%B2%BB&amp;start_date=2025-03-01&amp;end_date=2026-02-28&amp;fiscal_year_id=9735915" TargetMode="External"/><Relationship Id="rId15" Type="http://schemas.openxmlformats.org/officeDocument/2006/relationships/hyperlink" Target="https://secure.freee.co.jp/reports/general_ledgers/show?name=%E6%96%B0%E8%81%9E%E5%9B%B3%E6%9B%B8%E8%B2%BB&amp;start_date=2025-03-01&amp;end_date=2026-02-28&amp;fiscal_year_id=9735915" TargetMode="External"/><Relationship Id="rId16" Type="http://schemas.openxmlformats.org/officeDocument/2006/relationships/hyperlink" Target="https://secure.freee.co.jp/reports/general_ledgers/show?name=%E8%AB%B8%E4%BC%9A%E8%B2%BB&amp;start_date=2025-03-01&amp;end_date=2026-02-28&amp;fiscal_year_id=9735915" TargetMode="External"/><Relationship Id="rId17" Type="http://schemas.openxmlformats.org/officeDocument/2006/relationships/hyperlink" Target="https://secure.freee.co.jp/reports/general_ledgers/show?name=%E6%94%AF%E6%89%95%E6%89%8B%E6%95%B0%E6%96%99&amp;start_date=2025-03-01&amp;end_date=2026-02-28&amp;fiscal_year_id=9735915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35915" TargetMode="External"/><Relationship Id="rId19" Type="http://schemas.openxmlformats.org/officeDocument/2006/relationships/hyperlink" Target="https://secure.freee.co.jp/reports/general_ledgers/show?name=%E8%B3%83%E5%80%9F%E6%96%99&amp;start_date=2025-03-01&amp;end_date=2026-02-28&amp;fiscal_year_id=9735915" TargetMode="External"/><Relationship Id="rId20" Type="http://schemas.openxmlformats.org/officeDocument/2006/relationships/hyperlink" Target="https://secure.freee.co.jp/reports/general_ledgers/show?name=%E4%BF%9D%E9%99%BA%E6%96%99&amp;start_date=2025-03-01&amp;end_date=2026-02-28&amp;fiscal_year_id=9735915" TargetMode="External"/><Relationship Id="rId21" Type="http://schemas.openxmlformats.org/officeDocument/2006/relationships/hyperlink" Target="https://secure.freee.co.jp/reports/general_ledgers/show?name=%E7%A7%9F%E7%A8%8E%E5%85%AC%E8%AA%B2&amp;start_date=2025-03-01&amp;end_date=2026-02-28&amp;fiscal_year_id=9735915" TargetMode="External"/><Relationship Id="rId22" Type="http://schemas.openxmlformats.org/officeDocument/2006/relationships/hyperlink" Target="https://secure.freee.co.jp/reports/general_ledgers/show?name=%E6%94%AF%E6%89%95%E5%A0%B1%E9%85%AC%E6%96%99&amp;start_date=2025-03-01&amp;end_date=2026-02-28&amp;fiscal_year_id=9735915" TargetMode="External"/><Relationship Id="rId23" Type="http://schemas.openxmlformats.org/officeDocument/2006/relationships/hyperlink" Target="https://secure.freee.co.jp/reports/general_ledgers/show?name=%E7%A0%94%E7%A9%B6%E9%96%8B%E7%99%BA%E8%B2%BB&amp;start_date=2025-03-01&amp;end_date=2026-02-28&amp;fiscal_year_id=9735915" TargetMode="External"/><Relationship Id="rId24" Type="http://schemas.openxmlformats.org/officeDocument/2006/relationships/hyperlink" Target="https://secure.freee.co.jp/reports/general_ledgers/show?name=%E6%B8%9B%E4%BE%A1%E5%84%9F%E5%8D%B4%E8%B2%BB&amp;start_date=2025-03-01&amp;end_date=2026-02-28&amp;fiscal_year_id=9735915" TargetMode="External"/><Relationship Id="rId25" Type="http://schemas.openxmlformats.org/officeDocument/2006/relationships/hyperlink" Target="https://secure.freee.co.jp/reports/general_ledgers/show?name=%E5%8F%97%E5%8F%96%E5%88%A9%E6%81%AF&amp;start_date=2025-03-01&amp;end_date=2026-02-28&amp;fiscal_year_id=9735915" TargetMode="External"/><Relationship Id="rId26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5915" TargetMode="External"/><Relationship Id="rId27" Type="http://schemas.openxmlformats.org/officeDocument/2006/relationships/hyperlink" Target="https://secure.freee.co.jp/reports/general_ledgers/show?name=%E4%BB%95%E5%85%A5%E9%AB%98&amp;start_date=2025-03-01&amp;end_date=2026-02-28&amp;fiscal_year_id=9735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54</v>
      </c>
      <c r="D9" s="9">
        <v>12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>
        <v>1</v>
      </c>
      <c r="E14" s="11">
        <v>6</v>
      </c>
    </row>
    <row r="15" spans="1:5" x14ac:dyDescent="0.25">
      <c r="A15" s="10" t="s">
        <v>18</v>
      </c>
      <c r="B15" s="11" t="s">
        <v>19</v>
      </c>
      <c r="C15" s="11">
        <v>2</v>
      </c>
      <c r="D15" s="11" t="s">
        <v>19</v>
      </c>
      <c r="E15" s="11">
        <v>2</v>
      </c>
    </row>
    <row r="16" spans="1:5" x14ac:dyDescent="0.25">
      <c r="A16" s="10" t="s">
        <v>20</v>
      </c>
      <c r="B16" s="11" t="s">
        <v>19</v>
      </c>
      <c r="C16" s="11" t="s">
        <v>19</v>
      </c>
      <c r="D16" s="11" t="s">
        <v>19</v>
      </c>
      <c r="E16" s="11" t="s">
        <v>19</v>
      </c>
    </row>
    <row r="17" spans="1:5" x14ac:dyDescent="0.25">
      <c r="A17" s="10" t="s">
        <v>21</v>
      </c>
      <c r="B17" s="11" t="s">
        <v>19</v>
      </c>
      <c r="C17" s="11">
        <v>13</v>
      </c>
      <c r="D17" s="11" t="s">
        <v>19</v>
      </c>
      <c r="E17" s="11">
        <v>13</v>
      </c>
    </row>
    <row r="18" spans="1:5" x14ac:dyDescent="0.25">
      <c r="A18" s="10" t="s">
        <v>22</v>
      </c>
      <c r="B18" s="11" t="s">
        <v>19</v>
      </c>
      <c r="C18" s="11">
        <v>28</v>
      </c>
      <c r="D18" s="11">
        <v>10</v>
      </c>
      <c r="E18" s="11">
        <v>38</v>
      </c>
    </row>
    <row r="19" spans="1:5" x14ac:dyDescent="0.25">
      <c r="A19" s="10" t="s">
        <v>23</v>
      </c>
      <c r="B19" s="11" t="s">
        <v>19</v>
      </c>
      <c r="C19" s="11">
        <v>7</v>
      </c>
      <c r="D19" s="11">
        <v>1</v>
      </c>
      <c r="E19" s="11">
        <v>8</v>
      </c>
    </row>
    <row r="20" spans="1:5" x14ac:dyDescent="0.25">
      <c r="A20" s="12" t="s">
        <v>16</v>
      </c>
      <c r="B20" s="13">
        <v>1</v>
      </c>
      <c r="C20" s="13">
        <v>54</v>
      </c>
      <c r="D20" s="13">
        <v>12</v>
      </c>
      <c r="E20" s="13">
        <v>67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6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35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6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4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9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35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2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6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3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3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4" t="s">
        <v>150</v>
      </c>
      <c r="B85" s="14" t="s">
        <v>151</v>
      </c>
      <c r="C85" s="15" t="s">
        <v>30</v>
      </c>
      <c r="D85" s="15">
        <v>1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148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9" t="s">
        <v>6</v>
      </c>
      <c r="B3" s="19" t="s">
        <v>6</v>
      </c>
      <c r="C3" s="19" t="s">
        <v>6</v>
      </c>
      <c r="D3" s="20" t="s">
        <v>181</v>
      </c>
      <c r="E3" s="19" t="s">
        <v>182</v>
      </c>
      <c r="F3" s="20" t="s">
        <v>6</v>
      </c>
      <c r="G3" s="21" t="s">
        <v>183</v>
      </c>
    </row>
    <row r="4" spans="1:7" x14ac:dyDescent="0.25">
      <c r="A4" s="19" t="s">
        <v>6</v>
      </c>
      <c r="B4" s="19" t="s">
        <v>6</v>
      </c>
      <c r="C4" s="19" t="s">
        <v>6</v>
      </c>
      <c r="D4" s="20" t="s">
        <v>184</v>
      </c>
      <c r="E4" s="19" t="s">
        <v>185</v>
      </c>
      <c r="F4" s="20" t="s">
        <v>6</v>
      </c>
      <c r="G4" s="21" t="s">
        <v>183</v>
      </c>
    </row>
    <row r="5" spans="1:7" x14ac:dyDescent="0.25">
      <c r="A5" s="19" t="s">
        <v>6</v>
      </c>
      <c r="B5" s="19" t="s">
        <v>6</v>
      </c>
      <c r="C5" s="19" t="s">
        <v>6</v>
      </c>
      <c r="D5" s="20" t="s">
        <v>186</v>
      </c>
      <c r="E5" s="19" t="s">
        <v>187</v>
      </c>
      <c r="F5" s="20" t="s">
        <v>6</v>
      </c>
      <c r="G5" s="21" t="s">
        <v>183</v>
      </c>
    </row>
    <row r="6" spans="1:7" x14ac:dyDescent="0.25">
      <c r="A6" s="19" t="s">
        <v>6</v>
      </c>
      <c r="B6" s="19" t="s">
        <v>6</v>
      </c>
      <c r="C6" s="19" t="s">
        <v>6</v>
      </c>
      <c r="D6" s="20" t="s">
        <v>188</v>
      </c>
      <c r="E6" s="19" t="s">
        <v>189</v>
      </c>
      <c r="F6" s="20" t="s">
        <v>6</v>
      </c>
      <c r="G6" s="21" t="s">
        <v>183</v>
      </c>
    </row>
    <row r="7" spans="1:7" x14ac:dyDescent="0.25">
      <c r="A7" s="19" t="s">
        <v>6</v>
      </c>
      <c r="B7" s="19" t="s">
        <v>6</v>
      </c>
      <c r="C7" s="19" t="s">
        <v>6</v>
      </c>
      <c r="D7" s="20" t="s">
        <v>190</v>
      </c>
      <c r="E7" s="19" t="s">
        <v>189</v>
      </c>
      <c r="F7" s="20" t="s">
        <v>6</v>
      </c>
      <c r="G7" s="21" t="s">
        <v>183</v>
      </c>
    </row>
    <row r="8" spans="1:7" x14ac:dyDescent="0.25">
      <c r="A8" s="19" t="s">
        <v>6</v>
      </c>
      <c r="B8" s="19" t="s">
        <v>6</v>
      </c>
      <c r="C8" s="19" t="s">
        <v>6</v>
      </c>
      <c r="D8" s="20" t="s">
        <v>190</v>
      </c>
      <c r="E8" s="19" t="s">
        <v>191</v>
      </c>
      <c r="F8" s="20" t="s">
        <v>6</v>
      </c>
      <c r="G8" s="21" t="s">
        <v>183</v>
      </c>
    </row>
    <row r="9" spans="1:7" x14ac:dyDescent="0.25">
      <c r="A9" s="14" t="s">
        <v>14</v>
      </c>
      <c r="B9" s="14" t="s">
        <v>28</v>
      </c>
      <c r="C9" s="14" t="s">
        <v>192</v>
      </c>
      <c r="D9" s="22" t="s">
        <v>193</v>
      </c>
      <c r="E9" s="14" t="s">
        <v>194</v>
      </c>
      <c r="F9" s="22" t="s">
        <v>195</v>
      </c>
      <c r="G9" s="23" t="s">
        <v>180</v>
      </c>
    </row>
    <row r="10" spans="1:7" x14ac:dyDescent="0.25">
      <c r="A10" s="14" t="s">
        <v>14</v>
      </c>
      <c r="B10" s="14" t="s">
        <v>31</v>
      </c>
      <c r="C10" s="14" t="s">
        <v>192</v>
      </c>
      <c r="D10" s="22" t="s">
        <v>196</v>
      </c>
      <c r="E10" s="14" t="s">
        <v>197</v>
      </c>
      <c r="F10" s="22" t="s">
        <v>198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192</v>
      </c>
      <c r="D11" s="22" t="s">
        <v>199</v>
      </c>
      <c r="E11" s="14" t="s">
        <v>200</v>
      </c>
      <c r="F11" s="22" t="s">
        <v>198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192</v>
      </c>
      <c r="D12" s="22" t="s">
        <v>201</v>
      </c>
      <c r="E12" s="14" t="s">
        <v>202</v>
      </c>
      <c r="F12" s="22" t="s">
        <v>198</v>
      </c>
      <c r="G12" s="14" t="s">
        <v>6</v>
      </c>
    </row>
    <row r="13" spans="1:7" x14ac:dyDescent="0.25">
      <c r="A13" s="14" t="s">
        <v>14</v>
      </c>
      <c r="B13" s="14" t="s">
        <v>31</v>
      </c>
      <c r="C13" s="14" t="s">
        <v>192</v>
      </c>
      <c r="D13" s="22" t="s">
        <v>203</v>
      </c>
      <c r="E13" s="14" t="s">
        <v>204</v>
      </c>
      <c r="F13" s="22" t="s">
        <v>198</v>
      </c>
      <c r="G13" s="14" t="s">
        <v>6</v>
      </c>
    </row>
    <row r="14" spans="1:7" x14ac:dyDescent="0.25">
      <c r="A14" s="14" t="s">
        <v>14</v>
      </c>
      <c r="B14" s="14" t="s">
        <v>31</v>
      </c>
      <c r="C14" s="14" t="s">
        <v>192</v>
      </c>
      <c r="D14" s="22" t="s">
        <v>205</v>
      </c>
      <c r="E14" s="14" t="s">
        <v>206</v>
      </c>
      <c r="F14" s="22" t="s">
        <v>198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192</v>
      </c>
      <c r="D15" s="22" t="s">
        <v>207</v>
      </c>
      <c r="E15" s="14" t="s">
        <v>208</v>
      </c>
      <c r="F15" s="22" t="s">
        <v>198</v>
      </c>
      <c r="G15" s="14" t="s">
        <v>6</v>
      </c>
    </row>
    <row r="16" spans="1:7" x14ac:dyDescent="0.25">
      <c r="A16" s="14" t="s">
        <v>14</v>
      </c>
      <c r="B16" s="14" t="s">
        <v>60</v>
      </c>
      <c r="C16" s="14" t="s">
        <v>209</v>
      </c>
      <c r="D16" s="22" t="s">
        <v>210</v>
      </c>
      <c r="E16" s="14" t="s">
        <v>211</v>
      </c>
      <c r="F16" s="22" t="s">
        <v>212</v>
      </c>
      <c r="G16" s="23" t="s">
        <v>180</v>
      </c>
    </row>
    <row r="17" spans="1:7" x14ac:dyDescent="0.25">
      <c r="A17" s="14" t="s">
        <v>14</v>
      </c>
      <c r="B17" s="14" t="s">
        <v>62</v>
      </c>
      <c r="C17" s="14" t="s">
        <v>209</v>
      </c>
      <c r="D17" s="22" t="s">
        <v>213</v>
      </c>
      <c r="E17" s="14" t="s">
        <v>214</v>
      </c>
      <c r="F17" s="22" t="s">
        <v>215</v>
      </c>
      <c r="G17" s="23" t="s">
        <v>180</v>
      </c>
    </row>
    <row r="18" spans="1:7" x14ac:dyDescent="0.25">
      <c r="A18" s="14" t="s">
        <v>14</v>
      </c>
      <c r="B18" s="14" t="s">
        <v>78</v>
      </c>
      <c r="C18" s="14" t="s">
        <v>216</v>
      </c>
      <c r="D18" s="22" t="s">
        <v>217</v>
      </c>
      <c r="E18" s="14" t="s">
        <v>218</v>
      </c>
      <c r="F18" s="22" t="s">
        <v>219</v>
      </c>
      <c r="G18" s="23" t="s">
        <v>180</v>
      </c>
    </row>
    <row r="19" spans="1:7" x14ac:dyDescent="0.25">
      <c r="A19" s="14" t="s">
        <v>14</v>
      </c>
      <c r="B19" s="14" t="s">
        <v>86</v>
      </c>
      <c r="C19" s="14" t="s">
        <v>220</v>
      </c>
      <c r="D19" s="22" t="s">
        <v>221</v>
      </c>
      <c r="E19" s="14" t="s">
        <v>222</v>
      </c>
      <c r="F19" s="22" t="s">
        <v>223</v>
      </c>
      <c r="G19" s="23" t="s">
        <v>180</v>
      </c>
    </row>
    <row r="20" spans="1:7" x14ac:dyDescent="0.25">
      <c r="A20" s="14" t="s">
        <v>14</v>
      </c>
      <c r="B20" s="14" t="s">
        <v>92</v>
      </c>
      <c r="C20" s="14" t="s">
        <v>224</v>
      </c>
      <c r="D20" s="22" t="s">
        <v>225</v>
      </c>
      <c r="E20" s="14" t="s">
        <v>226</v>
      </c>
      <c r="F20" s="22" t="s">
        <v>227</v>
      </c>
      <c r="G20" s="23" t="s">
        <v>180</v>
      </c>
    </row>
    <row r="21" spans="1:7" x14ac:dyDescent="0.25">
      <c r="A21" s="14" t="s">
        <v>14</v>
      </c>
      <c r="B21" s="14" t="s">
        <v>92</v>
      </c>
      <c r="C21" s="14" t="s">
        <v>224</v>
      </c>
      <c r="D21" s="22" t="s">
        <v>228</v>
      </c>
      <c r="E21" s="14" t="s">
        <v>229</v>
      </c>
      <c r="F21" s="22" t="s">
        <v>230</v>
      </c>
      <c r="G21" s="23" t="s">
        <v>180</v>
      </c>
    </row>
    <row r="22" spans="1:7" x14ac:dyDescent="0.25">
      <c r="A22" s="14" t="s">
        <v>14</v>
      </c>
      <c r="B22" s="14" t="s">
        <v>92</v>
      </c>
      <c r="C22" s="14" t="s">
        <v>224</v>
      </c>
      <c r="D22" s="22" t="s">
        <v>231</v>
      </c>
      <c r="E22" s="14" t="s">
        <v>232</v>
      </c>
      <c r="F22" s="22" t="s">
        <v>233</v>
      </c>
      <c r="G22" s="23" t="s">
        <v>180</v>
      </c>
    </row>
    <row r="23" spans="1:7" x14ac:dyDescent="0.25">
      <c r="A23" s="14" t="s">
        <v>14</v>
      </c>
      <c r="B23" s="14" t="s">
        <v>92</v>
      </c>
      <c r="C23" s="14" t="s">
        <v>224</v>
      </c>
      <c r="D23" s="22" t="s">
        <v>234</v>
      </c>
      <c r="E23" s="14" t="s">
        <v>226</v>
      </c>
      <c r="F23" s="22" t="s">
        <v>227</v>
      </c>
      <c r="G23" s="23" t="s">
        <v>180</v>
      </c>
    </row>
    <row r="24" spans="1:7" x14ac:dyDescent="0.25">
      <c r="A24" s="14" t="s">
        <v>14</v>
      </c>
      <c r="B24" s="14" t="s">
        <v>92</v>
      </c>
      <c r="C24" s="14" t="s">
        <v>224</v>
      </c>
      <c r="D24" s="22" t="s">
        <v>235</v>
      </c>
      <c r="E24" s="14" t="s">
        <v>229</v>
      </c>
      <c r="F24" s="22" t="s">
        <v>230</v>
      </c>
      <c r="G24" s="23" t="s">
        <v>180</v>
      </c>
    </row>
    <row r="25" spans="1:7" x14ac:dyDescent="0.25">
      <c r="A25" s="14" t="s">
        <v>14</v>
      </c>
      <c r="B25" s="14" t="s">
        <v>92</v>
      </c>
      <c r="C25" s="14" t="s">
        <v>224</v>
      </c>
      <c r="D25" s="22" t="s">
        <v>236</v>
      </c>
      <c r="E25" s="14" t="s">
        <v>232</v>
      </c>
      <c r="F25" s="22" t="s">
        <v>233</v>
      </c>
      <c r="G25" s="23" t="s">
        <v>180</v>
      </c>
    </row>
    <row r="26" spans="1:7" x14ac:dyDescent="0.25">
      <c r="A26" s="14" t="s">
        <v>14</v>
      </c>
      <c r="B26" s="14" t="s">
        <v>96</v>
      </c>
      <c r="C26" s="14" t="s">
        <v>237</v>
      </c>
      <c r="D26" s="22" t="s">
        <v>238</v>
      </c>
      <c r="E26" s="14" t="s">
        <v>239</v>
      </c>
      <c r="F26" s="22" t="s">
        <v>240</v>
      </c>
      <c r="G26" s="14" t="s">
        <v>6</v>
      </c>
    </row>
    <row r="27" spans="1:7" x14ac:dyDescent="0.25">
      <c r="A27" s="14" t="s">
        <v>14</v>
      </c>
      <c r="B27" s="14" t="s">
        <v>98</v>
      </c>
      <c r="C27" s="14" t="s">
        <v>237</v>
      </c>
      <c r="D27" s="22" t="s">
        <v>241</v>
      </c>
      <c r="E27" s="14" t="s">
        <v>242</v>
      </c>
      <c r="F27" s="22" t="s">
        <v>243</v>
      </c>
      <c r="G27" s="23" t="s">
        <v>180</v>
      </c>
    </row>
    <row r="28" spans="1:7" x14ac:dyDescent="0.25">
      <c r="A28" s="14" t="s">
        <v>14</v>
      </c>
      <c r="B28" s="14" t="s">
        <v>98</v>
      </c>
      <c r="C28" s="14" t="s">
        <v>237</v>
      </c>
      <c r="D28" s="22" t="s">
        <v>244</v>
      </c>
      <c r="E28" s="14" t="s">
        <v>245</v>
      </c>
      <c r="F28" s="22" t="s">
        <v>243</v>
      </c>
      <c r="G28" s="23" t="s">
        <v>180</v>
      </c>
    </row>
    <row r="29" spans="1:7" x14ac:dyDescent="0.25">
      <c r="A29" s="14" t="s">
        <v>14</v>
      </c>
      <c r="B29" s="14" t="s">
        <v>98</v>
      </c>
      <c r="C29" s="14" t="s">
        <v>237</v>
      </c>
      <c r="D29" s="22" t="s">
        <v>246</v>
      </c>
      <c r="E29" s="14" t="s">
        <v>242</v>
      </c>
      <c r="F29" s="22" t="s">
        <v>243</v>
      </c>
      <c r="G29" s="23" t="s">
        <v>180</v>
      </c>
    </row>
    <row r="30" spans="1:7" x14ac:dyDescent="0.25">
      <c r="A30" s="14" t="s">
        <v>14</v>
      </c>
      <c r="B30" s="14" t="s">
        <v>98</v>
      </c>
      <c r="C30" s="14" t="s">
        <v>237</v>
      </c>
      <c r="D30" s="22" t="s">
        <v>247</v>
      </c>
      <c r="E30" s="14" t="s">
        <v>248</v>
      </c>
      <c r="F30" s="22" t="s">
        <v>243</v>
      </c>
      <c r="G30" s="23" t="s">
        <v>180</v>
      </c>
    </row>
    <row r="31" spans="1:7" x14ac:dyDescent="0.25">
      <c r="A31" s="14" t="s">
        <v>14</v>
      </c>
      <c r="B31" s="14" t="s">
        <v>102</v>
      </c>
      <c r="C31" s="14" t="s">
        <v>249</v>
      </c>
      <c r="D31" s="22" t="s">
        <v>250</v>
      </c>
      <c r="E31" s="14" t="s">
        <v>251</v>
      </c>
      <c r="F31" s="22" t="s">
        <v>252</v>
      </c>
      <c r="G31" s="23" t="s">
        <v>180</v>
      </c>
    </row>
    <row r="32" spans="1:7" x14ac:dyDescent="0.25">
      <c r="A32" s="14" t="s">
        <v>14</v>
      </c>
      <c r="B32" s="14" t="s">
        <v>102</v>
      </c>
      <c r="C32" s="14" t="s">
        <v>249</v>
      </c>
      <c r="D32" s="22" t="s">
        <v>253</v>
      </c>
      <c r="E32" s="14" t="s">
        <v>251</v>
      </c>
      <c r="F32" s="22" t="s">
        <v>252</v>
      </c>
      <c r="G32" s="23" t="s">
        <v>180</v>
      </c>
    </row>
    <row r="33" spans="1:7" x14ac:dyDescent="0.25">
      <c r="A33" s="14" t="s">
        <v>14</v>
      </c>
      <c r="B33" s="14" t="s">
        <v>102</v>
      </c>
      <c r="C33" s="14" t="s">
        <v>249</v>
      </c>
      <c r="D33" s="22" t="s">
        <v>254</v>
      </c>
      <c r="E33" s="14" t="s">
        <v>255</v>
      </c>
      <c r="F33" s="22" t="s">
        <v>252</v>
      </c>
      <c r="G33" s="23" t="s">
        <v>180</v>
      </c>
    </row>
    <row r="34" spans="1:7" x14ac:dyDescent="0.25">
      <c r="A34" s="14" t="s">
        <v>14</v>
      </c>
      <c r="B34" s="14" t="s">
        <v>104</v>
      </c>
      <c r="C34" s="14" t="s">
        <v>249</v>
      </c>
      <c r="D34" s="22" t="s">
        <v>256</v>
      </c>
      <c r="E34" s="14" t="s">
        <v>257</v>
      </c>
      <c r="F34" s="22" t="s">
        <v>258</v>
      </c>
      <c r="G34" s="23" t="s">
        <v>180</v>
      </c>
    </row>
    <row r="35" spans="1:7" x14ac:dyDescent="0.25">
      <c r="A35" s="14" t="s">
        <v>14</v>
      </c>
      <c r="B35" s="14" t="s">
        <v>104</v>
      </c>
      <c r="C35" s="14" t="s">
        <v>249</v>
      </c>
      <c r="D35" s="22" t="s">
        <v>259</v>
      </c>
      <c r="E35" s="14" t="s">
        <v>260</v>
      </c>
      <c r="F35" s="22" t="s">
        <v>258</v>
      </c>
      <c r="G35" s="23" t="s">
        <v>180</v>
      </c>
    </row>
    <row r="36" spans="1:7" x14ac:dyDescent="0.25">
      <c r="A36" s="14" t="s">
        <v>14</v>
      </c>
      <c r="B36" s="14" t="s">
        <v>104</v>
      </c>
      <c r="C36" s="14" t="s">
        <v>249</v>
      </c>
      <c r="D36" s="22" t="s">
        <v>261</v>
      </c>
      <c r="E36" s="14" t="s">
        <v>262</v>
      </c>
      <c r="F36" s="22" t="s">
        <v>258</v>
      </c>
      <c r="G36" s="23" t="s">
        <v>180</v>
      </c>
    </row>
    <row r="37" spans="1:7" x14ac:dyDescent="0.25">
      <c r="A37" s="14" t="s">
        <v>14</v>
      </c>
      <c r="B37" s="14" t="s">
        <v>104</v>
      </c>
      <c r="C37" s="14" t="s">
        <v>249</v>
      </c>
      <c r="D37" s="22" t="s">
        <v>263</v>
      </c>
      <c r="E37" s="14" t="s">
        <v>264</v>
      </c>
      <c r="F37" s="22" t="s">
        <v>258</v>
      </c>
      <c r="G37" s="23" t="s">
        <v>180</v>
      </c>
    </row>
    <row r="38" spans="1:7" x14ac:dyDescent="0.25">
      <c r="A38" s="14" t="s">
        <v>14</v>
      </c>
      <c r="B38" s="14" t="s">
        <v>104</v>
      </c>
      <c r="C38" s="14" t="s">
        <v>249</v>
      </c>
      <c r="D38" s="22" t="s">
        <v>265</v>
      </c>
      <c r="E38" s="14" t="s">
        <v>264</v>
      </c>
      <c r="F38" s="22" t="s">
        <v>258</v>
      </c>
      <c r="G38" s="23" t="s">
        <v>180</v>
      </c>
    </row>
    <row r="39" spans="1:7" x14ac:dyDescent="0.25">
      <c r="A39" s="14" t="s">
        <v>14</v>
      </c>
      <c r="B39" s="14" t="s">
        <v>104</v>
      </c>
      <c r="C39" s="14" t="s">
        <v>249</v>
      </c>
      <c r="D39" s="22" t="s">
        <v>266</v>
      </c>
      <c r="E39" s="14" t="s">
        <v>267</v>
      </c>
      <c r="F39" s="22" t="s">
        <v>258</v>
      </c>
      <c r="G39" s="23" t="s">
        <v>180</v>
      </c>
    </row>
    <row r="40" spans="1:7" x14ac:dyDescent="0.25">
      <c r="A40" s="14" t="s">
        <v>14</v>
      </c>
      <c r="B40" s="14" t="s">
        <v>104</v>
      </c>
      <c r="C40" s="14" t="s">
        <v>249</v>
      </c>
      <c r="D40" s="22" t="s">
        <v>268</v>
      </c>
      <c r="E40" s="14" t="s">
        <v>269</v>
      </c>
      <c r="F40" s="22" t="s">
        <v>258</v>
      </c>
      <c r="G40" s="23" t="s">
        <v>180</v>
      </c>
    </row>
    <row r="41" spans="1:7" x14ac:dyDescent="0.25">
      <c r="A41" s="14" t="s">
        <v>14</v>
      </c>
      <c r="B41" s="14" t="s">
        <v>104</v>
      </c>
      <c r="C41" s="14" t="s">
        <v>249</v>
      </c>
      <c r="D41" s="22" t="s">
        <v>270</v>
      </c>
      <c r="E41" s="14" t="s">
        <v>271</v>
      </c>
      <c r="F41" s="22" t="s">
        <v>258</v>
      </c>
      <c r="G41" s="23" t="s">
        <v>180</v>
      </c>
    </row>
    <row r="42" spans="1:7" x14ac:dyDescent="0.25">
      <c r="A42" s="14" t="s">
        <v>14</v>
      </c>
      <c r="B42" s="14" t="s">
        <v>104</v>
      </c>
      <c r="C42" s="14" t="s">
        <v>249</v>
      </c>
      <c r="D42" s="22" t="s">
        <v>272</v>
      </c>
      <c r="E42" s="14" t="s">
        <v>273</v>
      </c>
      <c r="F42" s="22" t="s">
        <v>258</v>
      </c>
      <c r="G42" s="23" t="s">
        <v>180</v>
      </c>
    </row>
    <row r="43" spans="1:7" x14ac:dyDescent="0.25">
      <c r="A43" s="14" t="s">
        <v>14</v>
      </c>
      <c r="B43" s="14" t="s">
        <v>112</v>
      </c>
      <c r="C43" s="14" t="s">
        <v>274</v>
      </c>
      <c r="D43" s="22" t="s">
        <v>275</v>
      </c>
      <c r="E43" s="14" t="s">
        <v>276</v>
      </c>
      <c r="F43" s="22" t="s">
        <v>277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278</v>
      </c>
      <c r="E44" s="19" t="s">
        <v>279</v>
      </c>
      <c r="F44" s="20" t="s">
        <v>6</v>
      </c>
      <c r="G44" s="21" t="s">
        <v>183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280</v>
      </c>
      <c r="E45" s="19" t="s">
        <v>281</v>
      </c>
      <c r="F45" s="20" t="s">
        <v>6</v>
      </c>
      <c r="G45" s="21" t="s">
        <v>183</v>
      </c>
    </row>
    <row r="46" spans="1:7" x14ac:dyDescent="0.25">
      <c r="A46" s="14" t="s">
        <v>14</v>
      </c>
      <c r="B46" s="14" t="s">
        <v>112</v>
      </c>
      <c r="C46" s="14" t="s">
        <v>274</v>
      </c>
      <c r="D46" s="22" t="s">
        <v>282</v>
      </c>
      <c r="E46" s="14" t="s">
        <v>283</v>
      </c>
      <c r="F46" s="22" t="s">
        <v>277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284</v>
      </c>
      <c r="E47" s="19" t="s">
        <v>285</v>
      </c>
      <c r="F47" s="20" t="s">
        <v>6</v>
      </c>
      <c r="G47" s="21" t="s">
        <v>183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286</v>
      </c>
      <c r="E48" s="19" t="s">
        <v>287</v>
      </c>
      <c r="F48" s="20" t="s">
        <v>6</v>
      </c>
      <c r="G48" s="21" t="s">
        <v>183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288</v>
      </c>
      <c r="E49" s="19" t="s">
        <v>289</v>
      </c>
      <c r="F49" s="20" t="s">
        <v>6</v>
      </c>
      <c r="G49" s="21" t="s">
        <v>183</v>
      </c>
    </row>
    <row r="50" spans="1:7" x14ac:dyDescent="0.25">
      <c r="A50" s="14" t="s">
        <v>14</v>
      </c>
      <c r="B50" s="14" t="s">
        <v>112</v>
      </c>
      <c r="C50" s="14" t="s">
        <v>274</v>
      </c>
      <c r="D50" s="22" t="s">
        <v>290</v>
      </c>
      <c r="E50" s="14" t="s">
        <v>291</v>
      </c>
      <c r="F50" s="22" t="s">
        <v>277</v>
      </c>
      <c r="G50" s="23" t="s">
        <v>180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292</v>
      </c>
      <c r="E51" s="19" t="s">
        <v>293</v>
      </c>
      <c r="F51" s="20" t="s">
        <v>6</v>
      </c>
      <c r="G51" s="21" t="s">
        <v>183</v>
      </c>
    </row>
    <row r="52" spans="1:7" x14ac:dyDescent="0.25">
      <c r="A52" s="14" t="s">
        <v>14</v>
      </c>
      <c r="B52" s="14" t="s">
        <v>114</v>
      </c>
      <c r="C52" s="14" t="s">
        <v>274</v>
      </c>
      <c r="D52" s="22" t="s">
        <v>294</v>
      </c>
      <c r="E52" s="14" t="s">
        <v>295</v>
      </c>
      <c r="F52" s="22" t="s">
        <v>296</v>
      </c>
      <c r="G52" s="23" t="s">
        <v>180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297</v>
      </c>
      <c r="E53" s="19" t="s">
        <v>298</v>
      </c>
      <c r="F53" s="20" t="s">
        <v>6</v>
      </c>
      <c r="G53" s="21" t="s">
        <v>183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299</v>
      </c>
      <c r="E54" s="19" t="s">
        <v>287</v>
      </c>
      <c r="F54" s="20" t="s">
        <v>6</v>
      </c>
      <c r="G54" s="21" t="s">
        <v>183</v>
      </c>
    </row>
    <row r="55" spans="1:7" x14ac:dyDescent="0.25">
      <c r="A55" s="14" t="s">
        <v>14</v>
      </c>
      <c r="B55" s="14" t="s">
        <v>114</v>
      </c>
      <c r="C55" s="14" t="s">
        <v>274</v>
      </c>
      <c r="D55" s="22" t="s">
        <v>300</v>
      </c>
      <c r="E55" s="14" t="s">
        <v>301</v>
      </c>
      <c r="F55" s="22" t="s">
        <v>296</v>
      </c>
      <c r="G55" s="23" t="s">
        <v>180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297</v>
      </c>
      <c r="E56" s="19" t="s">
        <v>302</v>
      </c>
      <c r="F56" s="20" t="s">
        <v>6</v>
      </c>
      <c r="G56" s="21" t="s">
        <v>183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303</v>
      </c>
      <c r="E57" s="19" t="s">
        <v>304</v>
      </c>
      <c r="F57" s="20" t="s">
        <v>6</v>
      </c>
      <c r="G57" s="21" t="s">
        <v>183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305</v>
      </c>
      <c r="E58" s="19" t="s">
        <v>306</v>
      </c>
      <c r="F58" s="20" t="s">
        <v>6</v>
      </c>
      <c r="G58" s="21" t="s">
        <v>183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307</v>
      </c>
      <c r="E59" s="19" t="s">
        <v>308</v>
      </c>
      <c r="F59" s="20" t="s">
        <v>6</v>
      </c>
      <c r="G59" s="21" t="s">
        <v>183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309</v>
      </c>
      <c r="E60" s="19" t="s">
        <v>310</v>
      </c>
      <c r="F60" s="20" t="s">
        <v>311</v>
      </c>
      <c r="G60" s="21" t="s">
        <v>183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312</v>
      </c>
      <c r="E61" s="19" t="s">
        <v>313</v>
      </c>
      <c r="F61" s="20" t="s">
        <v>311</v>
      </c>
      <c r="G61" s="21" t="s">
        <v>183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314</v>
      </c>
      <c r="E62" s="19" t="s">
        <v>315</v>
      </c>
      <c r="F62" s="20" t="s">
        <v>316</v>
      </c>
      <c r="G62" s="21" t="s">
        <v>183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315</v>
      </c>
      <c r="F63" s="20" t="s">
        <v>316</v>
      </c>
      <c r="G63" s="21" t="s">
        <v>183</v>
      </c>
    </row>
    <row r="64" spans="1:7" x14ac:dyDescent="0.25">
      <c r="A64" s="14" t="s">
        <v>14</v>
      </c>
      <c r="B64" s="14" t="s">
        <v>116</v>
      </c>
      <c r="C64" s="14" t="s">
        <v>274</v>
      </c>
      <c r="D64" s="22" t="s">
        <v>318</v>
      </c>
      <c r="E64" s="14" t="s">
        <v>319</v>
      </c>
      <c r="F64" s="22" t="s">
        <v>320</v>
      </c>
      <c r="G64" s="23" t="s">
        <v>180</v>
      </c>
    </row>
    <row r="65" spans="1:7" x14ac:dyDescent="0.25">
      <c r="A65" s="14" t="s">
        <v>14</v>
      </c>
      <c r="B65" s="14" t="s">
        <v>116</v>
      </c>
      <c r="C65" s="14" t="s">
        <v>274</v>
      </c>
      <c r="D65" s="22" t="s">
        <v>321</v>
      </c>
      <c r="E65" s="14" t="s">
        <v>322</v>
      </c>
      <c r="F65" s="22" t="s">
        <v>320</v>
      </c>
      <c r="G65" s="23" t="s">
        <v>180</v>
      </c>
    </row>
    <row r="66" spans="1:7" x14ac:dyDescent="0.25">
      <c r="A66" s="14" t="s">
        <v>14</v>
      </c>
      <c r="B66" s="14" t="s">
        <v>116</v>
      </c>
      <c r="C66" s="14" t="s">
        <v>274</v>
      </c>
      <c r="D66" s="22" t="s">
        <v>323</v>
      </c>
      <c r="E66" s="14" t="s">
        <v>324</v>
      </c>
      <c r="F66" s="22" t="s">
        <v>320</v>
      </c>
      <c r="G66" s="23" t="s">
        <v>180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325</v>
      </c>
      <c r="E67" s="19" t="s">
        <v>191</v>
      </c>
      <c r="F67" s="20" t="s">
        <v>326</v>
      </c>
      <c r="G67" s="21" t="s">
        <v>183</v>
      </c>
    </row>
    <row r="68" spans="1:7" x14ac:dyDescent="0.25">
      <c r="A68" s="14" t="s">
        <v>14</v>
      </c>
      <c r="B68" s="14" t="s">
        <v>116</v>
      </c>
      <c r="C68" s="14" t="s">
        <v>274</v>
      </c>
      <c r="D68" s="22" t="s">
        <v>327</v>
      </c>
      <c r="E68" s="14" t="s">
        <v>328</v>
      </c>
      <c r="F68" s="22" t="s">
        <v>320</v>
      </c>
      <c r="G68" s="23" t="s">
        <v>180</v>
      </c>
    </row>
    <row r="69" spans="1:7" x14ac:dyDescent="0.25">
      <c r="A69" s="14" t="s">
        <v>14</v>
      </c>
      <c r="B69" s="14" t="s">
        <v>116</v>
      </c>
      <c r="C69" s="14" t="s">
        <v>274</v>
      </c>
      <c r="D69" s="22" t="s">
        <v>329</v>
      </c>
      <c r="E69" s="14" t="s">
        <v>330</v>
      </c>
      <c r="F69" s="22" t="s">
        <v>320</v>
      </c>
      <c r="G69" s="23" t="s">
        <v>180</v>
      </c>
    </row>
    <row r="70" spans="1:7" x14ac:dyDescent="0.25">
      <c r="A70" s="14" t="s">
        <v>14</v>
      </c>
      <c r="B70" s="14" t="s">
        <v>116</v>
      </c>
      <c r="C70" s="14" t="s">
        <v>274</v>
      </c>
      <c r="D70" s="22" t="s">
        <v>331</v>
      </c>
      <c r="E70" s="14" t="s">
        <v>332</v>
      </c>
      <c r="F70" s="22" t="s">
        <v>320</v>
      </c>
      <c r="G70" s="23" t="s">
        <v>180</v>
      </c>
    </row>
    <row r="71" spans="1:7" x14ac:dyDescent="0.25">
      <c r="A71" s="19" t="s">
        <v>6</v>
      </c>
      <c r="B71" s="19" t="s">
        <v>6</v>
      </c>
      <c r="C71" s="19" t="s">
        <v>6</v>
      </c>
      <c r="D71" s="20" t="s">
        <v>333</v>
      </c>
      <c r="E71" s="19" t="s">
        <v>334</v>
      </c>
      <c r="F71" s="20" t="s">
        <v>335</v>
      </c>
      <c r="G71" s="21" t="s">
        <v>183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336</v>
      </c>
      <c r="E72" s="19" t="s">
        <v>337</v>
      </c>
      <c r="F72" s="20" t="s">
        <v>224</v>
      </c>
      <c r="G72" s="21" t="s">
        <v>183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340</v>
      </c>
      <c r="G73" s="21" t="s">
        <v>183</v>
      </c>
    </row>
    <row r="74" spans="1:7" x14ac:dyDescent="0.25">
      <c r="A74" s="19" t="s">
        <v>6</v>
      </c>
      <c r="B74" s="19" t="s">
        <v>6</v>
      </c>
      <c r="C74" s="19" t="s">
        <v>6</v>
      </c>
      <c r="D74" s="20" t="s">
        <v>341</v>
      </c>
      <c r="E74" s="19" t="s">
        <v>342</v>
      </c>
      <c r="F74" s="20" t="s">
        <v>343</v>
      </c>
      <c r="G74" s="21" t="s">
        <v>183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333</v>
      </c>
      <c r="E75" s="19" t="s">
        <v>344</v>
      </c>
      <c r="F75" s="20" t="s">
        <v>340</v>
      </c>
      <c r="G75" s="21" t="s">
        <v>183</v>
      </c>
    </row>
    <row r="76" spans="1:7" x14ac:dyDescent="0.25">
      <c r="A76" s="14" t="s">
        <v>14</v>
      </c>
      <c r="B76" s="14" t="s">
        <v>126</v>
      </c>
      <c r="C76" s="14" t="s">
        <v>345</v>
      </c>
      <c r="D76" s="22" t="s">
        <v>346</v>
      </c>
      <c r="E76" s="14" t="s">
        <v>347</v>
      </c>
      <c r="F76" s="22" t="s">
        <v>348</v>
      </c>
      <c r="G76" s="23" t="s">
        <v>180</v>
      </c>
    </row>
    <row r="77" spans="1:7" x14ac:dyDescent="0.25">
      <c r="A77" s="14" t="s">
        <v>14</v>
      </c>
      <c r="B77" s="14" t="s">
        <v>126</v>
      </c>
      <c r="C77" s="14" t="s">
        <v>345</v>
      </c>
      <c r="D77" s="22" t="s">
        <v>349</v>
      </c>
      <c r="E77" s="14" t="s">
        <v>347</v>
      </c>
      <c r="F77" s="22" t="s">
        <v>350</v>
      </c>
      <c r="G77" s="23" t="s">
        <v>180</v>
      </c>
    </row>
    <row r="78" spans="1:7" x14ac:dyDescent="0.25">
      <c r="A78" s="14" t="s">
        <v>14</v>
      </c>
      <c r="B78" s="14" t="s">
        <v>126</v>
      </c>
      <c r="C78" s="14" t="s">
        <v>345</v>
      </c>
      <c r="D78" s="22" t="s">
        <v>351</v>
      </c>
      <c r="E78" s="14" t="s">
        <v>347</v>
      </c>
      <c r="F78" s="22" t="s">
        <v>352</v>
      </c>
      <c r="G78" s="23" t="s">
        <v>180</v>
      </c>
    </row>
    <row r="79" spans="1:7" x14ac:dyDescent="0.25">
      <c r="A79" s="14" t="s">
        <v>14</v>
      </c>
      <c r="B79" s="14" t="s">
        <v>144</v>
      </c>
      <c r="C79" s="14" t="s">
        <v>176</v>
      </c>
      <c r="D79" s="22" t="s">
        <v>353</v>
      </c>
      <c r="E79" s="14" t="s">
        <v>354</v>
      </c>
      <c r="F79" s="22" t="s">
        <v>355</v>
      </c>
      <c r="G79" s="14" t="s">
        <v>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356</v>
      </c>
      <c r="E80" s="19" t="s">
        <v>357</v>
      </c>
      <c r="F80" s="20" t="s">
        <v>6</v>
      </c>
      <c r="G80" s="21" t="s">
        <v>183</v>
      </c>
    </row>
    <row r="81" spans="1:7" x14ac:dyDescent="0.25">
      <c r="A81" s="14" t="s">
        <v>14</v>
      </c>
      <c r="B81" s="14" t="s">
        <v>146</v>
      </c>
      <c r="C81" s="14" t="s">
        <v>176</v>
      </c>
      <c r="D81" s="22" t="s">
        <v>358</v>
      </c>
      <c r="E81" s="14" t="s">
        <v>359</v>
      </c>
      <c r="F81" s="22" t="s">
        <v>360</v>
      </c>
      <c r="G81" s="23" t="s">
        <v>180</v>
      </c>
    </row>
    <row r="82" spans="1:7" x14ac:dyDescent="0.25">
      <c r="A82" s="19" t="s">
        <v>6</v>
      </c>
      <c r="B82" s="19" t="s">
        <v>6</v>
      </c>
      <c r="C82" s="19" t="s">
        <v>6</v>
      </c>
      <c r="D82" s="20" t="s">
        <v>361</v>
      </c>
      <c r="E82" s="19" t="s">
        <v>362</v>
      </c>
      <c r="F82" s="20" t="s">
        <v>6</v>
      </c>
      <c r="G82" s="21" t="s">
        <v>183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363</v>
      </c>
      <c r="E83" s="19" t="s">
        <v>364</v>
      </c>
      <c r="F83" s="20" t="s">
        <v>6</v>
      </c>
      <c r="G83" s="19" t="s">
        <v>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365</v>
      </c>
      <c r="E84" s="19" t="s">
        <v>185</v>
      </c>
      <c r="F84" s="20" t="s">
        <v>6</v>
      </c>
      <c r="G84" s="21" t="s">
        <v>183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366</v>
      </c>
      <c r="E85" s="19" t="s">
        <v>191</v>
      </c>
      <c r="F85" s="20" t="s">
        <v>6</v>
      </c>
      <c r="G85" s="19" t="s">
        <v>6</v>
      </c>
    </row>
    <row r="86" spans="1:7" x14ac:dyDescent="0.25">
      <c r="A86" s="14" t="s">
        <v>14</v>
      </c>
      <c r="B86" s="14" t="s">
        <v>146</v>
      </c>
      <c r="C86" s="14" t="s">
        <v>176</v>
      </c>
      <c r="D86" s="22" t="s">
        <v>367</v>
      </c>
      <c r="E86" s="14" t="s">
        <v>368</v>
      </c>
      <c r="F86" s="22" t="s">
        <v>360</v>
      </c>
      <c r="G86" s="23" t="s">
        <v>180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369</v>
      </c>
      <c r="E87" s="19" t="s">
        <v>370</v>
      </c>
      <c r="F87" s="20" t="s">
        <v>6</v>
      </c>
      <c r="G87" s="21" t="s">
        <v>183</v>
      </c>
    </row>
    <row r="88" spans="1:7" x14ac:dyDescent="0.25">
      <c r="A88" s="19" t="s">
        <v>6</v>
      </c>
      <c r="B88" s="19" t="s">
        <v>6</v>
      </c>
      <c r="C88" s="19" t="s">
        <v>6</v>
      </c>
      <c r="D88" s="20" t="s">
        <v>371</v>
      </c>
      <c r="E88" s="19" t="s">
        <v>372</v>
      </c>
      <c r="F88" s="20" t="s">
        <v>6</v>
      </c>
      <c r="G88" s="21" t="s">
        <v>183</v>
      </c>
    </row>
    <row r="89" spans="1:7" x14ac:dyDescent="0.25">
      <c r="A89" s="14" t="s">
        <v>14</v>
      </c>
      <c r="B89" s="14" t="s">
        <v>146</v>
      </c>
      <c r="C89" s="14" t="s">
        <v>176</v>
      </c>
      <c r="D89" s="22" t="s">
        <v>373</v>
      </c>
      <c r="E89" s="14" t="s">
        <v>368</v>
      </c>
      <c r="F89" s="22" t="s">
        <v>360</v>
      </c>
      <c r="G89" s="23" t="s">
        <v>180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374</v>
      </c>
      <c r="E90" s="19" t="s">
        <v>375</v>
      </c>
      <c r="F90" s="20" t="s">
        <v>6</v>
      </c>
      <c r="G90" s="21" t="s">
        <v>183</v>
      </c>
    </row>
    <row r="91" spans="1:7" x14ac:dyDescent="0.25">
      <c r="A91" s="19" t="s">
        <v>6</v>
      </c>
      <c r="B91" s="19" t="s">
        <v>6</v>
      </c>
      <c r="C91" s="19" t="s">
        <v>6</v>
      </c>
      <c r="D91" s="20" t="s">
        <v>376</v>
      </c>
      <c r="E91" s="19" t="s">
        <v>377</v>
      </c>
      <c r="F91" s="20" t="s">
        <v>6</v>
      </c>
      <c r="G91" s="21" t="s">
        <v>183</v>
      </c>
    </row>
    <row r="92" spans="1:7" x14ac:dyDescent="0.25">
      <c r="A92" s="14" t="s">
        <v>14</v>
      </c>
      <c r="B92" s="14" t="s">
        <v>156</v>
      </c>
      <c r="C92" s="14" t="s">
        <v>378</v>
      </c>
      <c r="D92" s="22" t="s">
        <v>379</v>
      </c>
      <c r="E92" s="14" t="s">
        <v>380</v>
      </c>
      <c r="F92" s="22" t="s">
        <v>381</v>
      </c>
      <c r="G92" s="14" t="s">
        <v>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382</v>
      </c>
      <c r="E93" s="19" t="s">
        <v>383</v>
      </c>
      <c r="F93" s="20" t="s">
        <v>384</v>
      </c>
      <c r="G93" s="21" t="s">
        <v>183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385</v>
      </c>
      <c r="E94" s="19" t="s">
        <v>386</v>
      </c>
      <c r="F94" s="20" t="s">
        <v>387</v>
      </c>
      <c r="G94" s="21" t="s">
        <v>183</v>
      </c>
    </row>
    <row r="95" spans="1:7" x14ac:dyDescent="0.25">
      <c r="A95" s="14" t="s">
        <v>14</v>
      </c>
      <c r="B95" s="14" t="s">
        <v>158</v>
      </c>
      <c r="C95" s="14" t="s">
        <v>378</v>
      </c>
      <c r="D95" s="22" t="s">
        <v>388</v>
      </c>
      <c r="E95" s="14" t="s">
        <v>389</v>
      </c>
      <c r="F95" s="22" t="s">
        <v>390</v>
      </c>
      <c r="G95" s="23" t="s">
        <v>180</v>
      </c>
    </row>
    <row r="96" spans="1:7" x14ac:dyDescent="0.25">
      <c r="A96" s="24" t="s">
        <v>15</v>
      </c>
      <c r="B96" s="24" t="s">
        <v>56</v>
      </c>
      <c r="C96" s="24" t="s">
        <v>391</v>
      </c>
      <c r="D96" s="25" t="s">
        <v>392</v>
      </c>
      <c r="E96" s="24" t="s">
        <v>393</v>
      </c>
      <c r="F96" s="25" t="s">
        <v>394</v>
      </c>
      <c r="G96" s="24" t="s">
        <v>6</v>
      </c>
    </row>
    <row r="97" spans="1:7" x14ac:dyDescent="0.25">
      <c r="A97" s="24" t="s">
        <v>15</v>
      </c>
      <c r="B97" s="24" t="s">
        <v>90</v>
      </c>
      <c r="C97" s="24" t="s">
        <v>220</v>
      </c>
      <c r="D97" s="25" t="s">
        <v>395</v>
      </c>
      <c r="E97" s="24" t="s">
        <v>396</v>
      </c>
      <c r="F97" s="25" t="s">
        <v>397</v>
      </c>
      <c r="G97" s="24" t="s">
        <v>6</v>
      </c>
    </row>
    <row r="98" spans="1:7" x14ac:dyDescent="0.25">
      <c r="A98" s="24" t="s">
        <v>15</v>
      </c>
      <c r="B98" s="24" t="s">
        <v>100</v>
      </c>
      <c r="C98" s="24" t="s">
        <v>237</v>
      </c>
      <c r="D98" s="25" t="s">
        <v>398</v>
      </c>
      <c r="E98" s="24" t="s">
        <v>399</v>
      </c>
      <c r="F98" s="25" t="s">
        <v>400</v>
      </c>
      <c r="G98" s="24" t="s">
        <v>6</v>
      </c>
    </row>
    <row r="99" spans="1:7" x14ac:dyDescent="0.25">
      <c r="A99" s="24" t="s">
        <v>15</v>
      </c>
      <c r="B99" s="24" t="s">
        <v>108</v>
      </c>
      <c r="C99" s="24" t="s">
        <v>249</v>
      </c>
      <c r="D99" s="25" t="s">
        <v>401</v>
      </c>
      <c r="E99" s="24" t="s">
        <v>402</v>
      </c>
      <c r="F99" s="25" t="s">
        <v>403</v>
      </c>
      <c r="G99" s="26" t="s">
        <v>180</v>
      </c>
    </row>
    <row r="100" spans="1:7" x14ac:dyDescent="0.25">
      <c r="A100" s="24" t="s">
        <v>15</v>
      </c>
      <c r="B100" s="24" t="s">
        <v>108</v>
      </c>
      <c r="C100" s="24" t="s">
        <v>249</v>
      </c>
      <c r="D100" s="25" t="s">
        <v>404</v>
      </c>
      <c r="E100" s="24" t="s">
        <v>405</v>
      </c>
      <c r="F100" s="25" t="s">
        <v>403</v>
      </c>
      <c r="G100" s="26" t="s">
        <v>180</v>
      </c>
    </row>
    <row r="101" spans="1:7" x14ac:dyDescent="0.25">
      <c r="A101" s="24" t="s">
        <v>15</v>
      </c>
      <c r="B101" s="24" t="s">
        <v>108</v>
      </c>
      <c r="C101" s="24" t="s">
        <v>249</v>
      </c>
      <c r="D101" s="25" t="s">
        <v>406</v>
      </c>
      <c r="E101" s="24" t="s">
        <v>407</v>
      </c>
      <c r="F101" s="25" t="s">
        <v>403</v>
      </c>
      <c r="G101" s="26" t="s">
        <v>180</v>
      </c>
    </row>
    <row r="102" spans="1:7" x14ac:dyDescent="0.25">
      <c r="A102" s="24" t="s">
        <v>15</v>
      </c>
      <c r="B102" s="24" t="s">
        <v>108</v>
      </c>
      <c r="C102" s="24" t="s">
        <v>249</v>
      </c>
      <c r="D102" s="25" t="s">
        <v>408</v>
      </c>
      <c r="E102" s="24" t="s">
        <v>409</v>
      </c>
      <c r="F102" s="25" t="s">
        <v>403</v>
      </c>
      <c r="G102" s="26" t="s">
        <v>180</v>
      </c>
    </row>
    <row r="103" spans="1:7" x14ac:dyDescent="0.25">
      <c r="A103" s="24" t="s">
        <v>15</v>
      </c>
      <c r="B103" s="24" t="s">
        <v>108</v>
      </c>
      <c r="C103" s="24" t="s">
        <v>249</v>
      </c>
      <c r="D103" s="25" t="s">
        <v>410</v>
      </c>
      <c r="E103" s="24" t="s">
        <v>411</v>
      </c>
      <c r="F103" s="25" t="s">
        <v>403</v>
      </c>
      <c r="G103" s="26" t="s">
        <v>180</v>
      </c>
    </row>
    <row r="104" spans="1:7" x14ac:dyDescent="0.25">
      <c r="A104" s="24" t="s">
        <v>15</v>
      </c>
      <c r="B104" s="24" t="s">
        <v>128</v>
      </c>
      <c r="C104" s="24" t="s">
        <v>345</v>
      </c>
      <c r="D104" s="25" t="s">
        <v>412</v>
      </c>
      <c r="E104" s="24" t="s">
        <v>413</v>
      </c>
      <c r="F104" s="25" t="s">
        <v>414</v>
      </c>
      <c r="G104" s="26" t="s">
        <v>180</v>
      </c>
    </row>
    <row r="105" spans="1:7" x14ac:dyDescent="0.25">
      <c r="A105" s="24" t="s">
        <v>15</v>
      </c>
      <c r="B105" s="24" t="s">
        <v>128</v>
      </c>
      <c r="C105" s="24" t="s">
        <v>345</v>
      </c>
      <c r="D105" s="25" t="s">
        <v>415</v>
      </c>
      <c r="E105" s="24" t="s">
        <v>416</v>
      </c>
      <c r="F105" s="25" t="s">
        <v>414</v>
      </c>
      <c r="G105" s="26" t="s">
        <v>180</v>
      </c>
    </row>
    <row r="106" spans="1:7" x14ac:dyDescent="0.25">
      <c r="A106" s="24" t="s">
        <v>15</v>
      </c>
      <c r="B106" s="24" t="s">
        <v>128</v>
      </c>
      <c r="C106" s="24" t="s">
        <v>345</v>
      </c>
      <c r="D106" s="25" t="s">
        <v>417</v>
      </c>
      <c r="E106" s="24" t="s">
        <v>418</v>
      </c>
      <c r="F106" s="25" t="s">
        <v>414</v>
      </c>
      <c r="G106" s="26" t="s">
        <v>180</v>
      </c>
    </row>
    <row r="107" spans="1:7" x14ac:dyDescent="0.25">
      <c r="A107" s="24" t="s">
        <v>15</v>
      </c>
      <c r="B107" s="24" t="s">
        <v>150</v>
      </c>
      <c r="C107" s="24" t="s">
        <v>176</v>
      </c>
      <c r="D107" s="25" t="s">
        <v>419</v>
      </c>
      <c r="E107" s="24" t="s">
        <v>420</v>
      </c>
      <c r="F107" s="25" t="s">
        <v>421</v>
      </c>
      <c r="G107" s="24" t="s">
        <v>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422</v>
      </c>
      <c r="E108" s="19" t="s">
        <v>423</v>
      </c>
      <c r="F108" s="20" t="s">
        <v>6</v>
      </c>
      <c r="G108" s="21" t="s">
        <v>183</v>
      </c>
    </row>
  </sheetData>
  <autoFilter ref="A1:G10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7" r:id="rId19"/>
    <hyperlink ref="G28" r:id="rId20"/>
    <hyperlink ref="G29" r:id="rId21"/>
    <hyperlink ref="G30" r:id="rId22"/>
    <hyperlink ref="G31" r:id="rId23"/>
    <hyperlink ref="G32" r:id="rId24"/>
    <hyperlink ref="G33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7" r:id="rId39"/>
    <hyperlink ref="G48" r:id="rId40"/>
    <hyperlink ref="G49" r:id="rId41"/>
    <hyperlink ref="G50" r:id="rId42"/>
    <hyperlink ref="G51" r:id="rId43"/>
    <hyperlink ref="G52" r:id="rId44"/>
    <hyperlink ref="G53" r:id="rId45"/>
    <hyperlink ref="G54" r:id="rId46"/>
    <hyperlink ref="G55" r:id="rId47"/>
    <hyperlink ref="G56" r:id="rId48"/>
    <hyperlink ref="G57" r:id="rId49"/>
    <hyperlink ref="G58" r:id="rId50"/>
    <hyperlink ref="G59" r:id="rId51"/>
    <hyperlink ref="G60" r:id="rId52"/>
    <hyperlink ref="G61" r:id="rId53"/>
    <hyperlink ref="G62" r:id="rId54"/>
    <hyperlink ref="G63" r:id="rId55"/>
    <hyperlink ref="G64" r:id="rId56"/>
    <hyperlink ref="G65" r:id="rId57"/>
    <hyperlink ref="G66" r:id="rId58"/>
    <hyperlink ref="G67" r:id="rId59"/>
    <hyperlink ref="G68" r:id="rId60"/>
    <hyperlink ref="G69" r:id="rId61"/>
    <hyperlink ref="G70" r:id="rId62"/>
    <hyperlink ref="G71" r:id="rId63"/>
    <hyperlink ref="G72" r:id="rId64"/>
    <hyperlink ref="G73" r:id="rId65"/>
    <hyperlink ref="G74" r:id="rId66"/>
    <hyperlink ref="G75" r:id="rId67"/>
    <hyperlink ref="G76" r:id="rId68"/>
    <hyperlink ref="G77" r:id="rId69"/>
    <hyperlink ref="G78" r:id="rId70"/>
    <hyperlink ref="G80" r:id="rId71"/>
    <hyperlink ref="G81" r:id="rId72"/>
    <hyperlink ref="G82" r:id="rId73"/>
    <hyperlink ref="G84" r:id="rId74"/>
    <hyperlink ref="G86" r:id="rId75"/>
    <hyperlink ref="G87" r:id="rId76"/>
    <hyperlink ref="G88" r:id="rId77"/>
    <hyperlink ref="G89" r:id="rId78"/>
    <hyperlink ref="G90" r:id="rId79"/>
    <hyperlink ref="G91" r:id="rId80"/>
    <hyperlink ref="G93" r:id="rId81"/>
    <hyperlink ref="G94" r:id="rId82"/>
    <hyperlink ref="G95" r:id="rId83"/>
    <hyperlink ref="G99" r:id="rId84"/>
    <hyperlink ref="G100" r:id="rId85"/>
    <hyperlink ref="G101" r:id="rId86"/>
    <hyperlink ref="G102" r:id="rId87"/>
    <hyperlink ref="G103" r:id="rId88"/>
    <hyperlink ref="G104" r:id="rId89"/>
    <hyperlink ref="G105" r:id="rId90"/>
    <hyperlink ref="G106" r:id="rId91"/>
    <hyperlink ref="G108" r:id="rId9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424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181</v>
      </c>
      <c r="D6" s="19" t="s">
        <v>182</v>
      </c>
      <c r="E6" s="20" t="s">
        <v>6</v>
      </c>
      <c r="F6" s="21" t="s">
        <v>183</v>
      </c>
    </row>
    <row r="7" spans="1:6" x14ac:dyDescent="0.25">
      <c r="A7" s="19" t="s">
        <v>6</v>
      </c>
      <c r="B7" s="19" t="s">
        <v>6</v>
      </c>
      <c r="C7" s="20" t="s">
        <v>184</v>
      </c>
      <c r="D7" s="19" t="s">
        <v>185</v>
      </c>
      <c r="E7" s="20" t="s">
        <v>6</v>
      </c>
      <c r="F7" s="21" t="s">
        <v>183</v>
      </c>
    </row>
    <row r="8" spans="1:6" x14ac:dyDescent="0.25">
      <c r="A8" s="19" t="s">
        <v>6</v>
      </c>
      <c r="B8" s="19" t="s">
        <v>6</v>
      </c>
      <c r="C8" s="20" t="s">
        <v>186</v>
      </c>
      <c r="D8" s="19" t="s">
        <v>187</v>
      </c>
      <c r="E8" s="20" t="s">
        <v>6</v>
      </c>
      <c r="F8" s="21" t="s">
        <v>183</v>
      </c>
    </row>
    <row r="9" spans="1:6" x14ac:dyDescent="0.25">
      <c r="A9" s="19" t="s">
        <v>6</v>
      </c>
      <c r="B9" s="19" t="s">
        <v>6</v>
      </c>
      <c r="C9" s="20" t="s">
        <v>188</v>
      </c>
      <c r="D9" s="19" t="s">
        <v>189</v>
      </c>
      <c r="E9" s="20" t="s">
        <v>6</v>
      </c>
      <c r="F9" s="21" t="s">
        <v>183</v>
      </c>
    </row>
    <row r="10" spans="1:6" x14ac:dyDescent="0.25">
      <c r="A10" s="19" t="s">
        <v>6</v>
      </c>
      <c r="B10" s="19" t="s">
        <v>6</v>
      </c>
      <c r="C10" s="20" t="s">
        <v>190</v>
      </c>
      <c r="D10" s="19" t="s">
        <v>189</v>
      </c>
      <c r="E10" s="20" t="s">
        <v>6</v>
      </c>
      <c r="F10" s="21" t="s">
        <v>183</v>
      </c>
    </row>
    <row r="11" spans="1:6" x14ac:dyDescent="0.25">
      <c r="A11" s="19" t="s">
        <v>6</v>
      </c>
      <c r="B11" s="19" t="s">
        <v>6</v>
      </c>
      <c r="C11" s="20" t="s">
        <v>190</v>
      </c>
      <c r="D11" s="19" t="s">
        <v>191</v>
      </c>
      <c r="E11" s="20" t="s">
        <v>6</v>
      </c>
      <c r="F11" s="21" t="s">
        <v>183</v>
      </c>
    </row>
    <row r="12" spans="1:6" x14ac:dyDescent="0.25">
      <c r="A12" s="14" t="s">
        <v>14</v>
      </c>
      <c r="B12" s="14" t="s">
        <v>144</v>
      </c>
      <c r="C12" s="22" t="s">
        <v>353</v>
      </c>
      <c r="D12" s="14" t="s">
        <v>354</v>
      </c>
      <c r="E12" s="22" t="s">
        <v>355</v>
      </c>
      <c r="F12" s="14" t="s">
        <v>6</v>
      </c>
    </row>
    <row r="13" spans="1:6" x14ac:dyDescent="0.25">
      <c r="A13" s="19" t="s">
        <v>6</v>
      </c>
      <c r="B13" s="19" t="s">
        <v>6</v>
      </c>
      <c r="C13" s="20" t="s">
        <v>356</v>
      </c>
      <c r="D13" s="19" t="s">
        <v>357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146</v>
      </c>
      <c r="C14" s="22" t="s">
        <v>358</v>
      </c>
      <c r="D14" s="14" t="s">
        <v>359</v>
      </c>
      <c r="E14" s="22" t="s">
        <v>360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361</v>
      </c>
      <c r="D15" s="19" t="s">
        <v>362</v>
      </c>
      <c r="E15" s="20" t="s">
        <v>6</v>
      </c>
      <c r="F15" s="21" t="s">
        <v>183</v>
      </c>
    </row>
    <row r="16" spans="1:6" x14ac:dyDescent="0.25">
      <c r="A16" s="19" t="s">
        <v>6</v>
      </c>
      <c r="B16" s="19" t="s">
        <v>6</v>
      </c>
      <c r="C16" s="20" t="s">
        <v>363</v>
      </c>
      <c r="D16" s="19" t="s">
        <v>364</v>
      </c>
      <c r="E16" s="20" t="s">
        <v>6</v>
      </c>
      <c r="F16" s="19" t="s">
        <v>6</v>
      </c>
    </row>
    <row r="17" spans="1:6" x14ac:dyDescent="0.25">
      <c r="A17" s="19" t="s">
        <v>6</v>
      </c>
      <c r="B17" s="19" t="s">
        <v>6</v>
      </c>
      <c r="C17" s="20" t="s">
        <v>365</v>
      </c>
      <c r="D17" s="19" t="s">
        <v>185</v>
      </c>
      <c r="E17" s="20" t="s">
        <v>6</v>
      </c>
      <c r="F17" s="21" t="s">
        <v>183</v>
      </c>
    </row>
    <row r="18" spans="1:6" x14ac:dyDescent="0.25">
      <c r="A18" s="19" t="s">
        <v>6</v>
      </c>
      <c r="B18" s="19" t="s">
        <v>6</v>
      </c>
      <c r="C18" s="20" t="s">
        <v>366</v>
      </c>
      <c r="D18" s="19" t="s">
        <v>191</v>
      </c>
      <c r="E18" s="20" t="s">
        <v>6</v>
      </c>
      <c r="F18" s="19" t="s">
        <v>6</v>
      </c>
    </row>
    <row r="19" spans="1:6" x14ac:dyDescent="0.25">
      <c r="A19" s="14" t="s">
        <v>14</v>
      </c>
      <c r="B19" s="14" t="s">
        <v>146</v>
      </c>
      <c r="C19" s="22" t="s">
        <v>367</v>
      </c>
      <c r="D19" s="14" t="s">
        <v>368</v>
      </c>
      <c r="E19" s="22" t="s">
        <v>360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369</v>
      </c>
      <c r="D20" s="19" t="s">
        <v>370</v>
      </c>
      <c r="E20" s="20" t="s">
        <v>6</v>
      </c>
      <c r="F20" s="21" t="s">
        <v>183</v>
      </c>
    </row>
    <row r="21" spans="1:6" x14ac:dyDescent="0.25">
      <c r="A21" s="19" t="s">
        <v>6</v>
      </c>
      <c r="B21" s="19" t="s">
        <v>6</v>
      </c>
      <c r="C21" s="20" t="s">
        <v>371</v>
      </c>
      <c r="D21" s="19" t="s">
        <v>372</v>
      </c>
      <c r="E21" s="20" t="s">
        <v>6</v>
      </c>
      <c r="F21" s="21" t="s">
        <v>183</v>
      </c>
    </row>
    <row r="22" spans="1:6" x14ac:dyDescent="0.25">
      <c r="A22" s="14" t="s">
        <v>14</v>
      </c>
      <c r="B22" s="14" t="s">
        <v>146</v>
      </c>
      <c r="C22" s="22" t="s">
        <v>373</v>
      </c>
      <c r="D22" s="14" t="s">
        <v>368</v>
      </c>
      <c r="E22" s="22" t="s">
        <v>360</v>
      </c>
      <c r="F22" s="23" t="s">
        <v>180</v>
      </c>
    </row>
    <row r="23" spans="1:6" x14ac:dyDescent="0.25">
      <c r="A23" s="19" t="s">
        <v>6</v>
      </c>
      <c r="B23" s="19" t="s">
        <v>6</v>
      </c>
      <c r="C23" s="20" t="s">
        <v>374</v>
      </c>
      <c r="D23" s="19" t="s">
        <v>375</v>
      </c>
      <c r="E23" s="20" t="s">
        <v>6</v>
      </c>
      <c r="F23" s="21" t="s">
        <v>183</v>
      </c>
    </row>
    <row r="24" spans="1:6" x14ac:dyDescent="0.25">
      <c r="A24" s="19" t="s">
        <v>6</v>
      </c>
      <c r="B24" s="19" t="s">
        <v>6</v>
      </c>
      <c r="C24" s="20" t="s">
        <v>376</v>
      </c>
      <c r="D24" s="19" t="s">
        <v>377</v>
      </c>
      <c r="E24" s="20" t="s">
        <v>6</v>
      </c>
      <c r="F24" s="21" t="s">
        <v>183</v>
      </c>
    </row>
    <row r="25" spans="1:6" x14ac:dyDescent="0.25">
      <c r="A25" s="24" t="s">
        <v>15</v>
      </c>
      <c r="B25" s="24" t="s">
        <v>150</v>
      </c>
      <c r="C25" s="25" t="s">
        <v>419</v>
      </c>
      <c r="D25" s="24" t="s">
        <v>420</v>
      </c>
      <c r="E25" s="25" t="s">
        <v>421</v>
      </c>
      <c r="F25" s="24" t="s">
        <v>6</v>
      </c>
    </row>
    <row r="26" spans="1:6" x14ac:dyDescent="0.25">
      <c r="A26" s="19" t="s">
        <v>6</v>
      </c>
      <c r="B26" s="19" t="s">
        <v>6</v>
      </c>
      <c r="C26" s="20" t="s">
        <v>422</v>
      </c>
      <c r="D26" s="19" t="s">
        <v>423</v>
      </c>
      <c r="E26" s="20" t="s">
        <v>6</v>
      </c>
      <c r="F26" s="21" t="s">
        <v>183</v>
      </c>
    </row>
  </sheetData>
  <autoFilter ref="A4:F2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3" r:id="rId8"/>
    <hyperlink ref="F14" r:id="rId9"/>
    <hyperlink ref="F15" r:id="rId10"/>
    <hyperlink ref="F17" r:id="rId11"/>
    <hyperlink ref="F19" r:id="rId12"/>
    <hyperlink ref="F20" r:id="rId13"/>
    <hyperlink ref="F21" r:id="rId14"/>
    <hyperlink ref="F22" r:id="rId15"/>
    <hyperlink ref="F23" r:id="rId16"/>
    <hyperlink ref="F24" r:id="rId17"/>
    <hyperlink ref="F26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18</v>
      </c>
      <c r="B1" s="27"/>
      <c r="C1" s="27"/>
      <c r="D1" s="27"/>
      <c r="E1" s="27"/>
      <c r="F1" s="27"/>
    </row>
    <row r="2" spans="1:1" x14ac:dyDescent="0.25">
      <c r="A2" s="28" t="s">
        <v>425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22" t="s">
        <v>379</v>
      </c>
      <c r="D5" s="14" t="s">
        <v>380</v>
      </c>
      <c r="E5" s="22" t="s">
        <v>381</v>
      </c>
      <c r="F5" s="14" t="s">
        <v>6</v>
      </c>
    </row>
    <row r="6" spans="1:6" x14ac:dyDescent="0.25">
      <c r="A6" s="19" t="s">
        <v>6</v>
      </c>
      <c r="B6" s="19" t="s">
        <v>6</v>
      </c>
      <c r="C6" s="20" t="s">
        <v>382</v>
      </c>
      <c r="D6" s="19" t="s">
        <v>383</v>
      </c>
      <c r="E6" s="20" t="s">
        <v>384</v>
      </c>
      <c r="F6" s="21" t="s">
        <v>183</v>
      </c>
    </row>
    <row r="7" spans="1:6" x14ac:dyDescent="0.25">
      <c r="A7" s="19" t="s">
        <v>6</v>
      </c>
      <c r="B7" s="19" t="s">
        <v>6</v>
      </c>
      <c r="C7" s="20" t="s">
        <v>385</v>
      </c>
      <c r="D7" s="19" t="s">
        <v>386</v>
      </c>
      <c r="E7" s="20" t="s">
        <v>387</v>
      </c>
      <c r="F7" s="21" t="s">
        <v>183</v>
      </c>
    </row>
    <row r="8" spans="1:6" x14ac:dyDescent="0.25">
      <c r="A8" s="14" t="s">
        <v>14</v>
      </c>
      <c r="B8" s="14" t="s">
        <v>158</v>
      </c>
      <c r="C8" s="22" t="s">
        <v>388</v>
      </c>
      <c r="D8" s="14" t="s">
        <v>389</v>
      </c>
      <c r="E8" s="22" t="s">
        <v>390</v>
      </c>
      <c r="F8" s="23" t="s">
        <v>180</v>
      </c>
    </row>
  </sheetData>
  <autoFilter ref="A4:F8"/>
  <mergeCells count="1">
    <mergeCell ref="A1:F1"/>
  </mergeCells>
  <hyperlinks>
    <hyperlink ref="F6" r:id="rId1"/>
    <hyperlink ref="F7" r:id="rId2"/>
    <hyperlink ref="F8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426</v>
      </c>
    </row>
    <row r="4" spans="1:1" x14ac:dyDescent="0.25">
      <c r="A4" s="29" t="s">
        <v>427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428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60</v>
      </c>
      <c r="C5" s="22" t="s">
        <v>210</v>
      </c>
      <c r="D5" s="14" t="s">
        <v>211</v>
      </c>
      <c r="E5" s="22" t="s">
        <v>212</v>
      </c>
      <c r="F5" s="23" t="s">
        <v>180</v>
      </c>
    </row>
    <row r="6" spans="1:6" x14ac:dyDescent="0.25">
      <c r="A6" s="14" t="s">
        <v>14</v>
      </c>
      <c r="B6" s="14" t="s">
        <v>62</v>
      </c>
      <c r="C6" s="22" t="s">
        <v>213</v>
      </c>
      <c r="D6" s="14" t="s">
        <v>214</v>
      </c>
      <c r="E6" s="22" t="s">
        <v>215</v>
      </c>
      <c r="F6" s="23" t="s">
        <v>180</v>
      </c>
    </row>
    <row r="7" spans="1:6" x14ac:dyDescent="0.25">
      <c r="A7" s="14" t="s">
        <v>14</v>
      </c>
      <c r="B7" s="14" t="s">
        <v>112</v>
      </c>
      <c r="C7" s="22" t="s">
        <v>275</v>
      </c>
      <c r="D7" s="14" t="s">
        <v>276</v>
      </c>
      <c r="E7" s="22" t="s">
        <v>277</v>
      </c>
      <c r="F7" s="23" t="s">
        <v>180</v>
      </c>
    </row>
    <row r="8" spans="1:6" x14ac:dyDescent="0.25">
      <c r="A8" s="19" t="s">
        <v>6</v>
      </c>
      <c r="B8" s="19" t="s">
        <v>6</v>
      </c>
      <c r="C8" s="20" t="s">
        <v>278</v>
      </c>
      <c r="D8" s="19" t="s">
        <v>279</v>
      </c>
      <c r="E8" s="20" t="s">
        <v>6</v>
      </c>
      <c r="F8" s="21" t="s">
        <v>183</v>
      </c>
    </row>
    <row r="9" spans="1:6" x14ac:dyDescent="0.25">
      <c r="A9" s="19" t="s">
        <v>6</v>
      </c>
      <c r="B9" s="19" t="s">
        <v>6</v>
      </c>
      <c r="C9" s="20" t="s">
        <v>280</v>
      </c>
      <c r="D9" s="19" t="s">
        <v>281</v>
      </c>
      <c r="E9" s="20" t="s">
        <v>6</v>
      </c>
      <c r="F9" s="21" t="s">
        <v>183</v>
      </c>
    </row>
    <row r="10" spans="1:6" x14ac:dyDescent="0.25">
      <c r="A10" s="14" t="s">
        <v>14</v>
      </c>
      <c r="B10" s="14" t="s">
        <v>112</v>
      </c>
      <c r="C10" s="22" t="s">
        <v>282</v>
      </c>
      <c r="D10" s="14" t="s">
        <v>283</v>
      </c>
      <c r="E10" s="22" t="s">
        <v>277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284</v>
      </c>
      <c r="D11" s="19" t="s">
        <v>285</v>
      </c>
      <c r="E11" s="20" t="s">
        <v>6</v>
      </c>
      <c r="F11" s="21" t="s">
        <v>183</v>
      </c>
    </row>
    <row r="12" spans="1:6" x14ac:dyDescent="0.25">
      <c r="A12" s="19" t="s">
        <v>6</v>
      </c>
      <c r="B12" s="19" t="s">
        <v>6</v>
      </c>
      <c r="C12" s="20" t="s">
        <v>286</v>
      </c>
      <c r="D12" s="19" t="s">
        <v>287</v>
      </c>
      <c r="E12" s="20" t="s">
        <v>6</v>
      </c>
      <c r="F12" s="21" t="s">
        <v>183</v>
      </c>
    </row>
    <row r="13" spans="1:6" x14ac:dyDescent="0.25">
      <c r="A13" s="19" t="s">
        <v>6</v>
      </c>
      <c r="B13" s="19" t="s">
        <v>6</v>
      </c>
      <c r="C13" s="20" t="s">
        <v>288</v>
      </c>
      <c r="D13" s="19" t="s">
        <v>289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112</v>
      </c>
      <c r="C14" s="22" t="s">
        <v>290</v>
      </c>
      <c r="D14" s="14" t="s">
        <v>291</v>
      </c>
      <c r="E14" s="22" t="s">
        <v>277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292</v>
      </c>
      <c r="D15" s="19" t="s">
        <v>293</v>
      </c>
      <c r="E15" s="20" t="s">
        <v>6</v>
      </c>
      <c r="F15" s="21" t="s">
        <v>183</v>
      </c>
    </row>
    <row r="16" spans="1:6" x14ac:dyDescent="0.25">
      <c r="A16" s="14" t="s">
        <v>14</v>
      </c>
      <c r="B16" s="14" t="s">
        <v>114</v>
      </c>
      <c r="C16" s="22" t="s">
        <v>294</v>
      </c>
      <c r="D16" s="14" t="s">
        <v>295</v>
      </c>
      <c r="E16" s="22" t="s">
        <v>296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297</v>
      </c>
      <c r="D17" s="19" t="s">
        <v>298</v>
      </c>
      <c r="E17" s="20" t="s">
        <v>6</v>
      </c>
      <c r="F17" s="21" t="s">
        <v>183</v>
      </c>
    </row>
    <row r="18" spans="1:6" x14ac:dyDescent="0.25">
      <c r="A18" s="19" t="s">
        <v>6</v>
      </c>
      <c r="B18" s="19" t="s">
        <v>6</v>
      </c>
      <c r="C18" s="20" t="s">
        <v>299</v>
      </c>
      <c r="D18" s="19" t="s">
        <v>287</v>
      </c>
      <c r="E18" s="20" t="s">
        <v>6</v>
      </c>
      <c r="F18" s="21" t="s">
        <v>183</v>
      </c>
    </row>
    <row r="19" spans="1:6" x14ac:dyDescent="0.25">
      <c r="A19" s="14" t="s">
        <v>14</v>
      </c>
      <c r="B19" s="14" t="s">
        <v>114</v>
      </c>
      <c r="C19" s="22" t="s">
        <v>300</v>
      </c>
      <c r="D19" s="14" t="s">
        <v>301</v>
      </c>
      <c r="E19" s="22" t="s">
        <v>296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297</v>
      </c>
      <c r="D20" s="19" t="s">
        <v>302</v>
      </c>
      <c r="E20" s="20" t="s">
        <v>6</v>
      </c>
      <c r="F20" s="21" t="s">
        <v>183</v>
      </c>
    </row>
    <row r="21" spans="1:6" x14ac:dyDescent="0.25">
      <c r="A21" s="19" t="s">
        <v>6</v>
      </c>
      <c r="B21" s="19" t="s">
        <v>6</v>
      </c>
      <c r="C21" s="20" t="s">
        <v>303</v>
      </c>
      <c r="D21" s="19" t="s">
        <v>304</v>
      </c>
      <c r="E21" s="20" t="s">
        <v>6</v>
      </c>
      <c r="F21" s="21" t="s">
        <v>183</v>
      </c>
    </row>
    <row r="22" spans="1:6" x14ac:dyDescent="0.25">
      <c r="A22" s="19" t="s">
        <v>6</v>
      </c>
      <c r="B22" s="19" t="s">
        <v>6</v>
      </c>
      <c r="C22" s="20" t="s">
        <v>305</v>
      </c>
      <c r="D22" s="19" t="s">
        <v>306</v>
      </c>
      <c r="E22" s="20" t="s">
        <v>6</v>
      </c>
      <c r="F22" s="21" t="s">
        <v>183</v>
      </c>
    </row>
    <row r="23" spans="1:6" x14ac:dyDescent="0.25">
      <c r="A23" s="19" t="s">
        <v>6</v>
      </c>
      <c r="B23" s="19" t="s">
        <v>6</v>
      </c>
      <c r="C23" s="20" t="s">
        <v>307</v>
      </c>
      <c r="D23" s="19" t="s">
        <v>308</v>
      </c>
      <c r="E23" s="20" t="s">
        <v>6</v>
      </c>
      <c r="F23" s="21" t="s">
        <v>183</v>
      </c>
    </row>
    <row r="24" spans="1:6" x14ac:dyDescent="0.25">
      <c r="A24" s="19" t="s">
        <v>6</v>
      </c>
      <c r="B24" s="19" t="s">
        <v>6</v>
      </c>
      <c r="C24" s="20" t="s">
        <v>309</v>
      </c>
      <c r="D24" s="19" t="s">
        <v>310</v>
      </c>
      <c r="E24" s="20" t="s">
        <v>311</v>
      </c>
      <c r="F24" s="21" t="s">
        <v>183</v>
      </c>
    </row>
    <row r="25" spans="1:6" x14ac:dyDescent="0.25">
      <c r="A25" s="19" t="s">
        <v>6</v>
      </c>
      <c r="B25" s="19" t="s">
        <v>6</v>
      </c>
      <c r="C25" s="20" t="s">
        <v>312</v>
      </c>
      <c r="D25" s="19" t="s">
        <v>313</v>
      </c>
      <c r="E25" s="20" t="s">
        <v>311</v>
      </c>
      <c r="F25" s="21" t="s">
        <v>183</v>
      </c>
    </row>
    <row r="26" spans="1:6" x14ac:dyDescent="0.25">
      <c r="A26" s="19" t="s">
        <v>6</v>
      </c>
      <c r="B26" s="19" t="s">
        <v>6</v>
      </c>
      <c r="C26" s="20" t="s">
        <v>314</v>
      </c>
      <c r="D26" s="19" t="s">
        <v>315</v>
      </c>
      <c r="E26" s="20" t="s">
        <v>316</v>
      </c>
      <c r="F26" s="21" t="s">
        <v>183</v>
      </c>
    </row>
    <row r="27" spans="1:6" x14ac:dyDescent="0.25">
      <c r="A27" s="19" t="s">
        <v>6</v>
      </c>
      <c r="B27" s="19" t="s">
        <v>6</v>
      </c>
      <c r="C27" s="20" t="s">
        <v>317</v>
      </c>
      <c r="D27" s="19" t="s">
        <v>315</v>
      </c>
      <c r="E27" s="20" t="s">
        <v>316</v>
      </c>
      <c r="F27" s="21" t="s">
        <v>183</v>
      </c>
    </row>
    <row r="28" spans="1:6" x14ac:dyDescent="0.25">
      <c r="A28" s="14" t="s">
        <v>14</v>
      </c>
      <c r="B28" s="14" t="s">
        <v>116</v>
      </c>
      <c r="C28" s="22" t="s">
        <v>318</v>
      </c>
      <c r="D28" s="14" t="s">
        <v>319</v>
      </c>
      <c r="E28" s="22" t="s">
        <v>320</v>
      </c>
      <c r="F28" s="23" t="s">
        <v>180</v>
      </c>
    </row>
    <row r="29" spans="1:6" x14ac:dyDescent="0.25">
      <c r="A29" s="14" t="s">
        <v>14</v>
      </c>
      <c r="B29" s="14" t="s">
        <v>116</v>
      </c>
      <c r="C29" s="22" t="s">
        <v>321</v>
      </c>
      <c r="D29" s="14" t="s">
        <v>322</v>
      </c>
      <c r="E29" s="22" t="s">
        <v>320</v>
      </c>
      <c r="F29" s="23" t="s">
        <v>180</v>
      </c>
    </row>
    <row r="30" spans="1:6" x14ac:dyDescent="0.25">
      <c r="A30" s="14" t="s">
        <v>14</v>
      </c>
      <c r="B30" s="14" t="s">
        <v>116</v>
      </c>
      <c r="C30" s="22" t="s">
        <v>323</v>
      </c>
      <c r="D30" s="14" t="s">
        <v>324</v>
      </c>
      <c r="E30" s="22" t="s">
        <v>320</v>
      </c>
      <c r="F30" s="23" t="s">
        <v>180</v>
      </c>
    </row>
    <row r="31" spans="1:6" x14ac:dyDescent="0.25">
      <c r="A31" s="19" t="s">
        <v>6</v>
      </c>
      <c r="B31" s="19" t="s">
        <v>6</v>
      </c>
      <c r="C31" s="20" t="s">
        <v>325</v>
      </c>
      <c r="D31" s="19" t="s">
        <v>191</v>
      </c>
      <c r="E31" s="20" t="s">
        <v>326</v>
      </c>
      <c r="F31" s="21" t="s">
        <v>183</v>
      </c>
    </row>
    <row r="32" spans="1:6" x14ac:dyDescent="0.25">
      <c r="A32" s="14" t="s">
        <v>14</v>
      </c>
      <c r="B32" s="14" t="s">
        <v>116</v>
      </c>
      <c r="C32" s="22" t="s">
        <v>327</v>
      </c>
      <c r="D32" s="14" t="s">
        <v>328</v>
      </c>
      <c r="E32" s="22" t="s">
        <v>320</v>
      </c>
      <c r="F32" s="23" t="s">
        <v>180</v>
      </c>
    </row>
    <row r="33" spans="1:6" x14ac:dyDescent="0.25">
      <c r="A33" s="14" t="s">
        <v>14</v>
      </c>
      <c r="B33" s="14" t="s">
        <v>116</v>
      </c>
      <c r="C33" s="22" t="s">
        <v>329</v>
      </c>
      <c r="D33" s="14" t="s">
        <v>330</v>
      </c>
      <c r="E33" s="22" t="s">
        <v>320</v>
      </c>
      <c r="F33" s="23" t="s">
        <v>180</v>
      </c>
    </row>
    <row r="34" spans="1:6" x14ac:dyDescent="0.25">
      <c r="A34" s="14" t="s">
        <v>14</v>
      </c>
      <c r="B34" s="14" t="s">
        <v>116</v>
      </c>
      <c r="C34" s="22" t="s">
        <v>331</v>
      </c>
      <c r="D34" s="14" t="s">
        <v>332</v>
      </c>
      <c r="E34" s="22" t="s">
        <v>320</v>
      </c>
      <c r="F34" s="23" t="s">
        <v>180</v>
      </c>
    </row>
    <row r="35" spans="1:6" x14ac:dyDescent="0.25">
      <c r="A35" s="19" t="s">
        <v>6</v>
      </c>
      <c r="B35" s="19" t="s">
        <v>6</v>
      </c>
      <c r="C35" s="20" t="s">
        <v>333</v>
      </c>
      <c r="D35" s="19" t="s">
        <v>334</v>
      </c>
      <c r="E35" s="20" t="s">
        <v>335</v>
      </c>
      <c r="F35" s="21" t="s">
        <v>183</v>
      </c>
    </row>
    <row r="36" spans="1:6" x14ac:dyDescent="0.25">
      <c r="A36" s="19" t="s">
        <v>6</v>
      </c>
      <c r="B36" s="19" t="s">
        <v>6</v>
      </c>
      <c r="C36" s="20" t="s">
        <v>336</v>
      </c>
      <c r="D36" s="19" t="s">
        <v>337</v>
      </c>
      <c r="E36" s="20" t="s">
        <v>224</v>
      </c>
      <c r="F36" s="21" t="s">
        <v>183</v>
      </c>
    </row>
    <row r="37" spans="1:6" x14ac:dyDescent="0.25">
      <c r="A37" s="19" t="s">
        <v>6</v>
      </c>
      <c r="B37" s="19" t="s">
        <v>6</v>
      </c>
      <c r="C37" s="20" t="s">
        <v>338</v>
      </c>
      <c r="D37" s="19" t="s">
        <v>339</v>
      </c>
      <c r="E37" s="20" t="s">
        <v>340</v>
      </c>
      <c r="F37" s="21" t="s">
        <v>183</v>
      </c>
    </row>
    <row r="38" spans="1:6" x14ac:dyDescent="0.25">
      <c r="A38" s="19" t="s">
        <v>6</v>
      </c>
      <c r="B38" s="19" t="s">
        <v>6</v>
      </c>
      <c r="C38" s="20" t="s">
        <v>341</v>
      </c>
      <c r="D38" s="19" t="s">
        <v>342</v>
      </c>
      <c r="E38" s="20" t="s">
        <v>343</v>
      </c>
      <c r="F38" s="21" t="s">
        <v>183</v>
      </c>
    </row>
    <row r="39" spans="1:6" x14ac:dyDescent="0.25">
      <c r="A39" s="19" t="s">
        <v>6</v>
      </c>
      <c r="B39" s="19" t="s">
        <v>6</v>
      </c>
      <c r="C39" s="20" t="s">
        <v>333</v>
      </c>
      <c r="D39" s="19" t="s">
        <v>344</v>
      </c>
      <c r="E39" s="20" t="s">
        <v>340</v>
      </c>
      <c r="F39" s="21" t="s">
        <v>183</v>
      </c>
    </row>
  </sheetData>
  <autoFilter ref="A4:F3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429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22" t="s">
        <v>217</v>
      </c>
      <c r="D5" s="14" t="s">
        <v>218</v>
      </c>
      <c r="E5" s="22" t="s">
        <v>219</v>
      </c>
      <c r="F5" s="23" t="s">
        <v>180</v>
      </c>
    </row>
    <row r="6" spans="1:6" x14ac:dyDescent="0.25">
      <c r="A6" s="14" t="s">
        <v>14</v>
      </c>
      <c r="B6" s="14" t="s">
        <v>86</v>
      </c>
      <c r="C6" s="22" t="s">
        <v>221</v>
      </c>
      <c r="D6" s="14" t="s">
        <v>222</v>
      </c>
      <c r="E6" s="22" t="s">
        <v>223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225</v>
      </c>
      <c r="D7" s="14" t="s">
        <v>226</v>
      </c>
      <c r="E7" s="22" t="s">
        <v>227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228</v>
      </c>
      <c r="D8" s="14" t="s">
        <v>229</v>
      </c>
      <c r="E8" s="22" t="s">
        <v>230</v>
      </c>
      <c r="F8" s="23" t="s">
        <v>180</v>
      </c>
    </row>
    <row r="9" spans="1:6" x14ac:dyDescent="0.25">
      <c r="A9" s="14" t="s">
        <v>14</v>
      </c>
      <c r="B9" s="14" t="s">
        <v>92</v>
      </c>
      <c r="C9" s="22" t="s">
        <v>231</v>
      </c>
      <c r="D9" s="14" t="s">
        <v>232</v>
      </c>
      <c r="E9" s="22" t="s">
        <v>233</v>
      </c>
      <c r="F9" s="23" t="s">
        <v>180</v>
      </c>
    </row>
    <row r="10" spans="1:6" x14ac:dyDescent="0.25">
      <c r="A10" s="14" t="s">
        <v>14</v>
      </c>
      <c r="B10" s="14" t="s">
        <v>92</v>
      </c>
      <c r="C10" s="22" t="s">
        <v>234</v>
      </c>
      <c r="D10" s="14" t="s">
        <v>226</v>
      </c>
      <c r="E10" s="22" t="s">
        <v>227</v>
      </c>
      <c r="F10" s="23" t="s">
        <v>180</v>
      </c>
    </row>
    <row r="11" spans="1:6" x14ac:dyDescent="0.25">
      <c r="A11" s="14" t="s">
        <v>14</v>
      </c>
      <c r="B11" s="14" t="s">
        <v>92</v>
      </c>
      <c r="C11" s="22" t="s">
        <v>235</v>
      </c>
      <c r="D11" s="14" t="s">
        <v>229</v>
      </c>
      <c r="E11" s="22" t="s">
        <v>230</v>
      </c>
      <c r="F11" s="23" t="s">
        <v>180</v>
      </c>
    </row>
    <row r="12" spans="1:6" x14ac:dyDescent="0.25">
      <c r="A12" s="14" t="s">
        <v>14</v>
      </c>
      <c r="B12" s="14" t="s">
        <v>92</v>
      </c>
      <c r="C12" s="22" t="s">
        <v>236</v>
      </c>
      <c r="D12" s="14" t="s">
        <v>232</v>
      </c>
      <c r="E12" s="22" t="s">
        <v>233</v>
      </c>
      <c r="F12" s="23" t="s">
        <v>180</v>
      </c>
    </row>
    <row r="13" spans="1:6" x14ac:dyDescent="0.25">
      <c r="A13" s="14" t="s">
        <v>14</v>
      </c>
      <c r="B13" s="14" t="s">
        <v>96</v>
      </c>
      <c r="C13" s="22" t="s">
        <v>238</v>
      </c>
      <c r="D13" s="14" t="s">
        <v>239</v>
      </c>
      <c r="E13" s="22" t="s">
        <v>240</v>
      </c>
      <c r="F13" s="14" t="s">
        <v>6</v>
      </c>
    </row>
    <row r="14" spans="1:6" x14ac:dyDescent="0.25">
      <c r="A14" s="14" t="s">
        <v>14</v>
      </c>
      <c r="B14" s="14" t="s">
        <v>98</v>
      </c>
      <c r="C14" s="22" t="s">
        <v>241</v>
      </c>
      <c r="D14" s="14" t="s">
        <v>242</v>
      </c>
      <c r="E14" s="22" t="s">
        <v>243</v>
      </c>
      <c r="F14" s="23" t="s">
        <v>180</v>
      </c>
    </row>
    <row r="15" spans="1:6" x14ac:dyDescent="0.25">
      <c r="A15" s="14" t="s">
        <v>14</v>
      </c>
      <c r="B15" s="14" t="s">
        <v>98</v>
      </c>
      <c r="C15" s="22" t="s">
        <v>244</v>
      </c>
      <c r="D15" s="14" t="s">
        <v>245</v>
      </c>
      <c r="E15" s="22" t="s">
        <v>243</v>
      </c>
      <c r="F15" s="23" t="s">
        <v>180</v>
      </c>
    </row>
    <row r="16" spans="1:6" x14ac:dyDescent="0.25">
      <c r="A16" s="14" t="s">
        <v>14</v>
      </c>
      <c r="B16" s="14" t="s">
        <v>98</v>
      </c>
      <c r="C16" s="22" t="s">
        <v>246</v>
      </c>
      <c r="D16" s="14" t="s">
        <v>242</v>
      </c>
      <c r="E16" s="22" t="s">
        <v>243</v>
      </c>
      <c r="F16" s="23" t="s">
        <v>180</v>
      </c>
    </row>
    <row r="17" spans="1:6" x14ac:dyDescent="0.25">
      <c r="A17" s="14" t="s">
        <v>14</v>
      </c>
      <c r="B17" s="14" t="s">
        <v>98</v>
      </c>
      <c r="C17" s="22" t="s">
        <v>247</v>
      </c>
      <c r="D17" s="14" t="s">
        <v>248</v>
      </c>
      <c r="E17" s="22" t="s">
        <v>243</v>
      </c>
      <c r="F17" s="23" t="s">
        <v>180</v>
      </c>
    </row>
    <row r="18" spans="1:6" x14ac:dyDescent="0.25">
      <c r="A18" s="14" t="s">
        <v>14</v>
      </c>
      <c r="B18" s="14" t="s">
        <v>102</v>
      </c>
      <c r="C18" s="22" t="s">
        <v>250</v>
      </c>
      <c r="D18" s="14" t="s">
        <v>251</v>
      </c>
      <c r="E18" s="22" t="s">
        <v>252</v>
      </c>
      <c r="F18" s="23" t="s">
        <v>180</v>
      </c>
    </row>
    <row r="19" spans="1:6" x14ac:dyDescent="0.25">
      <c r="A19" s="14" t="s">
        <v>14</v>
      </c>
      <c r="B19" s="14" t="s">
        <v>102</v>
      </c>
      <c r="C19" s="22" t="s">
        <v>253</v>
      </c>
      <c r="D19" s="14" t="s">
        <v>251</v>
      </c>
      <c r="E19" s="22" t="s">
        <v>252</v>
      </c>
      <c r="F19" s="23" t="s">
        <v>180</v>
      </c>
    </row>
    <row r="20" spans="1:6" x14ac:dyDescent="0.25">
      <c r="A20" s="14" t="s">
        <v>14</v>
      </c>
      <c r="B20" s="14" t="s">
        <v>102</v>
      </c>
      <c r="C20" s="22" t="s">
        <v>254</v>
      </c>
      <c r="D20" s="14" t="s">
        <v>255</v>
      </c>
      <c r="E20" s="22" t="s">
        <v>252</v>
      </c>
      <c r="F20" s="23" t="s">
        <v>180</v>
      </c>
    </row>
    <row r="21" spans="1:6" x14ac:dyDescent="0.25">
      <c r="A21" s="14" t="s">
        <v>14</v>
      </c>
      <c r="B21" s="14" t="s">
        <v>104</v>
      </c>
      <c r="C21" s="22" t="s">
        <v>256</v>
      </c>
      <c r="D21" s="14" t="s">
        <v>257</v>
      </c>
      <c r="E21" s="22" t="s">
        <v>258</v>
      </c>
      <c r="F21" s="23" t="s">
        <v>180</v>
      </c>
    </row>
    <row r="22" spans="1:6" x14ac:dyDescent="0.25">
      <c r="A22" s="14" t="s">
        <v>14</v>
      </c>
      <c r="B22" s="14" t="s">
        <v>104</v>
      </c>
      <c r="C22" s="22" t="s">
        <v>259</v>
      </c>
      <c r="D22" s="14" t="s">
        <v>260</v>
      </c>
      <c r="E22" s="22" t="s">
        <v>258</v>
      </c>
      <c r="F22" s="23" t="s">
        <v>180</v>
      </c>
    </row>
    <row r="23" spans="1:6" x14ac:dyDescent="0.25">
      <c r="A23" s="14" t="s">
        <v>14</v>
      </c>
      <c r="B23" s="14" t="s">
        <v>104</v>
      </c>
      <c r="C23" s="22" t="s">
        <v>261</v>
      </c>
      <c r="D23" s="14" t="s">
        <v>262</v>
      </c>
      <c r="E23" s="22" t="s">
        <v>258</v>
      </c>
      <c r="F23" s="23" t="s">
        <v>180</v>
      </c>
    </row>
    <row r="24" spans="1:6" x14ac:dyDescent="0.25">
      <c r="A24" s="14" t="s">
        <v>14</v>
      </c>
      <c r="B24" s="14" t="s">
        <v>104</v>
      </c>
      <c r="C24" s="22" t="s">
        <v>263</v>
      </c>
      <c r="D24" s="14" t="s">
        <v>264</v>
      </c>
      <c r="E24" s="22" t="s">
        <v>258</v>
      </c>
      <c r="F24" s="23" t="s">
        <v>180</v>
      </c>
    </row>
    <row r="25" spans="1:6" x14ac:dyDescent="0.25">
      <c r="A25" s="14" t="s">
        <v>14</v>
      </c>
      <c r="B25" s="14" t="s">
        <v>104</v>
      </c>
      <c r="C25" s="22" t="s">
        <v>265</v>
      </c>
      <c r="D25" s="14" t="s">
        <v>264</v>
      </c>
      <c r="E25" s="22" t="s">
        <v>258</v>
      </c>
      <c r="F25" s="23" t="s">
        <v>180</v>
      </c>
    </row>
    <row r="26" spans="1:6" x14ac:dyDescent="0.25">
      <c r="A26" s="14" t="s">
        <v>14</v>
      </c>
      <c r="B26" s="14" t="s">
        <v>104</v>
      </c>
      <c r="C26" s="22" t="s">
        <v>266</v>
      </c>
      <c r="D26" s="14" t="s">
        <v>267</v>
      </c>
      <c r="E26" s="22" t="s">
        <v>258</v>
      </c>
      <c r="F26" s="23" t="s">
        <v>180</v>
      </c>
    </row>
    <row r="27" spans="1:6" x14ac:dyDescent="0.25">
      <c r="A27" s="14" t="s">
        <v>14</v>
      </c>
      <c r="B27" s="14" t="s">
        <v>104</v>
      </c>
      <c r="C27" s="22" t="s">
        <v>268</v>
      </c>
      <c r="D27" s="14" t="s">
        <v>269</v>
      </c>
      <c r="E27" s="22" t="s">
        <v>258</v>
      </c>
      <c r="F27" s="23" t="s">
        <v>180</v>
      </c>
    </row>
    <row r="28" spans="1:6" x14ac:dyDescent="0.25">
      <c r="A28" s="14" t="s">
        <v>14</v>
      </c>
      <c r="B28" s="14" t="s">
        <v>104</v>
      </c>
      <c r="C28" s="22" t="s">
        <v>270</v>
      </c>
      <c r="D28" s="14" t="s">
        <v>271</v>
      </c>
      <c r="E28" s="22" t="s">
        <v>258</v>
      </c>
      <c r="F28" s="23" t="s">
        <v>180</v>
      </c>
    </row>
    <row r="29" spans="1:6" x14ac:dyDescent="0.25">
      <c r="A29" s="14" t="s">
        <v>14</v>
      </c>
      <c r="B29" s="14" t="s">
        <v>104</v>
      </c>
      <c r="C29" s="22" t="s">
        <v>272</v>
      </c>
      <c r="D29" s="14" t="s">
        <v>273</v>
      </c>
      <c r="E29" s="22" t="s">
        <v>258</v>
      </c>
      <c r="F29" s="23" t="s">
        <v>180</v>
      </c>
    </row>
    <row r="30" spans="1:6" x14ac:dyDescent="0.25">
      <c r="A30" s="14" t="s">
        <v>14</v>
      </c>
      <c r="B30" s="14" t="s">
        <v>126</v>
      </c>
      <c r="C30" s="22" t="s">
        <v>346</v>
      </c>
      <c r="D30" s="14" t="s">
        <v>347</v>
      </c>
      <c r="E30" s="22" t="s">
        <v>348</v>
      </c>
      <c r="F30" s="23" t="s">
        <v>180</v>
      </c>
    </row>
    <row r="31" spans="1:6" x14ac:dyDescent="0.25">
      <c r="A31" s="14" t="s">
        <v>14</v>
      </c>
      <c r="B31" s="14" t="s">
        <v>126</v>
      </c>
      <c r="C31" s="22" t="s">
        <v>349</v>
      </c>
      <c r="D31" s="14" t="s">
        <v>347</v>
      </c>
      <c r="E31" s="22" t="s">
        <v>350</v>
      </c>
      <c r="F31" s="23" t="s">
        <v>180</v>
      </c>
    </row>
    <row r="32" spans="1:6" x14ac:dyDescent="0.25">
      <c r="A32" s="14" t="s">
        <v>14</v>
      </c>
      <c r="B32" s="14" t="s">
        <v>126</v>
      </c>
      <c r="C32" s="22" t="s">
        <v>351</v>
      </c>
      <c r="D32" s="14" t="s">
        <v>347</v>
      </c>
      <c r="E32" s="22" t="s">
        <v>352</v>
      </c>
      <c r="F32" s="23" t="s">
        <v>180</v>
      </c>
    </row>
    <row r="33" spans="1:6" x14ac:dyDescent="0.25">
      <c r="A33" s="24" t="s">
        <v>15</v>
      </c>
      <c r="B33" s="24" t="s">
        <v>90</v>
      </c>
      <c r="C33" s="25" t="s">
        <v>395</v>
      </c>
      <c r="D33" s="24" t="s">
        <v>396</v>
      </c>
      <c r="E33" s="25" t="s">
        <v>397</v>
      </c>
      <c r="F33" s="24" t="s">
        <v>6</v>
      </c>
    </row>
    <row r="34" spans="1:6" x14ac:dyDescent="0.25">
      <c r="A34" s="24" t="s">
        <v>15</v>
      </c>
      <c r="B34" s="24" t="s">
        <v>100</v>
      </c>
      <c r="C34" s="25" t="s">
        <v>398</v>
      </c>
      <c r="D34" s="24" t="s">
        <v>399</v>
      </c>
      <c r="E34" s="25" t="s">
        <v>400</v>
      </c>
      <c r="F34" s="24" t="s">
        <v>6</v>
      </c>
    </row>
    <row r="35" spans="1:6" x14ac:dyDescent="0.25">
      <c r="A35" s="24" t="s">
        <v>15</v>
      </c>
      <c r="B35" s="24" t="s">
        <v>108</v>
      </c>
      <c r="C35" s="25" t="s">
        <v>401</v>
      </c>
      <c r="D35" s="24" t="s">
        <v>402</v>
      </c>
      <c r="E35" s="25" t="s">
        <v>403</v>
      </c>
      <c r="F35" s="26" t="s">
        <v>180</v>
      </c>
    </row>
    <row r="36" spans="1:6" x14ac:dyDescent="0.25">
      <c r="A36" s="24" t="s">
        <v>15</v>
      </c>
      <c r="B36" s="24" t="s">
        <v>108</v>
      </c>
      <c r="C36" s="25" t="s">
        <v>404</v>
      </c>
      <c r="D36" s="24" t="s">
        <v>405</v>
      </c>
      <c r="E36" s="25" t="s">
        <v>403</v>
      </c>
      <c r="F36" s="26" t="s">
        <v>180</v>
      </c>
    </row>
    <row r="37" spans="1:6" x14ac:dyDescent="0.25">
      <c r="A37" s="24" t="s">
        <v>15</v>
      </c>
      <c r="B37" s="24" t="s">
        <v>108</v>
      </c>
      <c r="C37" s="25" t="s">
        <v>406</v>
      </c>
      <c r="D37" s="24" t="s">
        <v>407</v>
      </c>
      <c r="E37" s="25" t="s">
        <v>403</v>
      </c>
      <c r="F37" s="26" t="s">
        <v>180</v>
      </c>
    </row>
    <row r="38" spans="1:6" x14ac:dyDescent="0.25">
      <c r="A38" s="24" t="s">
        <v>15</v>
      </c>
      <c r="B38" s="24" t="s">
        <v>108</v>
      </c>
      <c r="C38" s="25" t="s">
        <v>408</v>
      </c>
      <c r="D38" s="24" t="s">
        <v>409</v>
      </c>
      <c r="E38" s="25" t="s">
        <v>403</v>
      </c>
      <c r="F38" s="26" t="s">
        <v>180</v>
      </c>
    </row>
    <row r="39" spans="1:6" x14ac:dyDescent="0.25">
      <c r="A39" s="24" t="s">
        <v>15</v>
      </c>
      <c r="B39" s="24" t="s">
        <v>108</v>
      </c>
      <c r="C39" s="25" t="s">
        <v>410</v>
      </c>
      <c r="D39" s="24" t="s">
        <v>411</v>
      </c>
      <c r="E39" s="25" t="s">
        <v>403</v>
      </c>
      <c r="F39" s="26" t="s">
        <v>180</v>
      </c>
    </row>
    <row r="40" spans="1:6" x14ac:dyDescent="0.25">
      <c r="A40" s="24" t="s">
        <v>15</v>
      </c>
      <c r="B40" s="24" t="s">
        <v>128</v>
      </c>
      <c r="C40" s="25" t="s">
        <v>412</v>
      </c>
      <c r="D40" s="24" t="s">
        <v>413</v>
      </c>
      <c r="E40" s="25" t="s">
        <v>414</v>
      </c>
      <c r="F40" s="26" t="s">
        <v>180</v>
      </c>
    </row>
    <row r="41" spans="1:6" x14ac:dyDescent="0.25">
      <c r="A41" s="24" t="s">
        <v>15</v>
      </c>
      <c r="B41" s="24" t="s">
        <v>128</v>
      </c>
      <c r="C41" s="25" t="s">
        <v>415</v>
      </c>
      <c r="D41" s="24" t="s">
        <v>416</v>
      </c>
      <c r="E41" s="25" t="s">
        <v>414</v>
      </c>
      <c r="F41" s="26" t="s">
        <v>180</v>
      </c>
    </row>
    <row r="42" spans="1:6" x14ac:dyDescent="0.25">
      <c r="A42" s="24" t="s">
        <v>15</v>
      </c>
      <c r="B42" s="24" t="s">
        <v>128</v>
      </c>
      <c r="C42" s="25" t="s">
        <v>417</v>
      </c>
      <c r="D42" s="24" t="s">
        <v>418</v>
      </c>
      <c r="E42" s="25" t="s">
        <v>414</v>
      </c>
      <c r="F42" s="26" t="s">
        <v>180</v>
      </c>
    </row>
  </sheetData>
  <autoFilter ref="A4:F42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/>
    <hyperlink ref="F30" r:id="rId25"/>
    <hyperlink ref="F31" r:id="rId26"/>
    <hyperlink ref="F32" r:id="rId27"/>
    <hyperlink ref="F35" r:id="rId28"/>
    <hyperlink ref="F36" r:id="rId29"/>
    <hyperlink ref="F37" r:id="rId30"/>
    <hyperlink ref="F38" r:id="rId31"/>
    <hyperlink ref="F39" r:id="rId32"/>
    <hyperlink ref="F40" r:id="rId33"/>
    <hyperlink ref="F41" r:id="rId34"/>
    <hyperlink ref="F42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22" t="s">
        <v>193</v>
      </c>
      <c r="D5" s="14" t="s">
        <v>194</v>
      </c>
      <c r="E5" s="22" t="s">
        <v>195</v>
      </c>
      <c r="F5" s="23" t="s">
        <v>180</v>
      </c>
    </row>
    <row r="6" spans="1:6" x14ac:dyDescent="0.25">
      <c r="A6" s="14" t="s">
        <v>14</v>
      </c>
      <c r="B6" s="14" t="s">
        <v>31</v>
      </c>
      <c r="C6" s="22" t="s">
        <v>196</v>
      </c>
      <c r="D6" s="14" t="s">
        <v>197</v>
      </c>
      <c r="E6" s="22" t="s">
        <v>198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199</v>
      </c>
      <c r="D7" s="14" t="s">
        <v>200</v>
      </c>
      <c r="E7" s="22" t="s">
        <v>198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201</v>
      </c>
      <c r="D8" s="14" t="s">
        <v>202</v>
      </c>
      <c r="E8" s="22" t="s">
        <v>198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203</v>
      </c>
      <c r="D9" s="14" t="s">
        <v>204</v>
      </c>
      <c r="E9" s="22" t="s">
        <v>198</v>
      </c>
      <c r="F9" s="14" t="s">
        <v>6</v>
      </c>
    </row>
    <row r="10" spans="1:6" x14ac:dyDescent="0.25">
      <c r="A10" s="14" t="s">
        <v>14</v>
      </c>
      <c r="B10" s="14" t="s">
        <v>31</v>
      </c>
      <c r="C10" s="22" t="s">
        <v>205</v>
      </c>
      <c r="D10" s="14" t="s">
        <v>206</v>
      </c>
      <c r="E10" s="22" t="s">
        <v>198</v>
      </c>
      <c r="F10" s="14" t="s">
        <v>6</v>
      </c>
    </row>
    <row r="11" spans="1:6" x14ac:dyDescent="0.25">
      <c r="A11" s="14" t="s">
        <v>14</v>
      </c>
      <c r="B11" s="14" t="s">
        <v>31</v>
      </c>
      <c r="C11" s="22" t="s">
        <v>207</v>
      </c>
      <c r="D11" s="14" t="s">
        <v>208</v>
      </c>
      <c r="E11" s="22" t="s">
        <v>198</v>
      </c>
      <c r="F11" s="14" t="s">
        <v>6</v>
      </c>
    </row>
    <row r="12" spans="1:6" x14ac:dyDescent="0.25">
      <c r="A12" s="24" t="s">
        <v>15</v>
      </c>
      <c r="B12" s="24" t="s">
        <v>56</v>
      </c>
      <c r="C12" s="25" t="s">
        <v>392</v>
      </c>
      <c r="D12" s="24" t="s">
        <v>393</v>
      </c>
      <c r="E12" s="25" t="s">
        <v>394</v>
      </c>
      <c r="F12" s="24" t="s">
        <v>6</v>
      </c>
    </row>
  </sheetData>
  <autoFilter ref="A4:F12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431</v>
      </c>
      <c r="B1" s="5" t="s">
        <v>432</v>
      </c>
      <c r="C1" s="5" t="s">
        <v>433</v>
      </c>
      <c r="D1" s="5" t="s">
        <v>434</v>
      </c>
      <c r="E1" s="5" t="s">
        <v>435</v>
      </c>
      <c r="F1" s="5" t="s">
        <v>436</v>
      </c>
      <c r="G1" s="5" t="s">
        <v>437</v>
      </c>
    </row>
    <row r="2" spans="1:7" x14ac:dyDescent="0.25">
      <c r="A2" s="10" t="s">
        <v>438</v>
      </c>
      <c r="B2" s="30">
        <v>70871516</v>
      </c>
      <c r="C2" s="30">
        <v>82786395</v>
      </c>
      <c r="D2" s="30">
        <v>-11914879</v>
      </c>
      <c r="E2" s="31" t="s">
        <v>439</v>
      </c>
      <c r="F2" s="10" t="s">
        <v>6</v>
      </c>
      <c r="G2" s="32" t="s">
        <v>440</v>
      </c>
    </row>
    <row r="3" spans="1:7" x14ac:dyDescent="0.25">
      <c r="A3" s="10" t="s">
        <v>441</v>
      </c>
      <c r="B3" s="30">
        <v>973812</v>
      </c>
      <c r="C3" s="30">
        <v>973812</v>
      </c>
      <c r="D3" s="30">
        <v>0</v>
      </c>
      <c r="E3" s="31" t="s">
        <v>442</v>
      </c>
      <c r="F3" s="10" t="s">
        <v>6</v>
      </c>
      <c r="G3" s="32" t="s">
        <v>440</v>
      </c>
    </row>
    <row r="4" spans="1:7" x14ac:dyDescent="0.25">
      <c r="A4" s="10" t="s">
        <v>443</v>
      </c>
      <c r="B4" s="30">
        <v>22674263</v>
      </c>
      <c r="C4" s="30">
        <v>3565000</v>
      </c>
      <c r="D4" s="33">
        <v>19109263</v>
      </c>
      <c r="E4" s="31" t="s">
        <v>444</v>
      </c>
      <c r="F4" s="10" t="s">
        <v>445</v>
      </c>
      <c r="G4" s="32" t="s">
        <v>440</v>
      </c>
    </row>
    <row r="5" spans="1:7" x14ac:dyDescent="0.25">
      <c r="A5" s="10" t="s">
        <v>446</v>
      </c>
      <c r="B5" s="30">
        <v>6476493</v>
      </c>
      <c r="C5" s="30">
        <v>6476493</v>
      </c>
      <c r="D5" s="30">
        <v>0</v>
      </c>
      <c r="E5" s="31" t="s">
        <v>442</v>
      </c>
      <c r="F5" s="10" t="s">
        <v>6</v>
      </c>
      <c r="G5" s="32" t="s">
        <v>440</v>
      </c>
    </row>
    <row r="6" spans="1:7" x14ac:dyDescent="0.25">
      <c r="A6" s="10" t="s">
        <v>316</v>
      </c>
      <c r="B6" s="30">
        <v>3448850</v>
      </c>
      <c r="C6" s="30">
        <v>3352050</v>
      </c>
      <c r="D6" s="30">
        <v>96800</v>
      </c>
      <c r="E6" s="31" t="s">
        <v>447</v>
      </c>
      <c r="F6" s="10" t="s">
        <v>6</v>
      </c>
      <c r="G6" s="32" t="s">
        <v>440</v>
      </c>
    </row>
    <row r="7" spans="1:7" x14ac:dyDescent="0.25">
      <c r="A7" s="10" t="s">
        <v>448</v>
      </c>
      <c r="B7" s="30">
        <v>627000</v>
      </c>
      <c r="C7" s="30">
        <v>225500</v>
      </c>
      <c r="D7" s="33">
        <v>401500</v>
      </c>
      <c r="E7" s="31" t="s">
        <v>449</v>
      </c>
      <c r="F7" s="10" t="s">
        <v>445</v>
      </c>
      <c r="G7" s="32" t="s">
        <v>440</v>
      </c>
    </row>
    <row r="8" spans="1:7" x14ac:dyDescent="0.25">
      <c r="A8" s="10" t="s">
        <v>450</v>
      </c>
      <c r="B8" s="30">
        <v>0</v>
      </c>
      <c r="C8" s="30">
        <v>81680</v>
      </c>
      <c r="D8" s="33">
        <v>-81680</v>
      </c>
      <c r="E8" s="31" t="s">
        <v>451</v>
      </c>
      <c r="F8" s="10" t="s">
        <v>445</v>
      </c>
      <c r="G8" s="32" t="s">
        <v>440</v>
      </c>
    </row>
    <row r="9" spans="1:7" x14ac:dyDescent="0.25">
      <c r="A9" s="10" t="s">
        <v>452</v>
      </c>
      <c r="B9" s="30">
        <v>167140</v>
      </c>
      <c r="C9" s="30">
        <v>67140</v>
      </c>
      <c r="D9" s="33">
        <v>100000</v>
      </c>
      <c r="E9" s="31" t="s">
        <v>453</v>
      </c>
      <c r="F9" s="10" t="s">
        <v>445</v>
      </c>
      <c r="G9" s="32" t="s">
        <v>440</v>
      </c>
    </row>
    <row r="10" spans="1:7" x14ac:dyDescent="0.25">
      <c r="A10" s="10" t="s">
        <v>454</v>
      </c>
      <c r="B10" s="30">
        <v>1000</v>
      </c>
      <c r="C10" s="30">
        <v>1000</v>
      </c>
      <c r="D10" s="30">
        <v>0</v>
      </c>
      <c r="E10" s="31" t="s">
        <v>442</v>
      </c>
      <c r="F10" s="10" t="s">
        <v>6</v>
      </c>
      <c r="G10" s="32" t="s">
        <v>440</v>
      </c>
    </row>
    <row r="11" spans="1:7" x14ac:dyDescent="0.25">
      <c r="A11" s="10" t="s">
        <v>455</v>
      </c>
      <c r="B11" s="30">
        <v>0</v>
      </c>
      <c r="C11" s="30">
        <v>4885</v>
      </c>
      <c r="D11" s="33">
        <v>-4885</v>
      </c>
      <c r="E11" s="31" t="s">
        <v>451</v>
      </c>
      <c r="F11" s="10" t="s">
        <v>445</v>
      </c>
      <c r="G11" s="32" t="s">
        <v>440</v>
      </c>
    </row>
    <row r="12" spans="1:7" x14ac:dyDescent="0.25">
      <c r="A12" s="10" t="s">
        <v>456</v>
      </c>
      <c r="B12" s="30">
        <v>8000000</v>
      </c>
      <c r="C12" s="30">
        <v>8000000</v>
      </c>
      <c r="D12" s="30">
        <v>0</v>
      </c>
      <c r="E12" s="31" t="s">
        <v>442</v>
      </c>
      <c r="F12" s="10" t="s">
        <v>6</v>
      </c>
      <c r="G12" s="32" t="s">
        <v>440</v>
      </c>
    </row>
    <row r="13" spans="1:7" x14ac:dyDescent="0.25">
      <c r="A13" s="10" t="s">
        <v>457</v>
      </c>
      <c r="B13" s="30">
        <v>401500</v>
      </c>
      <c r="C13" s="30">
        <v>401500</v>
      </c>
      <c r="D13" s="30">
        <v>0</v>
      </c>
      <c r="E13" s="31" t="s">
        <v>442</v>
      </c>
      <c r="F13" s="10" t="s">
        <v>6</v>
      </c>
      <c r="G13" s="32" t="s">
        <v>440</v>
      </c>
    </row>
    <row r="14" spans="1:7" x14ac:dyDescent="0.25">
      <c r="A14" s="10" t="s">
        <v>458</v>
      </c>
      <c r="B14" s="30">
        <v>0</v>
      </c>
      <c r="C14" s="30">
        <v>100000</v>
      </c>
      <c r="D14" s="33">
        <v>-100000</v>
      </c>
      <c r="E14" s="31" t="s">
        <v>451</v>
      </c>
      <c r="F14" s="10" t="s">
        <v>445</v>
      </c>
      <c r="G14" s="32" t="s">
        <v>440</v>
      </c>
    </row>
    <row r="15" spans="1:7" x14ac:dyDescent="0.25">
      <c r="A15" s="10" t="s">
        <v>459</v>
      </c>
      <c r="B15" s="30">
        <v>8994882</v>
      </c>
      <c r="C15" s="30">
        <v>9834946</v>
      </c>
      <c r="D15" s="30">
        <v>-840064</v>
      </c>
      <c r="E15" s="31" t="s">
        <v>460</v>
      </c>
      <c r="F15" s="10" t="s">
        <v>6</v>
      </c>
      <c r="G15" s="32" t="s">
        <v>440</v>
      </c>
    </row>
    <row r="16" spans="1:7" x14ac:dyDescent="0.25">
      <c r="A16" s="10" t="s">
        <v>461</v>
      </c>
      <c r="B16" s="30">
        <v>4799657</v>
      </c>
      <c r="C16" s="30">
        <v>3227360</v>
      </c>
      <c r="D16" s="30">
        <v>1572297</v>
      </c>
      <c r="E16" s="31" t="s">
        <v>462</v>
      </c>
      <c r="F16" s="10" t="s">
        <v>6</v>
      </c>
      <c r="G16" s="32" t="s">
        <v>440</v>
      </c>
    </row>
    <row r="17" spans="1:7" x14ac:dyDescent="0.25">
      <c r="A17" s="10" t="s">
        <v>463</v>
      </c>
      <c r="B17" s="30">
        <v>923364</v>
      </c>
      <c r="C17" s="30">
        <v>951664</v>
      </c>
      <c r="D17" s="30">
        <v>-28300</v>
      </c>
      <c r="E17" s="31" t="s">
        <v>464</v>
      </c>
      <c r="F17" s="10" t="s">
        <v>6</v>
      </c>
      <c r="G17" s="32" t="s">
        <v>440</v>
      </c>
    </row>
    <row r="18" spans="1:7" x14ac:dyDescent="0.25">
      <c r="A18" s="10" t="s">
        <v>465</v>
      </c>
      <c r="B18" s="30">
        <v>806382</v>
      </c>
      <c r="C18" s="30">
        <v>214978</v>
      </c>
      <c r="D18" s="33">
        <v>591404</v>
      </c>
      <c r="E18" s="31" t="s">
        <v>466</v>
      </c>
      <c r="F18" s="10" t="s">
        <v>445</v>
      </c>
      <c r="G18" s="32" t="s">
        <v>440</v>
      </c>
    </row>
    <row r="19" spans="1:7" x14ac:dyDescent="0.25">
      <c r="A19" s="10" t="s">
        <v>467</v>
      </c>
      <c r="B19" s="30">
        <v>54846</v>
      </c>
      <c r="C19" s="30">
        <v>27525</v>
      </c>
      <c r="D19" s="33">
        <v>27321</v>
      </c>
      <c r="E19" s="31" t="s">
        <v>468</v>
      </c>
      <c r="F19" s="10" t="s">
        <v>445</v>
      </c>
      <c r="G19" s="32" t="s">
        <v>440</v>
      </c>
    </row>
    <row r="20" spans="1:7" x14ac:dyDescent="0.25">
      <c r="A20" s="10" t="s">
        <v>469</v>
      </c>
      <c r="B20" s="30">
        <v>698647</v>
      </c>
      <c r="C20" s="30">
        <v>669539</v>
      </c>
      <c r="D20" s="30">
        <v>29108</v>
      </c>
      <c r="E20" s="31" t="s">
        <v>470</v>
      </c>
      <c r="F20" s="10" t="s">
        <v>6</v>
      </c>
      <c r="G20" s="32" t="s">
        <v>440</v>
      </c>
    </row>
    <row r="21" spans="1:7" x14ac:dyDescent="0.25">
      <c r="A21" s="10" t="s">
        <v>471</v>
      </c>
      <c r="B21" s="30">
        <v>0</v>
      </c>
      <c r="C21" s="30">
        <v>0</v>
      </c>
      <c r="D21" s="30">
        <v>0</v>
      </c>
      <c r="E21" s="31" t="s">
        <v>6</v>
      </c>
      <c r="F21" s="10" t="s">
        <v>6</v>
      </c>
      <c r="G21" s="32" t="s">
        <v>440</v>
      </c>
    </row>
    <row r="22" spans="1:7" x14ac:dyDescent="0.25">
      <c r="A22" s="10" t="s">
        <v>472</v>
      </c>
      <c r="B22" s="30">
        <v>165915</v>
      </c>
      <c r="C22" s="30">
        <v>728282</v>
      </c>
      <c r="D22" s="33">
        <v>-562367</v>
      </c>
      <c r="E22" s="31" t="s">
        <v>473</v>
      </c>
      <c r="F22" s="10" t="s">
        <v>445</v>
      </c>
      <c r="G22" s="32" t="s">
        <v>440</v>
      </c>
    </row>
    <row r="23" spans="1:7" x14ac:dyDescent="0.25">
      <c r="A23" s="10" t="s">
        <v>474</v>
      </c>
      <c r="B23" s="30">
        <v>56147</v>
      </c>
      <c r="C23" s="30">
        <v>55628</v>
      </c>
      <c r="D23" s="30">
        <v>519</v>
      </c>
      <c r="E23" s="31" t="s">
        <v>475</v>
      </c>
      <c r="F23" s="10" t="s">
        <v>6</v>
      </c>
      <c r="G23" s="32" t="s">
        <v>440</v>
      </c>
    </row>
    <row r="24" spans="1:7" x14ac:dyDescent="0.25">
      <c r="A24" s="10" t="s">
        <v>476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440</v>
      </c>
    </row>
    <row r="25" spans="1:7" x14ac:dyDescent="0.25">
      <c r="A25" s="10" t="s">
        <v>477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440</v>
      </c>
    </row>
    <row r="26" spans="1:7" x14ac:dyDescent="0.25">
      <c r="A26" s="10" t="s">
        <v>478</v>
      </c>
      <c r="B26" s="30">
        <v>2358138</v>
      </c>
      <c r="C26" s="30">
        <v>549888</v>
      </c>
      <c r="D26" s="33">
        <v>1808250</v>
      </c>
      <c r="E26" s="31" t="s">
        <v>479</v>
      </c>
      <c r="F26" s="10" t="s">
        <v>445</v>
      </c>
      <c r="G26" s="32" t="s">
        <v>440</v>
      </c>
    </row>
    <row r="27" spans="1:7" x14ac:dyDescent="0.25">
      <c r="A27" s="10" t="s">
        <v>480</v>
      </c>
      <c r="B27" s="30">
        <v>2000000</v>
      </c>
      <c r="C27" s="30">
        <v>2000000</v>
      </c>
      <c r="D27" s="30">
        <v>0</v>
      </c>
      <c r="E27" s="31" t="s">
        <v>442</v>
      </c>
      <c r="F27" s="10" t="s">
        <v>6</v>
      </c>
      <c r="G27" s="32" t="s">
        <v>440</v>
      </c>
    </row>
    <row r="28" spans="1:7" x14ac:dyDescent="0.25">
      <c r="A28" s="10" t="s">
        <v>481</v>
      </c>
      <c r="B28" s="30">
        <v>40013126</v>
      </c>
      <c r="C28" s="30">
        <v>40013126</v>
      </c>
      <c r="D28" s="30">
        <v>0</v>
      </c>
      <c r="E28" s="31" t="s">
        <v>442</v>
      </c>
      <c r="F28" s="10" t="s">
        <v>6</v>
      </c>
      <c r="G28" s="32" t="s">
        <v>440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482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431</v>
      </c>
      <c r="B3" s="5" t="s">
        <v>483</v>
      </c>
      <c r="C3" s="5" t="s">
        <v>484</v>
      </c>
      <c r="D3" s="5" t="s">
        <v>485</v>
      </c>
      <c r="E3" s="5" t="s">
        <v>486</v>
      </c>
      <c r="F3" s="5" t="s">
        <v>487</v>
      </c>
      <c r="G3" s="5" t="s">
        <v>488</v>
      </c>
      <c r="H3" s="5" t="s">
        <v>489</v>
      </c>
      <c r="I3" s="5" t="s">
        <v>490</v>
      </c>
      <c r="J3" s="5" t="s">
        <v>491</v>
      </c>
      <c r="K3" s="5" t="s">
        <v>492</v>
      </c>
      <c r="L3" s="5" t="s">
        <v>493</v>
      </c>
      <c r="M3" s="35" t="s">
        <v>494</v>
      </c>
      <c r="N3" s="5" t="s">
        <v>495</v>
      </c>
      <c r="O3" s="5" t="s">
        <v>437</v>
      </c>
    </row>
    <row r="4" spans="1:15" x14ac:dyDescent="0.25">
      <c r="A4" s="10" t="s">
        <v>326</v>
      </c>
      <c r="B4" s="30">
        <v>2299824</v>
      </c>
      <c r="C4" s="30">
        <v>13744017</v>
      </c>
      <c r="D4" s="30">
        <v>58284594</v>
      </c>
      <c r="E4" s="30">
        <v>26414090</v>
      </c>
      <c r="F4" s="30">
        <v>22434168</v>
      </c>
      <c r="G4" s="30">
        <v>8569642</v>
      </c>
      <c r="H4" s="30">
        <v>48546597</v>
      </c>
      <c r="I4" s="30">
        <v>2245000</v>
      </c>
      <c r="J4" s="30">
        <v>46671209</v>
      </c>
      <c r="K4" s="30">
        <v>7324015</v>
      </c>
      <c r="L4" s="30">
        <v>2877430</v>
      </c>
      <c r="M4" s="36">
        <v>21474263</v>
      </c>
      <c r="N4" s="37">
        <f>SUM(B4:M4)</f>
        <v>260884849</v>
      </c>
      <c r="O4" s="38"/>
    </row>
    <row r="5" spans="1:15" x14ac:dyDescent="0.25">
      <c r="A5" s="10" t="s">
        <v>496</v>
      </c>
      <c r="B5" s="30">
        <v>841060</v>
      </c>
      <c r="C5" s="30">
        <v>9505226</v>
      </c>
      <c r="D5" s="30">
        <v>33372164</v>
      </c>
      <c r="E5" s="30">
        <v>6663646</v>
      </c>
      <c r="F5" s="30">
        <v>5668867</v>
      </c>
      <c r="G5" s="30">
        <v>547216</v>
      </c>
      <c r="H5" s="30">
        <v>31454337</v>
      </c>
      <c r="I5" s="39">
        <v>0</v>
      </c>
      <c r="J5" s="30">
        <v>12994377</v>
      </c>
      <c r="K5" s="30">
        <v>3279892</v>
      </c>
      <c r="L5" s="30">
        <v>8028926</v>
      </c>
      <c r="M5" s="36">
        <v>2600579</v>
      </c>
      <c r="N5" s="37">
        <f>SUM(B5:M5)</f>
        <v>114956290</v>
      </c>
      <c r="O5" s="38"/>
    </row>
    <row r="6" spans="1:15" x14ac:dyDescent="0.25">
      <c r="A6" s="40" t="s">
        <v>497</v>
      </c>
      <c r="B6" s="41">
        <v>1458764</v>
      </c>
      <c r="C6" s="41">
        <v>4238791</v>
      </c>
      <c r="D6" s="41">
        <v>24912430</v>
      </c>
      <c r="E6" s="41">
        <v>19750444</v>
      </c>
      <c r="F6" s="41">
        <v>16765301</v>
      </c>
      <c r="G6" s="41">
        <v>8022426</v>
      </c>
      <c r="H6" s="41">
        <v>17092260</v>
      </c>
      <c r="I6" s="41">
        <v>2245000</v>
      </c>
      <c r="J6" s="41">
        <v>33676832</v>
      </c>
      <c r="K6" s="41">
        <v>4044123</v>
      </c>
      <c r="L6" s="41">
        <v>-5151496</v>
      </c>
      <c r="M6" s="41">
        <v>18873684</v>
      </c>
      <c r="N6" s="41">
        <f>SUM(B6:M6)</f>
        <v>145928559</v>
      </c>
      <c r="O6" s="42"/>
    </row>
    <row r="7" spans="1:15" x14ac:dyDescent="0.25">
      <c r="A7" s="10" t="s">
        <v>498</v>
      </c>
      <c r="B7" s="30">
        <f>HYPERLINK("https://secure.freee.co.jp/reports/general_ledgers/show?name=%E5%BD%B9%E5%93%A1%E5%A0%B1%E9%85%AC&amp;start_date=2025-03-01&amp;end_date=2025-03-31&amp;fiscal_year_id=9735915",550000)</f>
        <v>550000</v>
      </c>
      <c r="C7" s="30">
        <f>HYPERLINK("https://secure.freee.co.jp/reports/general_ledgers/show?name=%E5%BD%B9%E5%93%A1%E5%A0%B1%E9%85%AC&amp;start_date=2025-04-01&amp;end_date=2025-04-30&amp;fiscal_year_id=9735915",550000)</f>
        <v>550000</v>
      </c>
      <c r="D7" s="30">
        <f>HYPERLINK("https://secure.freee.co.jp/reports/general_ledgers/show?name=%E5%BD%B9%E5%93%A1%E5%A0%B1%E9%85%AC&amp;start_date=2025-05-01&amp;end_date=2025-05-31&amp;fiscal_year_id=9735915",550000)</f>
        <v>550000</v>
      </c>
      <c r="E7" s="30">
        <f>HYPERLINK("https://secure.freee.co.jp/reports/general_ledgers/show?name=%E5%BD%B9%E5%93%A1%E5%A0%B1%E9%85%AC&amp;start_date=2025-06-01&amp;end_date=2025-06-30&amp;fiscal_year_id=9735915",550000)</f>
        <v>550000</v>
      </c>
      <c r="F7" s="30">
        <f>HYPERLINK("https://secure.freee.co.jp/reports/general_ledgers/show?name=%E5%BD%B9%E5%93%A1%E5%A0%B1%E9%85%AC&amp;start_date=2025-07-01&amp;end_date=2025-07-31&amp;fiscal_year_id=9735915",550000)</f>
        <v>550000</v>
      </c>
      <c r="G7" s="30">
        <f>HYPERLINK("https://secure.freee.co.jp/reports/general_ledgers/show?name=%E5%BD%B9%E5%93%A1%E5%A0%B1%E9%85%AC&amp;start_date=2025-08-01&amp;end_date=2025-08-31&amp;fiscal_year_id=9735915",550000)</f>
        <v>550000</v>
      </c>
      <c r="H7" s="30">
        <f>HYPERLINK("https://secure.freee.co.jp/reports/general_ledgers/show?name=%E5%BD%B9%E5%93%A1%E5%A0%B1%E9%85%AC&amp;start_date=2025-09-01&amp;end_date=2025-09-30&amp;fiscal_year_id=9735915",550000)</f>
        <v>550000</v>
      </c>
      <c r="I7" s="30">
        <f>HYPERLINK("https://secure.freee.co.jp/reports/general_ledgers/show?name=%E5%BD%B9%E5%93%A1%E5%A0%B1%E9%85%AC&amp;start_date=2025-10-01&amp;end_date=2025-10-31&amp;fiscal_year_id=9735915",550000)</f>
        <v>550000</v>
      </c>
      <c r="J7" s="30">
        <f>HYPERLINK("https://secure.freee.co.jp/reports/general_ledgers/show?name=%E5%BD%B9%E5%93%A1%E5%A0%B1%E9%85%AC&amp;start_date=2025-11-01&amp;end_date=2025-11-30&amp;fiscal_year_id=9735915",550000)</f>
        <v>550000</v>
      </c>
      <c r="K7" s="30">
        <f>HYPERLINK("https://secure.freee.co.jp/reports/general_ledgers/show?name=%E5%BD%B9%E5%93%A1%E5%A0%B1%E9%85%AC&amp;start_date=2025-12-01&amp;end_date=2025-12-31&amp;fiscal_year_id=9735915",550000)</f>
        <v>550000</v>
      </c>
      <c r="L7" s="30">
        <f>HYPERLINK("https://secure.freee.co.jp/reports/general_ledgers/show?name=%E5%BD%B9%E5%93%A1%E5%A0%B1%E9%85%AC&amp;start_date=2026-01-01&amp;end_date=2026-01-31&amp;fiscal_year_id=9735915",550000)</f>
        <v>550000</v>
      </c>
      <c r="M7" s="36">
        <f>HYPERLINK("https://secure.freee.co.jp/reports/general_ledgers/show?name=%E5%BD%B9%E5%93%A1%E5%A0%B1%E9%85%AC&amp;start_date=2026-02-01&amp;end_date=2026-02-28&amp;fiscal_year_id=9735915",550000)</f>
        <v>550000</v>
      </c>
      <c r="N7" s="37">
        <f>SUM(B7:M7)</f>
        <v>6600000</v>
      </c>
      <c r="O7" s="32" t="s">
        <v>437</v>
      </c>
    </row>
    <row r="8" spans="1:15" x14ac:dyDescent="0.25">
      <c r="A8" s="10" t="s">
        <v>499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6">
        <f>HYPERLINK("https://secure.freee.co.jp/reports/general_ledgers/show?name=%E5%BD%B9%E5%93%A1%E8%B3%9E%E4%B8%8E&amp;start_date=2026-02-01&amp;end_date=2026-02-28&amp;fiscal_year_id=9735915",6000000)</f>
        <v>6000000</v>
      </c>
      <c r="N8" s="37">
        <f>SUM(B8:M8)</f>
        <v>6000000</v>
      </c>
      <c r="O8" s="32" t="s">
        <v>437</v>
      </c>
    </row>
    <row r="9" spans="1:15" x14ac:dyDescent="0.25">
      <c r="A9" s="10" t="s">
        <v>500</v>
      </c>
      <c r="B9" s="30">
        <f>HYPERLINK("https://secure.freee.co.jp/reports/general_ledgers/show?name=%E7%B5%A6%E6%96%99%E6%89%8B%E5%BD%93&amp;start_date=2025-03-01&amp;end_date=2025-03-31&amp;fiscal_year_id=9735915",765500)</f>
        <v>765500</v>
      </c>
      <c r="C9" s="30">
        <f>HYPERLINK("https://secure.freee.co.jp/reports/general_ledgers/show?name=%E7%B5%A6%E6%96%99%E6%89%8B%E5%BD%93&amp;start_date=2025-04-01&amp;end_date=2025-04-30&amp;fiscal_year_id=9735915",771500)</f>
        <v>771500</v>
      </c>
      <c r="D9" s="30">
        <f>HYPERLINK("https://secure.freee.co.jp/reports/general_ledgers/show?name=%E7%B5%A6%E6%96%99%E6%89%8B%E5%BD%93&amp;start_date=2025-05-01&amp;end_date=2025-05-31&amp;fiscal_year_id=9735915",765500)</f>
        <v>765500</v>
      </c>
      <c r="E9" s="30">
        <f>HYPERLINK("https://secure.freee.co.jp/reports/general_ledgers/show?name=%E7%B5%A6%E6%96%99%E6%89%8B%E5%BD%93&amp;start_date=2025-06-01&amp;end_date=2025-06-30&amp;fiscal_year_id=9735915",811790)</f>
        <v>811790</v>
      </c>
      <c r="F9" s="30">
        <f>HYPERLINK("https://secure.freee.co.jp/reports/general_ledgers/show?name=%E7%B5%A6%E6%96%99%E6%89%8B%E5%BD%93&amp;start_date=2025-07-01&amp;end_date=2025-07-31&amp;fiscal_year_id=9735915",765500)</f>
        <v>765500</v>
      </c>
      <c r="G9" s="30">
        <f>HYPERLINK("https://secure.freee.co.jp/reports/general_ledgers/show?name=%E7%B5%A6%E6%96%99%E6%89%8B%E5%BD%93&amp;start_date=2025-08-01&amp;end_date=2025-08-31&amp;fiscal_year_id=9735915",765500)</f>
        <v>765500</v>
      </c>
      <c r="H9" s="30">
        <f>HYPERLINK("https://secure.freee.co.jp/reports/general_ledgers/show?name=%E7%B5%A6%E6%96%99%E6%89%8B%E5%BD%93&amp;start_date=2025-09-01&amp;end_date=2025-09-30&amp;fiscal_year_id=9735915",771500)</f>
        <v>771500</v>
      </c>
      <c r="I9" s="33">
        <f>HYPERLINK("https://secure.freee.co.jp/reports/general_ledgers/show?name=%E7%B5%A6%E6%96%99%E6%89%8B%E5%BD%93&amp;start_date=2025-10-01&amp;end_date=2025-10-31&amp;fiscal_year_id=9735915",1169500)</f>
        <v>1169500</v>
      </c>
      <c r="J9" s="30">
        <f>HYPERLINK("https://secure.freee.co.jp/reports/general_ledgers/show?name=%E7%B5%A6%E6%96%99%E6%89%8B%E5%BD%93&amp;start_date=2025-11-01&amp;end_date=2025-11-30&amp;fiscal_year_id=9735915",1169500)</f>
        <v>1169500</v>
      </c>
      <c r="K9" s="30">
        <f>HYPERLINK("https://secure.freee.co.jp/reports/general_ledgers/show?name=%E7%B5%A6%E6%96%99%E6%89%8B%E5%BD%93&amp;start_date=2025-12-01&amp;end_date=2025-12-31&amp;fiscal_year_id=9735915",1169500)</f>
        <v>1169500</v>
      </c>
      <c r="L9" s="30">
        <f>HYPERLINK("https://secure.freee.co.jp/reports/general_ledgers/show?name=%E7%B5%A6%E6%96%99%E6%89%8B%E5%BD%93&amp;start_date=2026-01-01&amp;end_date=2026-01-31&amp;fiscal_year_id=9735915",1169500)</f>
        <v>1169500</v>
      </c>
      <c r="M9" s="36">
        <f>HYPERLINK("https://secure.freee.co.jp/reports/general_ledgers/show?name=%E7%B5%A6%E6%96%99%E6%89%8B%E5%BD%93&amp;start_date=2026-02-01&amp;end_date=2026-02-28&amp;fiscal_year_id=9735915",1193500)</f>
        <v>1193500</v>
      </c>
      <c r="N9" s="37">
        <f>SUM(B9:M9)</f>
        <v>11288290</v>
      </c>
      <c r="O9" s="32" t="s">
        <v>437</v>
      </c>
    </row>
    <row r="10" spans="1:15" x14ac:dyDescent="0.25">
      <c r="A10" s="10" t="s">
        <v>501</v>
      </c>
      <c r="B10" s="39">
        <v>0</v>
      </c>
      <c r="C10" s="39">
        <v>0</v>
      </c>
      <c r="D10" s="39">
        <v>0</v>
      </c>
      <c r="E10" s="39">
        <v>0</v>
      </c>
      <c r="F10" s="30">
        <f>HYPERLINK("https://secure.freee.co.jp/reports/general_ledgers/show?name=%E8%B3%9E%E4%B8%8E&amp;start_date=2025-07-01&amp;end_date=2025-07-31&amp;fiscal_year_id=9735915",1225000)</f>
        <v>1225000</v>
      </c>
      <c r="G10" s="43">
        <v>0</v>
      </c>
      <c r="H10" s="39">
        <v>0</v>
      </c>
      <c r="I10" s="39">
        <v>0</v>
      </c>
      <c r="J10" s="39">
        <v>0</v>
      </c>
      <c r="K10" s="30">
        <f>HYPERLINK("https://secure.freee.co.jp/reports/general_ledgers/show?name=%E8%B3%9E%E4%B8%8E&amp;start_date=2025-12-01&amp;end_date=2025-12-31&amp;fiscal_year_id=9735915",1232000)</f>
        <v>1232000</v>
      </c>
      <c r="L10" s="43">
        <v>0</v>
      </c>
      <c r="M10" s="36">
        <f>HYPERLINK("https://secure.freee.co.jp/reports/general_ledgers/show?name=%E8%B3%9E%E4%B8%8E&amp;start_date=2026-02-01&amp;end_date=2026-02-28&amp;fiscal_year_id=9735915",1575000)</f>
        <v>1575000</v>
      </c>
      <c r="N10" s="37">
        <f>SUM(B10:M10)</f>
        <v>4032000</v>
      </c>
      <c r="O10" s="32" t="s">
        <v>437</v>
      </c>
    </row>
    <row r="11" spans="1:15" x14ac:dyDescent="0.25">
      <c r="A11" s="10" t="s">
        <v>502</v>
      </c>
      <c r="B11" s="30">
        <f>HYPERLINK("https://secure.freee.co.jp/reports/general_ledgers/show?name=%E6%B3%95%E5%AE%9A%E7%A6%8F%E5%88%A9%E8%B2%BB&amp;start_date=2025-03-01&amp;end_date=2025-03-31&amp;fiscal_year_id=9735915",190021)</f>
        <v>190021</v>
      </c>
      <c r="C11" s="30">
        <f>HYPERLINK("https://secure.freee.co.jp/reports/general_ledgers/show?name=%E6%B3%95%E5%AE%9A%E7%A6%8F%E5%88%A9%E8%B2%BB&amp;start_date=2025-04-01&amp;end_date=2025-04-30&amp;fiscal_year_id=9735915",190021)</f>
        <v>190021</v>
      </c>
      <c r="D11" s="30">
        <f>HYPERLINK("https://secure.freee.co.jp/reports/general_ledgers/show?name=%E6%B3%95%E5%AE%9A%E7%A6%8F%E5%88%A9%E8%B2%BB&amp;start_date=2025-05-01&amp;end_date=2025-05-31&amp;fiscal_year_id=9735915",190021)</f>
        <v>190021</v>
      </c>
      <c r="E11" s="30">
        <f>HYPERLINK("https://secure.freee.co.jp/reports/general_ledgers/show?name=%E6%B3%95%E5%AE%9A%E7%A6%8F%E5%88%A9%E8%B2%BB&amp;start_date=2025-06-01&amp;end_date=2025-06-30&amp;fiscal_year_id=9735915",189766)</f>
        <v>189766</v>
      </c>
      <c r="F11" s="33">
        <f>HYPERLINK("https://secure.freee.co.jp/reports/general_ledgers/show?name=%E6%B3%95%E5%AE%9A%E7%A6%8F%E5%88%A9%E8%B2%BB&amp;start_date=2025-07-01&amp;end_date=2025-07-31&amp;fiscal_year_id=9735915",586409)</f>
        <v>586409</v>
      </c>
      <c r="G11" s="33">
        <f>HYPERLINK("https://secure.freee.co.jp/reports/general_ledgers/show?name=%E6%B3%95%E5%AE%9A%E7%A6%8F%E5%88%A9%E8%B2%BB&amp;start_date=2025-08-01&amp;end_date=2025-08-31&amp;fiscal_year_id=9735915",190021)</f>
        <v>190021</v>
      </c>
      <c r="H11" s="30">
        <f>HYPERLINK("https://secure.freee.co.jp/reports/general_ledgers/show?name=%E6%B3%95%E5%AE%9A%E7%A6%8F%E5%88%A9%E8%B2%BB&amp;start_date=2025-09-01&amp;end_date=2025-09-30&amp;fiscal_year_id=9735915",194473)</f>
        <v>194473</v>
      </c>
      <c r="I11" s="30">
        <f>HYPERLINK("https://secure.freee.co.jp/reports/general_ledgers/show?name=%E6%B3%95%E5%AE%9A%E7%A6%8F%E5%88%A9%E8%B2%BB&amp;start_date=2025-10-01&amp;end_date=2025-10-31&amp;fiscal_year_id=9735915",251525)</f>
        <v>251525</v>
      </c>
      <c r="J11" s="30">
        <f>HYPERLINK("https://secure.freee.co.jp/reports/general_ledgers/show?name=%E6%B3%95%E5%AE%9A%E7%A6%8F%E5%88%A9%E8%B2%BB&amp;start_date=2025-11-01&amp;end_date=2025-11-30&amp;fiscal_year_id=9735915",251525)</f>
        <v>251525</v>
      </c>
      <c r="K11" s="33">
        <f>HYPERLINK("https://secure.freee.co.jp/reports/general_ledgers/show?name=%E6%B3%95%E5%AE%9A%E7%A6%8F%E5%88%A9%E8%B2%BB&amp;start_date=2025-12-01&amp;end_date=2025-12-31&amp;fiscal_year_id=9735915",432500)</f>
        <v>432500</v>
      </c>
      <c r="L11" s="30">
        <f>HYPERLINK("https://secure.freee.co.jp/reports/general_ledgers/show?name=%E6%B3%95%E5%AE%9A%E7%A6%8F%E5%88%A9%E8%B2%BB&amp;start_date=2026-01-01&amp;end_date=2026-01-31&amp;fiscal_year_id=9735915",251525)</f>
        <v>251525</v>
      </c>
      <c r="M11" s="33">
        <f>HYPERLINK("https://secure.freee.co.jp/reports/general_ledgers/show?name=%E6%B3%95%E5%AE%9A%E7%A6%8F%E5%88%A9%E8%B2%BB&amp;start_date=2026-02-01&amp;end_date=2026-02-28&amp;fiscal_year_id=9735915",998503)</f>
        <v>998503</v>
      </c>
      <c r="N11" s="37">
        <f>SUM(B11:M11)</f>
        <v>3916310</v>
      </c>
      <c r="O11" s="32" t="s">
        <v>437</v>
      </c>
    </row>
    <row r="12" spans="1:15" x14ac:dyDescent="0.25">
      <c r="A12" s="10" t="s">
        <v>503</v>
      </c>
      <c r="B12" s="30">
        <f>HYPERLINK("https://secure.freee.co.jp/reports/general_ledgers/show?name=%E7%A6%8F%E5%88%A9%E5%8E%9A%E7%94%9F%E8%B2%BB&amp;start_date=2025-03-01&amp;end_date=2025-03-31&amp;fiscal_year_id=9735915",8228)</f>
        <v>8228</v>
      </c>
      <c r="C12" s="30">
        <f>HYPERLINK("https://secure.freee.co.jp/reports/general_ledgers/show?name=%E7%A6%8F%E5%88%A9%E5%8E%9A%E7%94%9F%E8%B2%BB&amp;start_date=2025-04-01&amp;end_date=2025-04-30&amp;fiscal_year_id=9735915",8228)</f>
        <v>8228</v>
      </c>
      <c r="D12" s="30">
        <f>HYPERLINK("https://secure.freee.co.jp/reports/general_ledgers/show?name=%E7%A6%8F%E5%88%A9%E5%8E%9A%E7%94%9F%E8%B2%BB&amp;start_date=2025-05-01&amp;end_date=2025-05-31&amp;fiscal_year_id=9735915",8228)</f>
        <v>8228</v>
      </c>
      <c r="E12" s="30">
        <f>HYPERLINK("https://secure.freee.co.jp/reports/general_ledgers/show?name=%E7%A6%8F%E5%88%A9%E5%8E%9A%E7%94%9F%E8%B2%BB&amp;start_date=2025-06-01&amp;end_date=2025-06-30&amp;fiscal_year_id=9735915",8228)</f>
        <v>8228</v>
      </c>
      <c r="F12" s="30">
        <f>HYPERLINK("https://secure.freee.co.jp/reports/general_ledgers/show?name=%E7%A6%8F%E5%88%A9%E5%8E%9A%E7%94%9F%E8%B2%BB&amp;start_date=2025-07-01&amp;end_date=2025-07-31&amp;fiscal_year_id=9735915",8228)</f>
        <v>8228</v>
      </c>
      <c r="G12" s="30">
        <f>HYPERLINK("https://secure.freee.co.jp/reports/general_ledgers/show?name=%E7%A6%8F%E5%88%A9%E5%8E%9A%E7%94%9F%E8%B2%BB&amp;start_date=2025-08-01&amp;end_date=2025-08-31&amp;fiscal_year_id=9735915",8228)</f>
        <v>8228</v>
      </c>
      <c r="H12" s="30">
        <f>HYPERLINK("https://secure.freee.co.jp/reports/general_ledgers/show?name=%E7%A6%8F%E5%88%A9%E5%8E%9A%E7%94%9F%E8%B2%BB&amp;start_date=2025-09-01&amp;end_date=2025-09-30&amp;fiscal_year_id=9735915",8228)</f>
        <v>8228</v>
      </c>
      <c r="I12" s="30">
        <f>HYPERLINK("https://secure.freee.co.jp/reports/general_ledgers/show?name=%E7%A6%8F%E5%88%A9%E5%8E%9A%E7%94%9F%E8%B2%BB&amp;start_date=2025-10-01&amp;end_date=2025-10-31&amp;fiscal_year_id=9735915",8228)</f>
        <v>8228</v>
      </c>
      <c r="J12" s="33">
        <f>HYPERLINK("https://secure.freee.co.jp/reports/general_ledgers/show?name=%E7%A6%8F%E5%88%A9%E5%8E%9A%E7%94%9F%E8%B2%BB&amp;start_date=2025-11-01&amp;end_date=2025-11-30&amp;fiscal_year_id=9735915",19778)</f>
        <v>19778</v>
      </c>
      <c r="K12" s="33">
        <f>HYPERLINK("https://secure.freee.co.jp/reports/general_ledgers/show?name=%E7%A6%8F%E5%88%A9%E5%8E%9A%E7%94%9F%E8%B2%BB&amp;start_date=2025-12-01&amp;end_date=2025-12-31&amp;fiscal_year_id=9735915",8228)</f>
        <v>8228</v>
      </c>
      <c r="L12" s="30">
        <f>HYPERLINK("https://secure.freee.co.jp/reports/general_ledgers/show?name=%E7%A6%8F%E5%88%A9%E5%8E%9A%E7%94%9F%E8%B2%BB&amp;start_date=2026-01-01&amp;end_date=2026-01-31&amp;fiscal_year_id=9735915",8228)</f>
        <v>8228</v>
      </c>
      <c r="M12" s="36">
        <f>HYPERLINK("https://secure.freee.co.jp/reports/general_ledgers/show?name=%E7%A6%8F%E5%88%A9%E5%8E%9A%E7%94%9F%E8%B2%BB&amp;start_date=2026-02-01&amp;end_date=2026-02-28&amp;fiscal_year_id=9735915",8228)</f>
        <v>8228</v>
      </c>
      <c r="N12" s="37">
        <f>SUM(B12:M12)</f>
        <v>110286</v>
      </c>
      <c r="O12" s="32" t="s">
        <v>437</v>
      </c>
    </row>
    <row r="13" spans="1:15" x14ac:dyDescent="0.25">
      <c r="A13" s="10" t="s">
        <v>504</v>
      </c>
      <c r="B13" s="30">
        <f>HYPERLINK("https://secure.freee.co.jp/reports/general_ledgers/show?name=%E5%A4%96%E6%B3%A8%E8%B2%BB&amp;start_date=2025-03-01&amp;end_date=2025-03-31&amp;fiscal_year_id=9735915",88185)</f>
        <v>88185</v>
      </c>
      <c r="C13" s="30">
        <f>HYPERLINK("https://secure.freee.co.jp/reports/general_ledgers/show?name=%E5%A4%96%E6%B3%A8%E8%B2%BB&amp;start_date=2025-04-01&amp;end_date=2025-04-30&amp;fiscal_year_id=9735915",88185)</f>
        <v>88185</v>
      </c>
      <c r="D13" s="30">
        <f>HYPERLINK("https://secure.freee.co.jp/reports/general_ledgers/show?name=%E5%A4%96%E6%B3%A8%E8%B2%BB&amp;start_date=2025-05-01&amp;end_date=2025-05-31&amp;fiscal_year_id=9735915",88185)</f>
        <v>88185</v>
      </c>
      <c r="E13" s="33">
        <f>HYPERLINK("https://secure.freee.co.jp/reports/general_ledgers/show?name=%E5%A4%96%E6%B3%A8%E8%B2%BB&amp;start_date=2025-06-01&amp;end_date=2025-06-30&amp;fiscal_year_id=9735915",1738185)</f>
        <v>1738185</v>
      </c>
      <c r="F13" s="30">
        <f>HYPERLINK("https://secure.freee.co.jp/reports/general_ledgers/show?name=%E5%A4%96%E6%B3%A8%E8%B2%BB&amp;start_date=2025-07-01&amp;end_date=2025-07-31&amp;fiscal_year_id=9735915",968185)</f>
        <v>968185</v>
      </c>
      <c r="G13" s="33">
        <f>HYPERLINK("https://secure.freee.co.jp/reports/general_ledgers/show?name=%E5%A4%96%E6%B3%A8%E8%B2%BB&amp;start_date=2025-08-01&amp;end_date=2025-08-31&amp;fiscal_year_id=9735915",363185)</f>
        <v>363185</v>
      </c>
      <c r="H13" s="33">
        <f>HYPERLINK("https://secure.freee.co.jp/reports/general_ledgers/show?name=%E5%A4%96%E6%B3%A8%E8%B2%BB&amp;start_date=2025-09-01&amp;end_date=2025-09-30&amp;fiscal_year_id=9735915",803185)</f>
        <v>803185</v>
      </c>
      <c r="I13" s="30">
        <f>HYPERLINK("https://secure.freee.co.jp/reports/general_ledgers/show?name=%E5%A4%96%E6%B3%A8%E8%B2%BB&amp;start_date=2025-10-01&amp;end_date=2025-10-31&amp;fiscal_year_id=9735915",1188185)</f>
        <v>1188185</v>
      </c>
      <c r="J13" s="33">
        <f>HYPERLINK("https://secure.freee.co.jp/reports/general_ledgers/show?name=%E5%A4%96%E6%B3%A8%E8%B2%BB&amp;start_date=2025-11-01&amp;end_date=2025-11-30&amp;fiscal_year_id=9735915",2068185)</f>
        <v>2068185</v>
      </c>
      <c r="K13" s="33">
        <f>HYPERLINK("https://secure.freee.co.jp/reports/general_ledgers/show?name=%E5%A4%96%E6%B3%A8%E8%B2%BB&amp;start_date=2025-12-01&amp;end_date=2025-12-31&amp;fiscal_year_id=9735915",913185)</f>
        <v>913185</v>
      </c>
      <c r="L13" s="30">
        <f>HYPERLINK("https://secure.freee.co.jp/reports/general_ledgers/show?name=%E5%A4%96%E6%B3%A8%E8%B2%BB&amp;start_date=2026-01-01&amp;end_date=2026-01-31&amp;fiscal_year_id=9735915",916815)</f>
        <v>916815</v>
      </c>
      <c r="M13" s="36">
        <f>HYPERLINK("https://secure.freee.co.jp/reports/general_ledgers/show?name=%E5%A4%96%E6%B3%A8%E8%B2%BB&amp;start_date=2026-02-01&amp;end_date=2026-02-28&amp;fiscal_year_id=9735915",1353185)</f>
        <v>1353185</v>
      </c>
      <c r="N13" s="37">
        <f>SUM(B13:M13)</f>
        <v>10576850</v>
      </c>
      <c r="O13" s="32" t="s">
        <v>437</v>
      </c>
    </row>
    <row r="14" spans="1:15" x14ac:dyDescent="0.25">
      <c r="A14" s="10" t="s">
        <v>505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0">
        <f>HYPERLINK("https://secure.freee.co.jp/reports/general_ledgers/show?name=%E8%8D%B7%E9%80%A0%E9%81%8B%E8%B3%83&amp;start_date=2025-08-01&amp;end_date=2025-08-31&amp;fiscal_year_id=9735915",5500)</f>
        <v>5500</v>
      </c>
      <c r="H14" s="33">
        <f>HYPERLINK("https://secure.freee.co.jp/reports/general_ledgers/show?name=%E8%8D%B7%E9%80%A0%E9%81%8B%E8%B3%83&amp;start_date=2025-09-01&amp;end_date=2025-09-30&amp;fiscal_year_id=9735915",2180)</f>
        <v>2180</v>
      </c>
      <c r="I14" s="33">
        <f>HYPERLINK("https://secure.freee.co.jp/reports/general_ledgers/show?name=%E8%8D%B7%E9%80%A0%E9%81%8B%E8%B3%83&amp;start_date=2025-10-01&amp;end_date=2025-10-31&amp;fiscal_year_id=9735915",600)</f>
        <v>600</v>
      </c>
      <c r="J14" s="33">
        <f>HYPERLINK("https://secure.freee.co.jp/reports/general_ledgers/show?name=%E8%8D%B7%E9%80%A0%E9%81%8B%E8%B3%83&amp;start_date=2025-11-01&amp;end_date=2025-11-30&amp;fiscal_year_id=9735915",1010)</f>
        <v>1010</v>
      </c>
      <c r="K14" s="30">
        <f>HYPERLINK("https://secure.freee.co.jp/reports/general_ledgers/show?name=%E8%8D%B7%E9%80%A0%E9%81%8B%E8%B3%83&amp;start_date=2025-12-01&amp;end_date=2025-12-31&amp;fiscal_year_id=9735915",810)</f>
        <v>810</v>
      </c>
      <c r="L14" s="33">
        <f>HYPERLINK("https://secure.freee.co.jp/reports/general_ledgers/show?name=%E8%8D%B7%E9%80%A0%E9%81%8B%E8%B3%83&amp;start_date=2026-01-01&amp;end_date=2026-01-31&amp;fiscal_year_id=9735915",103139)</f>
        <v>103139</v>
      </c>
      <c r="M14" s="33">
        <f>HYPERLINK("https://secure.freee.co.jp/reports/general_ledgers/show?name=%E8%8D%B7%E9%80%A0%E9%81%8B%E8%B3%83&amp;start_date=2026-02-01&amp;end_date=2026-02-28&amp;fiscal_year_id=9735915",27927)</f>
        <v>27927</v>
      </c>
      <c r="N14" s="37">
        <f>SUM(B14:M14)</f>
        <v>141166</v>
      </c>
      <c r="O14" s="32" t="s">
        <v>437</v>
      </c>
    </row>
    <row r="15" spans="1:15" x14ac:dyDescent="0.25">
      <c r="A15" s="10" t="s">
        <v>506</v>
      </c>
      <c r="B15" s="30">
        <f>HYPERLINK("https://secure.freee.co.jp/reports/general_ledgers/show?name=%E4%BA%A4%E9%9A%9B%E8%B2%BB&amp;start_date=2025-03-01&amp;end_date=2025-03-31&amp;fiscal_year_id=9735915",237904)</f>
        <v>237904</v>
      </c>
      <c r="C15" s="30">
        <f>HYPERLINK("https://secure.freee.co.jp/reports/general_ledgers/show?name=%E4%BA%A4%E9%9A%9B%E8%B2%BB&amp;start_date=2025-04-01&amp;end_date=2025-04-30&amp;fiscal_year_id=9735915",342150)</f>
        <v>342150</v>
      </c>
      <c r="D15" s="33">
        <f>HYPERLINK("https://secure.freee.co.jp/reports/general_ledgers/show?name=%E4%BA%A4%E9%9A%9B%E8%B2%BB&amp;start_date=2025-05-01&amp;end_date=2025-05-31&amp;fiscal_year_id=9735915",159324)</f>
        <v>159324</v>
      </c>
      <c r="E15" s="33">
        <f>HYPERLINK("https://secure.freee.co.jp/reports/general_ledgers/show?name=%E4%BA%A4%E9%9A%9B%E8%B2%BB&amp;start_date=2025-06-01&amp;end_date=2025-06-30&amp;fiscal_year_id=9735915",461131)</f>
        <v>461131</v>
      </c>
      <c r="F15" s="30">
        <f>HYPERLINK("https://secure.freee.co.jp/reports/general_ledgers/show?name=%E4%BA%A4%E9%9A%9B%E8%B2%BB&amp;start_date=2025-07-01&amp;end_date=2025-07-31&amp;fiscal_year_id=9735915",384669)</f>
        <v>384669</v>
      </c>
      <c r="G15" s="33">
        <f>HYPERLINK("https://secure.freee.co.jp/reports/general_ledgers/show?name=%E4%BA%A4%E9%9A%9B%E8%B2%BB&amp;start_date=2025-08-01&amp;end_date=2025-08-31&amp;fiscal_year_id=9735915",54327)</f>
        <v>54327</v>
      </c>
      <c r="H15" s="33">
        <f>HYPERLINK("https://secure.freee.co.jp/reports/general_ledgers/show?name=%E4%BA%A4%E9%9A%9B%E8%B2%BB&amp;start_date=2025-09-01&amp;end_date=2025-09-30&amp;fiscal_year_id=9735915",432949)</f>
        <v>432949</v>
      </c>
      <c r="I15" s="33">
        <f>HYPERLINK("https://secure.freee.co.jp/reports/general_ledgers/show?name=%E4%BA%A4%E9%9A%9B%E8%B2%BB&amp;start_date=2025-10-01&amp;end_date=2025-10-31&amp;fiscal_year_id=9735915",1005411)</f>
        <v>1005411</v>
      </c>
      <c r="J15" s="30">
        <f>HYPERLINK("https://secure.freee.co.jp/reports/general_ledgers/show?name=%E4%BA%A4%E9%9A%9B%E8%B2%BB&amp;start_date=2025-11-01&amp;end_date=2025-11-30&amp;fiscal_year_id=9735915",669478)</f>
        <v>669478</v>
      </c>
      <c r="K15" s="30">
        <f>HYPERLINK("https://secure.freee.co.jp/reports/general_ledgers/show?name=%E4%BA%A4%E9%9A%9B%E8%B2%BB&amp;start_date=2025-12-01&amp;end_date=2025-12-31&amp;fiscal_year_id=9735915",852282)</f>
        <v>852282</v>
      </c>
      <c r="L15" s="33">
        <f>HYPERLINK("https://secure.freee.co.jp/reports/general_ledgers/show?name=%E4%BA%A4%E9%9A%9B%E8%B2%BB&amp;start_date=2026-01-01&amp;end_date=2026-01-31&amp;fiscal_year_id=9735915",239915)</f>
        <v>239915</v>
      </c>
      <c r="M15" s="36">
        <f>HYPERLINK("https://secure.freee.co.jp/reports/general_ledgers/show?name=%E4%BA%A4%E9%9A%9B%E8%B2%BB&amp;start_date=2026-02-01&amp;end_date=2026-02-28&amp;fiscal_year_id=9735915",120025)</f>
        <v>120025</v>
      </c>
      <c r="N15" s="37">
        <f>SUM(B15:M15)</f>
        <v>4959565</v>
      </c>
      <c r="O15" s="32" t="s">
        <v>437</v>
      </c>
    </row>
    <row r="16" spans="1:15" x14ac:dyDescent="0.25">
      <c r="A16" s="10" t="s">
        <v>507</v>
      </c>
      <c r="B16" s="30">
        <f>HYPERLINK("https://secure.freee.co.jp/reports/general_ledgers/show?name=%E4%BC%9A%E8%AD%B0%E8%B2%BB&amp;start_date=2025-03-01&amp;end_date=2025-03-31&amp;fiscal_year_id=9735915",104858)</f>
        <v>104858</v>
      </c>
      <c r="C16" s="30">
        <f>HYPERLINK("https://secure.freee.co.jp/reports/general_ledgers/show?name=%E4%BC%9A%E8%AD%B0%E8%B2%BB&amp;start_date=2025-04-01&amp;end_date=2025-04-30&amp;fiscal_year_id=9735915",140628)</f>
        <v>140628</v>
      </c>
      <c r="D16" s="33">
        <f>HYPERLINK("https://secure.freee.co.jp/reports/general_ledgers/show?name=%E4%BC%9A%E8%AD%B0%E8%B2%BB&amp;start_date=2025-05-01&amp;end_date=2025-05-31&amp;fiscal_year_id=9735915",68919)</f>
        <v>68919</v>
      </c>
      <c r="E16" s="33">
        <f>HYPERLINK("https://secure.freee.co.jp/reports/general_ledgers/show?name=%E4%BC%9A%E8%AD%B0%E8%B2%BB&amp;start_date=2025-06-01&amp;end_date=2025-06-30&amp;fiscal_year_id=9735915",105114)</f>
        <v>105114</v>
      </c>
      <c r="F16" s="30">
        <f>HYPERLINK("https://secure.freee.co.jp/reports/general_ledgers/show?name=%E4%BC%9A%E8%AD%B0%E8%B2%BB&amp;start_date=2025-07-01&amp;end_date=2025-07-31&amp;fiscal_year_id=9735915",157339)</f>
        <v>157339</v>
      </c>
      <c r="G16" s="30">
        <f>HYPERLINK("https://secure.freee.co.jp/reports/general_ledgers/show?name=%E4%BC%9A%E8%AD%B0%E8%B2%BB&amp;start_date=2025-08-01&amp;end_date=2025-08-31&amp;fiscal_year_id=9735915",125961)</f>
        <v>125961</v>
      </c>
      <c r="H16" s="30">
        <f>HYPERLINK("https://secure.freee.co.jp/reports/general_ledgers/show?name=%E4%BC%9A%E8%AD%B0%E8%B2%BB&amp;start_date=2025-09-01&amp;end_date=2025-09-30&amp;fiscal_year_id=9735915",115416)</f>
        <v>115416</v>
      </c>
      <c r="I16" s="30">
        <f>HYPERLINK("https://secure.freee.co.jp/reports/general_ledgers/show?name=%E4%BC%9A%E8%AD%B0%E8%B2%BB&amp;start_date=2025-10-01&amp;end_date=2025-10-31&amp;fiscal_year_id=9735915",154440)</f>
        <v>154440</v>
      </c>
      <c r="J16" s="30">
        <f>HYPERLINK("https://secure.freee.co.jp/reports/general_ledgers/show?name=%E4%BC%9A%E8%AD%B0%E8%B2%BB&amp;start_date=2025-11-01&amp;end_date=2025-11-30&amp;fiscal_year_id=9735915",106778)</f>
        <v>106778</v>
      </c>
      <c r="K16" s="30">
        <f>HYPERLINK("https://secure.freee.co.jp/reports/general_ledgers/show?name=%E4%BC%9A%E8%AD%B0%E8%B2%BB&amp;start_date=2025-12-01&amp;end_date=2025-12-31&amp;fiscal_year_id=9735915",90742)</f>
        <v>90742</v>
      </c>
      <c r="L16" s="30">
        <f>HYPERLINK("https://secure.freee.co.jp/reports/general_ledgers/show?name=%E4%BC%9A%E8%AD%B0%E8%B2%BB&amp;start_date=2026-01-01&amp;end_date=2026-01-31&amp;fiscal_year_id=9735915",134001)</f>
        <v>134001</v>
      </c>
      <c r="M16" s="36">
        <f>HYPERLINK("https://secure.freee.co.jp/reports/general_ledgers/show?name=%E4%BC%9A%E8%AD%B0%E8%B2%BB&amp;start_date=2026-02-01&amp;end_date=2026-02-28&amp;fiscal_year_id=9735915",109284)</f>
        <v>109284</v>
      </c>
      <c r="N16" s="37">
        <f>SUM(B16:M16)</f>
        <v>1413480</v>
      </c>
      <c r="O16" s="32" t="s">
        <v>437</v>
      </c>
    </row>
    <row r="17" spans="1:15" x14ac:dyDescent="0.25">
      <c r="A17" s="10" t="s">
        <v>508</v>
      </c>
      <c r="B17" s="30">
        <f>HYPERLINK("https://secure.freee.co.jp/reports/general_ledgers/show?name=%E6%97%85%E8%B2%BB%E4%BA%A4%E9%80%9A%E8%B2%BB&amp;start_date=2025-03-01&amp;end_date=2025-03-31&amp;fiscal_year_id=9735915",236186)</f>
        <v>236186</v>
      </c>
      <c r="C17" s="30">
        <f>HYPERLINK("https://secure.freee.co.jp/reports/general_ledgers/show?name=%E6%97%85%E8%B2%BB%E4%BA%A4%E9%80%9A%E8%B2%BB&amp;start_date=2025-04-01&amp;end_date=2025-04-30&amp;fiscal_year_id=9735915",211801)</f>
        <v>211801</v>
      </c>
      <c r="D17" s="30">
        <f>HYPERLINK("https://secure.freee.co.jp/reports/general_ledgers/show?name=%E6%97%85%E8%B2%BB%E4%BA%A4%E9%80%9A%E8%B2%BB&amp;start_date=2025-05-01&amp;end_date=2025-05-31&amp;fiscal_year_id=9735915",194940)</f>
        <v>194940</v>
      </c>
      <c r="E17" s="33">
        <f>HYPERLINK("https://secure.freee.co.jp/reports/general_ledgers/show?name=%E6%97%85%E8%B2%BB%E4%BA%A4%E9%80%9A%E8%B2%BB&amp;start_date=2025-06-01&amp;end_date=2025-06-30&amp;fiscal_year_id=9735915",337851)</f>
        <v>337851</v>
      </c>
      <c r="F17" s="30">
        <f>HYPERLINK("https://secure.freee.co.jp/reports/general_ledgers/show?name=%E6%97%85%E8%B2%BB%E4%BA%A4%E9%80%9A%E8%B2%BB&amp;start_date=2025-07-01&amp;end_date=2025-07-31&amp;fiscal_year_id=9735915",390801)</f>
        <v>390801</v>
      </c>
      <c r="G17" s="30">
        <f>HYPERLINK("https://secure.freee.co.jp/reports/general_ledgers/show?name=%E6%97%85%E8%B2%BB%E4%BA%A4%E9%80%9A%E8%B2%BB&amp;start_date=2025-08-01&amp;end_date=2025-08-31&amp;fiscal_year_id=9735915",220847)</f>
        <v>220847</v>
      </c>
      <c r="H17" s="30">
        <f>HYPERLINK("https://secure.freee.co.jp/reports/general_ledgers/show?name=%E6%97%85%E8%B2%BB%E4%BA%A4%E9%80%9A%E8%B2%BB&amp;start_date=2025-09-01&amp;end_date=2025-09-30&amp;fiscal_year_id=9735915",302302)</f>
        <v>302302</v>
      </c>
      <c r="I17" s="30">
        <f>HYPERLINK("https://secure.freee.co.jp/reports/general_ledgers/show?name=%E6%97%85%E8%B2%BB%E4%BA%A4%E9%80%9A%E8%B2%BB&amp;start_date=2025-10-01&amp;end_date=2025-10-31&amp;fiscal_year_id=9735915",247587)</f>
        <v>247587</v>
      </c>
      <c r="J17" s="33">
        <f>HYPERLINK("https://secure.freee.co.jp/reports/general_ledgers/show?name=%E6%97%85%E8%B2%BB%E4%BA%A4%E9%80%9A%E8%B2%BB&amp;start_date=2025-11-01&amp;end_date=2025-11-30&amp;fiscal_year_id=9735915",603358)</f>
        <v>603358</v>
      </c>
      <c r="K17" s="30">
        <f>HYPERLINK("https://secure.freee.co.jp/reports/general_ledgers/show?name=%E6%97%85%E8%B2%BB%E4%BA%A4%E9%80%9A%E8%B2%BB&amp;start_date=2025-12-01&amp;end_date=2025-12-31&amp;fiscal_year_id=9735915",438253)</f>
        <v>438253</v>
      </c>
      <c r="L17" s="33">
        <f>HYPERLINK("https://secure.freee.co.jp/reports/general_ledgers/show?name=%E6%97%85%E8%B2%BB%E4%BA%A4%E9%80%9A%E8%B2%BB&amp;start_date=2026-01-01&amp;end_date=2026-01-31&amp;fiscal_year_id=9735915",214781)</f>
        <v>214781</v>
      </c>
      <c r="M17" s="33">
        <f>HYPERLINK("https://secure.freee.co.jp/reports/general_ledgers/show?name=%E6%97%85%E8%B2%BB%E4%BA%A4%E9%80%9A%E8%B2%BB&amp;start_date=2026-02-01&amp;end_date=2026-02-28&amp;fiscal_year_id=9735915",361645)</f>
        <v>361645</v>
      </c>
      <c r="N17" s="37">
        <f>SUM(B17:M17)</f>
        <v>3760352</v>
      </c>
      <c r="O17" s="32" t="s">
        <v>437</v>
      </c>
    </row>
    <row r="18" spans="1:15" x14ac:dyDescent="0.25">
      <c r="A18" s="10" t="s">
        <v>509</v>
      </c>
      <c r="B18" s="30">
        <f>HYPERLINK("https://secure.freee.co.jp/reports/general_ledgers/show?name=%E9%80%9A%E4%BF%A1%E8%B2%BB&amp;start_date=2025-03-01&amp;end_date=2025-03-31&amp;fiscal_year_id=9735915",7604)</f>
        <v>7604</v>
      </c>
      <c r="C18" s="33">
        <f>HYPERLINK("https://secure.freee.co.jp/reports/general_ledgers/show?name=%E9%80%9A%E4%BF%A1%E8%B2%BB&amp;start_date=2025-04-01&amp;end_date=2025-04-30&amp;fiscal_year_id=9735915",25899)</f>
        <v>25899</v>
      </c>
      <c r="D18" s="30">
        <f>HYPERLINK("https://secure.freee.co.jp/reports/general_ledgers/show?name=%E9%80%9A%E4%BF%A1%E8%B2%BB&amp;start_date=2025-05-01&amp;end_date=2025-05-31&amp;fiscal_year_id=9735915",15141)</f>
        <v>15141</v>
      </c>
      <c r="E18" s="33">
        <f>HYPERLINK("https://secure.freee.co.jp/reports/general_ledgers/show?name=%E9%80%9A%E4%BF%A1%E8%B2%BB&amp;start_date=2025-06-01&amp;end_date=2025-06-30&amp;fiscal_year_id=9735915",52465)</f>
        <v>52465</v>
      </c>
      <c r="F18" s="33">
        <f>HYPERLINK("https://secure.freee.co.jp/reports/general_ledgers/show?name=%E9%80%9A%E4%BF%A1%E8%B2%BB&amp;start_date=2025-07-01&amp;end_date=2025-07-31&amp;fiscal_year_id=9735915",22811)</f>
        <v>22811</v>
      </c>
      <c r="G18" s="33">
        <f>HYPERLINK("https://secure.freee.co.jp/reports/general_ledgers/show?name=%E9%80%9A%E4%BF%A1%E8%B2%BB&amp;start_date=2025-08-01&amp;end_date=2025-08-31&amp;fiscal_year_id=9735915",37488)</f>
        <v>37488</v>
      </c>
      <c r="H18" s="33">
        <f>HYPERLINK("https://secure.freee.co.jp/reports/general_ledgers/show?name=%E9%80%9A%E4%BF%A1%E8%B2%BB&amp;start_date=2025-09-01&amp;end_date=2025-09-30&amp;fiscal_year_id=9735915",61457)</f>
        <v>61457</v>
      </c>
      <c r="I18" s="30">
        <f>HYPERLINK("https://secure.freee.co.jp/reports/general_ledgers/show?name=%E9%80%9A%E4%BF%A1%E8%B2%BB&amp;start_date=2025-10-01&amp;end_date=2025-10-31&amp;fiscal_year_id=9735915",53491)</f>
        <v>53491</v>
      </c>
      <c r="J18" s="30">
        <f>HYPERLINK("https://secure.freee.co.jp/reports/general_ledgers/show?name=%E9%80%9A%E4%BF%A1%E8%B2%BB&amp;start_date=2025-11-01&amp;end_date=2025-11-30&amp;fiscal_year_id=9735915",54675)</f>
        <v>54675</v>
      </c>
      <c r="K18" s="30">
        <f>HYPERLINK("https://secure.freee.co.jp/reports/general_ledgers/show?name=%E9%80%9A%E4%BF%A1%E8%B2%BB&amp;start_date=2025-12-01&amp;end_date=2025-12-31&amp;fiscal_year_id=9735915",66628)</f>
        <v>66628</v>
      </c>
      <c r="L18" s="33">
        <f>HYPERLINK("https://secure.freee.co.jp/reports/general_ledgers/show?name=%E9%80%9A%E4%BF%A1%E8%B2%BB&amp;start_date=2026-01-01&amp;end_date=2026-01-31&amp;fiscal_year_id=9735915",111266)</f>
        <v>111266</v>
      </c>
      <c r="M18" s="33">
        <f>HYPERLINK("https://secure.freee.co.jp/reports/general_ledgers/show?name=%E9%80%9A%E4%BF%A1%E8%B2%BB&amp;start_date=2026-02-01&amp;end_date=2026-02-28&amp;fiscal_year_id=9735915",22016)</f>
        <v>22016</v>
      </c>
      <c r="N18" s="37">
        <f>SUM(B18:M18)</f>
        <v>530941</v>
      </c>
      <c r="O18" s="32" t="s">
        <v>437</v>
      </c>
    </row>
    <row r="19" spans="1:15" x14ac:dyDescent="0.25">
      <c r="A19" s="10" t="s">
        <v>510</v>
      </c>
      <c r="B19" s="39">
        <v>0</v>
      </c>
      <c r="C19" s="39">
        <v>0</v>
      </c>
      <c r="D19" s="39">
        <v>0</v>
      </c>
      <c r="E19" s="39">
        <v>0</v>
      </c>
      <c r="F19" s="39">
        <v>0</v>
      </c>
      <c r="G19" s="30">
        <f>HYPERLINK("https://secure.freee.co.jp/reports/general_ledgers/show?name=%E8%B2%A9%E5%A3%B2%E6%89%8B%E6%95%B0%E6%96%99&amp;start_date=2025-08-01&amp;end_date=2025-08-31&amp;fiscal_year_id=9735915",400)</f>
        <v>400</v>
      </c>
      <c r="H19" s="33">
        <f>HYPERLINK("https://secure.freee.co.jp/reports/general_ledgers/show?name=%E8%B2%A9%E5%A3%B2%E6%89%8B%E6%95%B0%E6%96%99&amp;start_date=2025-09-01&amp;end_date=2025-09-30&amp;fiscal_year_id=9735915",1664726)</f>
        <v>1664726</v>
      </c>
      <c r="I19" s="33">
        <f>HYPERLINK("https://secure.freee.co.jp/reports/general_ledgers/show?name=%E8%B2%A9%E5%A3%B2%E6%89%8B%E6%95%B0%E6%96%99&amp;start_date=2025-10-01&amp;end_date=2025-10-31&amp;fiscal_year_id=9735915",5580140)</f>
        <v>5580140</v>
      </c>
      <c r="J19" s="43">
        <v>0</v>
      </c>
      <c r="K19" s="39">
        <v>0</v>
      </c>
      <c r="L19" s="30">
        <f>HYPERLINK("https://secure.freee.co.jp/reports/general_ledgers/show?name=%E8%B2%A9%E5%A3%B2%E6%89%8B%E6%95%B0%E6%96%99&amp;start_date=2026-01-01&amp;end_date=2026-01-31&amp;fiscal_year_id=9735915",559)</f>
        <v>559</v>
      </c>
      <c r="M19" s="43">
        <v>0</v>
      </c>
      <c r="N19" s="37">
        <f>SUM(B19:M19)</f>
        <v>7245825</v>
      </c>
      <c r="O19" s="32" t="s">
        <v>437</v>
      </c>
    </row>
    <row r="20" spans="1:15" x14ac:dyDescent="0.25">
      <c r="A20" s="10" t="s">
        <v>511</v>
      </c>
      <c r="B20" s="30">
        <f>HYPERLINK("https://secure.freee.co.jp/reports/general_ledgers/show?name=%E6%B6%88%E8%80%97%E5%93%81%E8%B2%BB&amp;start_date=2025-03-01&amp;end_date=2025-03-31&amp;fiscal_year_id=9735915",10544)</f>
        <v>10544</v>
      </c>
      <c r="C20" s="33">
        <f>HYPERLINK("https://secure.freee.co.jp/reports/general_ledgers/show?name=%E6%B6%88%E8%80%97%E5%93%81%E8%B2%BB&amp;start_date=2025-04-01&amp;end_date=2025-04-30&amp;fiscal_year_id=9735915",20601)</f>
        <v>20601</v>
      </c>
      <c r="D20" s="33">
        <f>HYPERLINK("https://secure.freee.co.jp/reports/general_ledgers/show?name=%E6%B6%88%E8%80%97%E5%93%81%E8%B2%BB&amp;start_date=2025-05-01&amp;end_date=2025-05-31&amp;fiscal_year_id=9735915",35049)</f>
        <v>35049</v>
      </c>
      <c r="E20" s="30">
        <f>HYPERLINK("https://secure.freee.co.jp/reports/general_ledgers/show?name=%E6%B6%88%E8%80%97%E5%93%81%E8%B2%BB&amp;start_date=2025-06-01&amp;end_date=2025-06-30&amp;fiscal_year_id=9735915",20888)</f>
        <v>20888</v>
      </c>
      <c r="F20" s="33">
        <f>HYPERLINK("https://secure.freee.co.jp/reports/general_ledgers/show?name=%E6%B6%88%E8%80%97%E5%93%81%E8%B2%BB&amp;start_date=2025-07-01&amp;end_date=2025-07-31&amp;fiscal_year_id=9735915",47850)</f>
        <v>47850</v>
      </c>
      <c r="G20" s="33">
        <f>HYPERLINK("https://secure.freee.co.jp/reports/general_ledgers/show?name=%E6%B6%88%E8%80%97%E5%93%81%E8%B2%BB&amp;start_date=2025-08-01&amp;end_date=2025-08-31&amp;fiscal_year_id=9735915",86019)</f>
        <v>86019</v>
      </c>
      <c r="H20" s="33">
        <f>HYPERLINK("https://secure.freee.co.jp/reports/general_ledgers/show?name=%E6%B6%88%E8%80%97%E5%93%81%E8%B2%BB&amp;start_date=2025-09-01&amp;end_date=2025-09-30&amp;fiscal_year_id=9735915",17992)</f>
        <v>17992</v>
      </c>
      <c r="I20" s="33">
        <f>HYPERLINK("https://secure.freee.co.jp/reports/general_ledgers/show?name=%E6%B6%88%E8%80%97%E5%93%81%E8%B2%BB&amp;start_date=2025-10-01&amp;end_date=2025-10-31&amp;fiscal_year_id=9735915",147364)</f>
        <v>147364</v>
      </c>
      <c r="J20" s="33">
        <f>HYPERLINK("https://secure.freee.co.jp/reports/general_ledgers/show?name=%E6%B6%88%E8%80%97%E5%93%81%E8%B2%BB&amp;start_date=2025-11-01&amp;end_date=2025-11-30&amp;fiscal_year_id=9735915",18236)</f>
        <v>18236</v>
      </c>
      <c r="K20" s="33">
        <f>HYPERLINK("https://secure.freee.co.jp/reports/general_ledgers/show?name=%E6%B6%88%E8%80%97%E5%93%81%E8%B2%BB&amp;start_date=2025-12-01&amp;end_date=2025-12-31&amp;fiscal_year_id=9735915",84198)</f>
        <v>84198</v>
      </c>
      <c r="L20" s="33">
        <f>HYPERLINK("https://secure.freee.co.jp/reports/general_ledgers/show?name=%E6%B6%88%E8%80%97%E5%93%81%E8%B2%BB&amp;start_date=2026-01-01&amp;end_date=2026-01-31&amp;fiscal_year_id=9735915",269211)</f>
        <v>269211</v>
      </c>
      <c r="M20" s="36">
        <f>HYPERLINK("https://secure.freee.co.jp/reports/general_ledgers/show?name=%E6%B6%88%E8%80%97%E5%93%81%E8%B2%BB&amp;start_date=2026-02-01&amp;end_date=2026-02-28&amp;fiscal_year_id=9735915",193517)</f>
        <v>193517</v>
      </c>
      <c r="N20" s="37">
        <f>SUM(B20:M20)</f>
        <v>951469</v>
      </c>
      <c r="O20" s="32" t="s">
        <v>437</v>
      </c>
    </row>
    <row r="21" spans="1:15" x14ac:dyDescent="0.25">
      <c r="A21" s="10" t="s">
        <v>512</v>
      </c>
      <c r="B21" s="30">
        <f>HYPERLINK("https://secure.freee.co.jp/reports/general_ledgers/show?name=%E6%96%B0%E8%81%9E%E5%9B%B3%E6%9B%B8%E8%B2%BB&amp;start_date=2025-03-01&amp;end_date=2025-03-31&amp;fiscal_year_id=9735915",11781)</f>
        <v>11781</v>
      </c>
      <c r="C21" s="33">
        <f>HYPERLINK("https://secure.freee.co.jp/reports/general_ledgers/show?name=%E6%96%B0%E8%81%9E%E5%9B%B3%E6%9B%B8%E8%B2%BB&amp;start_date=2025-04-01&amp;end_date=2025-04-30&amp;fiscal_year_id=9735915",792)</f>
        <v>792</v>
      </c>
      <c r="D21" s="33">
        <f>HYPERLINK("https://secure.freee.co.jp/reports/general_ledgers/show?name=%E6%96%B0%E8%81%9E%E5%9B%B3%E6%9B%B8%E8%B2%BB&amp;start_date=2025-05-01&amp;end_date=2025-05-31&amp;fiscal_year_id=9735915",4290)</f>
        <v>4290</v>
      </c>
      <c r="E21" s="33">
        <f>HYPERLINK("https://secure.freee.co.jp/reports/general_ledgers/show?name=%E6%96%B0%E8%81%9E%E5%9B%B3%E6%9B%B8%E8%B2%BB&amp;start_date=2025-06-01&amp;end_date=2025-06-30&amp;fiscal_year_id=9735915",24682)</f>
        <v>24682</v>
      </c>
      <c r="F21" s="33">
        <f>HYPERLINK("https://secure.freee.co.jp/reports/general_ledgers/show?name=%E6%96%B0%E8%81%9E%E5%9B%B3%E6%9B%B8%E8%B2%BB&amp;start_date=2025-07-01&amp;end_date=2025-07-31&amp;fiscal_year_id=9735915",3330)</f>
        <v>3330</v>
      </c>
      <c r="G21" s="33">
        <f>HYPERLINK("https://secure.freee.co.jp/reports/general_ledgers/show?name=%E6%96%B0%E8%81%9E%E5%9B%B3%E6%9B%B8%E8%B2%BB&amp;start_date=2025-08-01&amp;end_date=2025-08-31&amp;fiscal_year_id=9735915",28380)</f>
        <v>28380</v>
      </c>
      <c r="H21" s="33">
        <f>HYPERLINK("https://secure.freee.co.jp/reports/general_ledgers/show?name=%E6%96%B0%E8%81%9E%E5%9B%B3%E6%9B%B8%E8%B2%BB&amp;start_date=2025-09-01&amp;end_date=2025-09-30&amp;fiscal_year_id=9735915",8418)</f>
        <v>8418</v>
      </c>
      <c r="I21" s="33">
        <f>HYPERLINK("https://secure.freee.co.jp/reports/general_ledgers/show?name=%E6%96%B0%E8%81%9E%E5%9B%B3%E6%9B%B8%E8%B2%BB&amp;start_date=2025-10-01&amp;end_date=2025-10-31&amp;fiscal_year_id=9735915",21830)</f>
        <v>21830</v>
      </c>
      <c r="J21" s="33">
        <f>HYPERLINK("https://secure.freee.co.jp/reports/general_ledgers/show?name=%E6%96%B0%E8%81%9E%E5%9B%B3%E6%9B%B8%E8%B2%BB&amp;start_date=2025-11-01&amp;end_date=2025-11-30&amp;fiscal_year_id=9735915",3663)</f>
        <v>3663</v>
      </c>
      <c r="K21" s="33">
        <f>HYPERLINK("https://secure.freee.co.jp/reports/general_ledgers/show?name=%E6%96%B0%E8%81%9E%E5%9B%B3%E6%9B%B8%E8%B2%BB&amp;start_date=2025-12-01&amp;end_date=2025-12-31&amp;fiscal_year_id=9735915",20662)</f>
        <v>20662</v>
      </c>
      <c r="L21" s="33">
        <f>HYPERLINK("https://secure.freee.co.jp/reports/general_ledgers/show?name=%E6%96%B0%E8%81%9E%E5%9B%B3%E6%9B%B8%E8%B2%BB&amp;start_date=2026-01-01&amp;end_date=2026-01-31&amp;fiscal_year_id=9735915",5170)</f>
        <v>5170</v>
      </c>
      <c r="M21" s="33">
        <f>HYPERLINK("https://secure.freee.co.jp/reports/general_ledgers/show?name=%E6%96%B0%E8%81%9E%E5%9B%B3%E6%9B%B8%E8%B2%BB&amp;start_date=2026-02-01&amp;end_date=2026-02-28&amp;fiscal_year_id=9735915",96597)</f>
        <v>96597</v>
      </c>
      <c r="N21" s="37">
        <f>SUM(B21:M21)</f>
        <v>229595</v>
      </c>
      <c r="O21" s="32" t="s">
        <v>437</v>
      </c>
    </row>
    <row r="22" spans="1:15" x14ac:dyDescent="0.25">
      <c r="A22" s="10" t="s">
        <v>513</v>
      </c>
      <c r="B22" s="39">
        <v>0</v>
      </c>
      <c r="C22" s="30">
        <f>HYPERLINK("https://secure.freee.co.jp/reports/general_ledgers/show?name=%E8%AB%B8%E4%BC%9A%E8%B2%BB&amp;start_date=2025-04-01&amp;end_date=2025-04-30&amp;fiscal_year_id=9735915",56100)</f>
        <v>56100</v>
      </c>
      <c r="D22" s="33">
        <f>HYPERLINK("https://secure.freee.co.jp/reports/general_ledgers/show?name=%E8%AB%B8%E4%BC%9A%E8%B2%BB&amp;start_date=2025-05-01&amp;end_date=2025-05-31&amp;fiscal_year_id=9735915",19800)</f>
        <v>19800</v>
      </c>
      <c r="E22" s="33">
        <f>HYPERLINK("https://secure.freee.co.jp/reports/general_ledgers/show?name=%E8%AB%B8%E4%BC%9A%E8%B2%BB&amp;start_date=2025-06-01&amp;end_date=2025-06-30&amp;fiscal_year_id=9735915",37290)</f>
        <v>37290</v>
      </c>
      <c r="F22" s="33">
        <f>HYPERLINK("https://secure.freee.co.jp/reports/general_ledgers/show?name=%E8%AB%B8%E4%BC%9A%E8%B2%BB&amp;start_date=2025-07-01&amp;end_date=2025-07-31&amp;fiscal_year_id=9735915",56770)</f>
        <v>56770</v>
      </c>
      <c r="G22" s="33">
        <f>HYPERLINK("https://secure.freee.co.jp/reports/general_ledgers/show?name=%E8%AB%B8%E4%BC%9A%E8%B2%BB&amp;start_date=2025-08-01&amp;end_date=2025-08-31&amp;fiscal_year_id=9735915",2290)</f>
        <v>2290</v>
      </c>
      <c r="H22" s="30">
        <f>HYPERLINK("https://secure.freee.co.jp/reports/general_ledgers/show?name=%E8%AB%B8%E4%BC%9A%E8%B2%BB&amp;start_date=2025-09-01&amp;end_date=2025-09-30&amp;fiscal_year_id=9735915",2290)</f>
        <v>2290</v>
      </c>
      <c r="I22" s="33">
        <f>HYPERLINK("https://secure.freee.co.jp/reports/general_ledgers/show?name=%E8%AB%B8%E4%BC%9A%E8%B2%BB&amp;start_date=2025-10-01&amp;end_date=2025-10-31&amp;fiscal_year_id=9735915",8190)</f>
        <v>8190</v>
      </c>
      <c r="J22" s="33">
        <f>HYPERLINK("https://secure.freee.co.jp/reports/general_ledgers/show?name=%E8%AB%B8%E4%BC%9A%E8%B2%BB&amp;start_date=2025-11-01&amp;end_date=2025-11-30&amp;fiscal_year_id=9735915",2290)</f>
        <v>2290</v>
      </c>
      <c r="K22" s="30">
        <f>HYPERLINK("https://secure.freee.co.jp/reports/general_ledgers/show?name=%E8%AB%B8%E4%BC%9A%E8%B2%BB&amp;start_date=2025-12-01&amp;end_date=2025-12-31&amp;fiscal_year_id=9735915",2290)</f>
        <v>2290</v>
      </c>
      <c r="L22" s="30">
        <f>HYPERLINK("https://secure.freee.co.jp/reports/general_ledgers/show?name=%E8%AB%B8%E4%BC%9A%E8%B2%BB&amp;start_date=2026-01-01&amp;end_date=2026-01-31&amp;fiscal_year_id=9735915",2290)</f>
        <v>2290</v>
      </c>
      <c r="M22" s="43">
        <v>0</v>
      </c>
      <c r="N22" s="37">
        <f>SUM(B22:M22)</f>
        <v>189600</v>
      </c>
      <c r="O22" s="32" t="s">
        <v>437</v>
      </c>
    </row>
    <row r="23" spans="1:15" x14ac:dyDescent="0.25">
      <c r="A23" s="10" t="s">
        <v>514</v>
      </c>
      <c r="B23" s="30">
        <f>HYPERLINK("https://secure.freee.co.jp/reports/general_ledgers/show?name=%E6%94%AF%E6%89%95%E6%89%8B%E6%95%B0%E6%96%99&amp;start_date=2025-03-01&amp;end_date=2025-03-31&amp;fiscal_year_id=9735915",4205)</f>
        <v>4205</v>
      </c>
      <c r="C23" s="30">
        <f>HYPERLINK("https://secure.freee.co.jp/reports/general_ledgers/show?name=%E6%94%AF%E6%89%95%E6%89%8B%E6%95%B0%E6%96%99&amp;start_date=2025-04-01&amp;end_date=2025-04-30&amp;fiscal_year_id=9735915",2902)</f>
        <v>2902</v>
      </c>
      <c r="D23" s="30">
        <f>HYPERLINK("https://secure.freee.co.jp/reports/general_ledgers/show?name=%E6%94%AF%E6%89%95%E6%89%8B%E6%95%B0%E6%96%99&amp;start_date=2025-05-01&amp;end_date=2025-05-31&amp;fiscal_year_id=9735915",1565)</f>
        <v>1565</v>
      </c>
      <c r="E23" s="30">
        <f>HYPERLINK("https://secure.freee.co.jp/reports/general_ledgers/show?name=%E6%94%AF%E6%89%95%E6%89%8B%E6%95%B0%E6%96%99&amp;start_date=2025-06-01&amp;end_date=2025-06-30&amp;fiscal_year_id=9735915",2153)</f>
        <v>2153</v>
      </c>
      <c r="F23" s="33">
        <f>HYPERLINK("https://secure.freee.co.jp/reports/general_ledgers/show?name=%E6%94%AF%E6%89%95%E6%89%8B%E6%95%B0%E6%96%99&amp;start_date=2025-07-01&amp;end_date=2025-07-31&amp;fiscal_year_id=9735915",29365)</f>
        <v>29365</v>
      </c>
      <c r="G23" s="33">
        <f>HYPERLINK("https://secure.freee.co.jp/reports/general_ledgers/show?name=%E6%94%AF%E6%89%95%E6%89%8B%E6%95%B0%E6%96%99&amp;start_date=2025-08-01&amp;end_date=2025-08-31&amp;fiscal_year_id=9735915",5145)</f>
        <v>5145</v>
      </c>
      <c r="H23" s="30">
        <f>HYPERLINK("https://secure.freee.co.jp/reports/general_ledgers/show?name=%E6%94%AF%E6%89%95%E6%89%8B%E6%95%B0%E6%96%99&amp;start_date=2025-09-01&amp;end_date=2025-09-30&amp;fiscal_year_id=9735915",7450)</f>
        <v>7450</v>
      </c>
      <c r="I23" s="33">
        <f>HYPERLINK("https://secure.freee.co.jp/reports/general_ledgers/show?name=%E6%94%AF%E6%89%95%E6%89%8B%E6%95%B0%E6%96%99&amp;start_date=2025-10-01&amp;end_date=2025-10-31&amp;fiscal_year_id=9735915",70684)</f>
        <v>70684</v>
      </c>
      <c r="J23" s="33">
        <f>HYPERLINK("https://secure.freee.co.jp/reports/general_ledgers/show?name=%E6%94%AF%E6%89%95%E6%89%8B%E6%95%B0%E6%96%99&amp;start_date=2025-11-01&amp;end_date=2025-11-30&amp;fiscal_year_id=9735915",128647)</f>
        <v>128647</v>
      </c>
      <c r="K23" s="30">
        <f>HYPERLINK("https://secure.freee.co.jp/reports/general_ledgers/show?name=%E6%94%AF%E6%89%95%E6%89%8B%E6%95%B0%E6%96%99&amp;start_date=2025-12-01&amp;end_date=2025-12-31&amp;fiscal_year_id=9735915",118397)</f>
        <v>118397</v>
      </c>
      <c r="L23" s="33">
        <f>HYPERLINK("https://secure.freee.co.jp/reports/general_ledgers/show?name=%E6%94%AF%E6%89%95%E6%89%8B%E6%95%B0%E6%96%99&amp;start_date=2026-01-01&amp;end_date=2026-01-31&amp;fiscal_year_id=9735915",24565)</f>
        <v>24565</v>
      </c>
      <c r="M23" s="33">
        <f>HYPERLINK("https://secure.freee.co.jp/reports/general_ledgers/show?name=%E6%94%AF%E6%89%95%E6%89%8B%E6%95%B0%E6%96%99&amp;start_date=2026-02-01&amp;end_date=2026-02-28&amp;fiscal_year_id=9735915",3405)</f>
        <v>3405</v>
      </c>
      <c r="N23" s="37">
        <f>SUM(B23:M23)</f>
        <v>398483</v>
      </c>
      <c r="O23" s="32" t="s">
        <v>437</v>
      </c>
    </row>
    <row r="24" spans="1:15" x14ac:dyDescent="0.25">
      <c r="A24" s="10" t="s">
        <v>515</v>
      </c>
      <c r="B24" s="30">
        <f>HYPERLINK("https://secure.freee.co.jp/reports/general_ledgers/show?name=%E5%9C%B0%E4%BB%A3%E5%AE%B6%E8%B3%83&amp;start_date=2025-03-01&amp;end_date=2025-03-31&amp;fiscal_year_id=9735915",225500)</f>
        <v>225500</v>
      </c>
      <c r="C24" s="30">
        <f>HYPERLINK("https://secure.freee.co.jp/reports/general_ledgers/show?name=%E5%9C%B0%E4%BB%A3%E5%AE%B6%E8%B3%83&amp;start_date=2025-04-01&amp;end_date=2025-04-30&amp;fiscal_year_id=9735915",225500)</f>
        <v>225500</v>
      </c>
      <c r="D24" s="30">
        <f>HYPERLINK("https://secure.freee.co.jp/reports/general_ledgers/show?name=%E5%9C%B0%E4%BB%A3%E5%AE%B6%E8%B3%83&amp;start_date=2025-05-01&amp;end_date=2025-05-31&amp;fiscal_year_id=9735915",225500)</f>
        <v>225500</v>
      </c>
      <c r="E24" s="30">
        <f>HYPERLINK("https://secure.freee.co.jp/reports/general_ledgers/show?name=%E5%9C%B0%E4%BB%A3%E5%AE%B6%E8%B3%83&amp;start_date=2025-06-01&amp;end_date=2025-06-30&amp;fiscal_year_id=9735915",225500)</f>
        <v>225500</v>
      </c>
      <c r="F24" s="30">
        <f>HYPERLINK("https://secure.freee.co.jp/reports/general_ledgers/show?name=%E5%9C%B0%E4%BB%A3%E5%AE%B6%E8%B3%83&amp;start_date=2025-07-01&amp;end_date=2025-07-31&amp;fiscal_year_id=9735915",225500)</f>
        <v>225500</v>
      </c>
      <c r="G24" s="30">
        <f>HYPERLINK("https://secure.freee.co.jp/reports/general_ledgers/show?name=%E5%9C%B0%E4%BB%A3%E5%AE%B6%E8%B3%83&amp;start_date=2025-08-01&amp;end_date=2025-08-31&amp;fiscal_year_id=9735915",225500)</f>
        <v>225500</v>
      </c>
      <c r="H24" s="30">
        <f>HYPERLINK("https://secure.freee.co.jp/reports/general_ledgers/show?name=%E5%9C%B0%E4%BB%A3%E5%AE%B6%E8%B3%83&amp;start_date=2025-09-01&amp;end_date=2025-09-30&amp;fiscal_year_id=9735915",225500)</f>
        <v>225500</v>
      </c>
      <c r="I24" s="30">
        <f>HYPERLINK("https://secure.freee.co.jp/reports/general_ledgers/show?name=%E5%9C%B0%E4%BB%A3%E5%AE%B6%E8%B3%83&amp;start_date=2025-10-01&amp;end_date=2025-10-31&amp;fiscal_year_id=9735915",225500)</f>
        <v>225500</v>
      </c>
      <c r="J24" s="33">
        <f>HYPERLINK("https://secure.freee.co.jp/reports/general_ledgers/show?name=%E5%9C%B0%E4%BB%A3%E5%AE%B6%E8%B3%83&amp;start_date=2025-11-01&amp;end_date=2025-11-30&amp;fiscal_year_id=9735915",1215856)</f>
        <v>1215856</v>
      </c>
      <c r="K24" s="33">
        <f>HYPERLINK("https://secure.freee.co.jp/reports/general_ledgers/show?name=%E5%9C%B0%E4%BB%A3%E5%AE%B6%E8%B3%83&amp;start_date=2025-12-01&amp;end_date=2025-12-31&amp;fiscal_year_id=9735915",225500)</f>
        <v>225500</v>
      </c>
      <c r="L24" s="33">
        <f>HYPERLINK("https://secure.freee.co.jp/reports/general_ledgers/show?name=%E5%9C%B0%E4%BB%A3%E5%AE%B6%E8%B3%83&amp;start_date=2026-01-01&amp;end_date=2026-01-31&amp;fiscal_year_id=9735915",1028500)</f>
        <v>1028500</v>
      </c>
      <c r="M24" s="33">
        <f>HYPERLINK("https://secure.freee.co.jp/reports/general_ledgers/show?name=%E5%9C%B0%E4%BB%A3%E5%AE%B6%E8%B3%83&amp;start_date=2026-02-01&amp;end_date=2026-02-28&amp;fiscal_year_id=9735915",225500)</f>
        <v>225500</v>
      </c>
      <c r="N24" s="37">
        <f>SUM(B24:M24)</f>
        <v>4499356</v>
      </c>
      <c r="O24" s="32" t="s">
        <v>437</v>
      </c>
    </row>
    <row r="25" spans="1:15" x14ac:dyDescent="0.25">
      <c r="A25" s="10" t="s">
        <v>516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0">
        <f>HYPERLINK("https://secure.freee.co.jp/reports/general_ledgers/show?name=%E8%B3%83%E5%80%9F%E6%96%99&amp;start_date=2025-10-01&amp;end_date=2025-10-31&amp;fiscal_year_id=9735915",223300)</f>
        <v>223300</v>
      </c>
      <c r="J25" s="33">
        <f>HYPERLINK("https://secure.freee.co.jp/reports/general_ledgers/show?name=%E8%B3%83%E5%80%9F%E6%96%99&amp;start_date=2025-11-01&amp;end_date=2025-11-30&amp;fiscal_year_id=9735915",11334400)</f>
        <v>11334400</v>
      </c>
      <c r="K25" s="43">
        <v>0</v>
      </c>
      <c r="L25" s="39">
        <v>0</v>
      </c>
      <c r="M25" s="44">
        <v>0</v>
      </c>
      <c r="N25" s="37">
        <f>SUM(B25:M25)</f>
        <v>11557700</v>
      </c>
      <c r="O25" s="32" t="s">
        <v>437</v>
      </c>
    </row>
    <row r="26" spans="1:15" x14ac:dyDescent="0.25">
      <c r="A26" s="10" t="s">
        <v>517</v>
      </c>
      <c r="B26" s="39">
        <v>0</v>
      </c>
      <c r="C26" s="30">
        <f>HYPERLINK("https://secure.freee.co.jp/reports/general_ledgers/show?name=%E4%BF%9D%E9%99%BA%E6%96%99&amp;start_date=2025-04-01&amp;end_date=2025-04-30&amp;fiscal_year_id=9735915",16000)</f>
        <v>16000</v>
      </c>
      <c r="D26" s="30">
        <f>HYPERLINK("https://secure.freee.co.jp/reports/general_ledgers/show?name=%E4%BF%9D%E9%99%BA%E6%96%99&amp;start_date=2025-05-01&amp;end_date=2025-05-31&amp;fiscal_year_id=9735915",8000)</f>
        <v>8000</v>
      </c>
      <c r="E26" s="30">
        <f>HYPERLINK("https://secure.freee.co.jp/reports/general_ledgers/show?name=%E4%BF%9D%E9%99%BA%E6%96%99&amp;start_date=2025-06-01&amp;end_date=2025-06-30&amp;fiscal_year_id=9735915",8000)</f>
        <v>8000</v>
      </c>
      <c r="F26" s="30">
        <f>HYPERLINK("https://secure.freee.co.jp/reports/general_ledgers/show?name=%E4%BF%9D%E9%99%BA%E6%96%99&amp;start_date=2025-07-01&amp;end_date=2025-07-31&amp;fiscal_year_id=9735915",8000)</f>
        <v>8000</v>
      </c>
      <c r="G26" s="30">
        <f>HYPERLINK("https://secure.freee.co.jp/reports/general_ledgers/show?name=%E4%BF%9D%E9%99%BA%E6%96%99&amp;start_date=2025-08-01&amp;end_date=2025-08-31&amp;fiscal_year_id=9735915",8000)</f>
        <v>8000</v>
      </c>
      <c r="H26" s="30">
        <f>HYPERLINK("https://secure.freee.co.jp/reports/general_ledgers/show?name=%E4%BF%9D%E9%99%BA%E6%96%99&amp;start_date=2025-09-01&amp;end_date=2025-09-30&amp;fiscal_year_id=9735915",8000)</f>
        <v>8000</v>
      </c>
      <c r="I26" s="30">
        <f>HYPERLINK("https://secure.freee.co.jp/reports/general_ledgers/show?name=%E4%BF%9D%E9%99%BA%E6%96%99&amp;start_date=2025-10-01&amp;end_date=2025-10-31&amp;fiscal_year_id=9735915",8000)</f>
        <v>8000</v>
      </c>
      <c r="J26" s="30">
        <f>HYPERLINK("https://secure.freee.co.jp/reports/general_ledgers/show?name=%E4%BF%9D%E9%99%BA%E6%96%99&amp;start_date=2025-11-01&amp;end_date=2025-11-30&amp;fiscal_year_id=9735915",8000)</f>
        <v>8000</v>
      </c>
      <c r="K26" s="30">
        <f>HYPERLINK("https://secure.freee.co.jp/reports/general_ledgers/show?name=%E4%BF%9D%E9%99%BA%E6%96%99&amp;start_date=2025-12-01&amp;end_date=2025-12-31&amp;fiscal_year_id=9735915",12000)</f>
        <v>12000</v>
      </c>
      <c r="L26" s="30">
        <f>HYPERLINK("https://secure.freee.co.jp/reports/general_ledgers/show?name=%E4%BF%9D%E9%99%BA%E6%96%99&amp;start_date=2026-01-01&amp;end_date=2026-01-31&amp;fiscal_year_id=9735915",10000)</f>
        <v>10000</v>
      </c>
      <c r="M26" s="36">
        <f>HYPERLINK("https://secure.freee.co.jp/reports/general_ledgers/show?name=%E4%BF%9D%E9%99%BA%E6%96%99&amp;start_date=2026-02-01&amp;end_date=2026-02-28&amp;fiscal_year_id=9735915",10000)</f>
        <v>10000</v>
      </c>
      <c r="N26" s="37">
        <f>SUM(B26:M26)</f>
        <v>104000</v>
      </c>
      <c r="O26" s="32" t="s">
        <v>437</v>
      </c>
    </row>
    <row r="27" spans="1:15" x14ac:dyDescent="0.25">
      <c r="A27" s="10" t="s">
        <v>518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0">
        <f>HYPERLINK("https://secure.freee.co.jp/reports/general_ledgers/show?name=%E7%A7%9F%E7%A8%8E%E5%85%AC%E8%AA%B2&amp;start_date=2025-10-01&amp;end_date=2025-10-31&amp;fiscal_year_id=9735915",1734200)</f>
        <v>1734200</v>
      </c>
      <c r="J27" s="43">
        <v>0</v>
      </c>
      <c r="K27" s="39">
        <v>0</v>
      </c>
      <c r="L27" s="39">
        <v>0</v>
      </c>
      <c r="M27" s="44">
        <v>0</v>
      </c>
      <c r="N27" s="37">
        <f>SUM(B27:M27)</f>
        <v>1734200</v>
      </c>
      <c r="O27" s="32" t="s">
        <v>437</v>
      </c>
    </row>
    <row r="28" spans="1:15" x14ac:dyDescent="0.25">
      <c r="A28" s="10" t="s">
        <v>519</v>
      </c>
      <c r="B28" s="30">
        <f>HYPERLINK("https://secure.freee.co.jp/reports/general_ledgers/show?name=%E6%94%AF%E6%89%95%E5%A0%B1%E9%85%AC%E6%96%99&amp;start_date=2025-03-01&amp;end_date=2025-03-31&amp;fiscal_year_id=9735915",59400)</f>
        <v>59400</v>
      </c>
      <c r="C28" s="30">
        <f>HYPERLINK("https://secure.freee.co.jp/reports/general_ledgers/show?name=%E6%94%AF%E6%89%95%E5%A0%B1%E9%85%AC%E6%96%99&amp;start_date=2025-04-01&amp;end_date=2025-04-30&amp;fiscal_year_id=9735915",59400)</f>
        <v>59400</v>
      </c>
      <c r="D28" s="33">
        <f>HYPERLINK("https://secure.freee.co.jp/reports/general_ledgers/show?name=%E6%94%AF%E6%89%95%E5%A0%B1%E9%85%AC%E6%96%99&amp;start_date=2025-05-01&amp;end_date=2025-05-31&amp;fiscal_year_id=9735915",240900)</f>
        <v>240900</v>
      </c>
      <c r="E28" s="33">
        <f>HYPERLINK("https://secure.freee.co.jp/reports/general_ledgers/show?name=%E6%94%AF%E6%89%95%E5%A0%B1%E9%85%AC%E6%96%99&amp;start_date=2025-06-01&amp;end_date=2025-06-30&amp;fiscal_year_id=9735915",68200)</f>
        <v>68200</v>
      </c>
      <c r="F28" s="30">
        <f>HYPERLINK("https://secure.freee.co.jp/reports/general_ledgers/show?name=%E6%94%AF%E6%89%95%E5%A0%B1%E9%85%AC%E6%96%99&amp;start_date=2025-07-01&amp;end_date=2025-07-31&amp;fiscal_year_id=9735915",68200)</f>
        <v>68200</v>
      </c>
      <c r="G28" s="30">
        <f>HYPERLINK("https://secure.freee.co.jp/reports/general_ledgers/show?name=%E6%94%AF%E6%89%95%E5%A0%B1%E9%85%AC%E6%96%99&amp;start_date=2025-08-01&amp;end_date=2025-08-31&amp;fiscal_year_id=9735915",73700)</f>
        <v>73700</v>
      </c>
      <c r="H28" s="30">
        <f>HYPERLINK("https://secure.freee.co.jp/reports/general_ledgers/show?name=%E6%94%AF%E6%89%95%E5%A0%B1%E9%85%AC%E6%96%99&amp;start_date=2025-09-01&amp;end_date=2025-09-30&amp;fiscal_year_id=9735915",68200)</f>
        <v>68200</v>
      </c>
      <c r="I28" s="30">
        <f>HYPERLINK("https://secure.freee.co.jp/reports/general_ledgers/show?name=%E6%94%AF%E6%89%95%E5%A0%B1%E9%85%AC%E6%96%99&amp;start_date=2025-10-01&amp;end_date=2025-10-31&amp;fiscal_year_id=9735915",68200)</f>
        <v>68200</v>
      </c>
      <c r="J28" s="33">
        <f>HYPERLINK("https://secure.freee.co.jp/reports/general_ledgers/show?name=%E6%94%AF%E6%89%95%E5%A0%B1%E9%85%AC%E6%96%99&amp;start_date=2025-11-01&amp;end_date=2025-11-30&amp;fiscal_year_id=9735915",178200)</f>
        <v>178200</v>
      </c>
      <c r="K28" s="30">
        <f>HYPERLINK("https://secure.freee.co.jp/reports/general_ledgers/show?name=%E6%94%AF%E6%89%95%E5%A0%B1%E9%85%AC%E6%96%99&amp;start_date=2025-12-01&amp;end_date=2025-12-31&amp;fiscal_year_id=9735915",183700)</f>
        <v>183700</v>
      </c>
      <c r="L28" s="30">
        <f>HYPERLINK("https://secure.freee.co.jp/reports/general_ledgers/show?name=%E6%94%AF%E6%89%95%E5%A0%B1%E9%85%AC%E6%96%99&amp;start_date=2026-01-01&amp;end_date=2026-01-31&amp;fiscal_year_id=9735915",178200)</f>
        <v>178200</v>
      </c>
      <c r="M28" s="36">
        <f>HYPERLINK("https://secure.freee.co.jp/reports/general_ledgers/show?name=%E6%94%AF%E6%89%95%E5%A0%B1%E9%85%AC%E6%96%99&amp;start_date=2026-02-01&amp;end_date=2026-02-28&amp;fiscal_year_id=9735915",225500)</f>
        <v>225500</v>
      </c>
      <c r="N28" s="37">
        <f>SUM(B28:M28)</f>
        <v>1471800</v>
      </c>
      <c r="O28" s="32" t="s">
        <v>437</v>
      </c>
    </row>
    <row r="29" spans="1:15" x14ac:dyDescent="0.25">
      <c r="A29" s="10" t="s">
        <v>520</v>
      </c>
      <c r="B29" s="30">
        <f>HYPERLINK("https://secure.freee.co.jp/reports/general_ledgers/show?name=%E7%A0%94%E7%A9%B6%E9%96%8B%E7%99%BA%E8%B2%BB&amp;start_date=2025-03-01&amp;end_date=2025-03-31&amp;fiscal_year_id=9735915",391612)</f>
        <v>391612</v>
      </c>
      <c r="C29" s="33">
        <f>HYPERLINK("https://secure.freee.co.jp/reports/general_ledgers/show?name=%E7%A0%94%E7%A9%B6%E9%96%8B%E7%99%BA%E8%B2%BB&amp;start_date=2025-04-01&amp;end_date=2025-04-30&amp;fiscal_year_id=9735915",78525)</f>
        <v>78525</v>
      </c>
      <c r="D29" s="30">
        <f>HYPERLINK("https://secure.freee.co.jp/reports/general_ledgers/show?name=%E7%A0%94%E7%A9%B6%E9%96%8B%E7%99%BA%E8%B2%BB&amp;start_date=2025-05-01&amp;end_date=2025-05-31&amp;fiscal_year_id=9735915",56213)</f>
        <v>56213</v>
      </c>
      <c r="E29" s="30">
        <f>HYPERLINK("https://secure.freee.co.jp/reports/general_ledgers/show?name=%E7%A0%94%E7%A9%B6%E9%96%8B%E7%99%BA%E8%B2%BB&amp;start_date=2025-06-01&amp;end_date=2025-06-30&amp;fiscal_year_id=9735915",41410)</f>
        <v>41410</v>
      </c>
      <c r="F29" s="30">
        <f>HYPERLINK("https://secure.freee.co.jp/reports/general_ledgers/show?name=%E7%A0%94%E7%A9%B6%E9%96%8B%E7%99%BA%E8%B2%BB&amp;start_date=2025-07-01&amp;end_date=2025-07-31&amp;fiscal_year_id=9735915",57830)</f>
        <v>57830</v>
      </c>
      <c r="G29" s="33">
        <f>HYPERLINK("https://secure.freee.co.jp/reports/general_ledgers/show?name=%E7%A0%94%E7%A9%B6%E9%96%8B%E7%99%BA%E8%B2%BB&amp;start_date=2025-08-01&amp;end_date=2025-08-31&amp;fiscal_year_id=9735915",163014)</f>
        <v>163014</v>
      </c>
      <c r="H29" s="30">
        <f>HYPERLINK("https://secure.freee.co.jp/reports/general_ledgers/show?name=%E7%A0%94%E7%A9%B6%E9%96%8B%E7%99%BA%E8%B2%BB&amp;start_date=2025-09-01&amp;end_date=2025-09-30&amp;fiscal_year_id=9735915",85511)</f>
        <v>85511</v>
      </c>
      <c r="I29" s="33">
        <f>HYPERLINK("https://secure.freee.co.jp/reports/general_ledgers/show?name=%E7%A0%94%E7%A9%B6%E9%96%8B%E7%99%BA%E8%B2%BB&amp;start_date=2025-10-01&amp;end_date=2025-10-31&amp;fiscal_year_id=9735915",340568)</f>
        <v>340568</v>
      </c>
      <c r="J29" s="33">
        <f>HYPERLINK("https://secure.freee.co.jp/reports/general_ledgers/show?name=%E7%A0%94%E7%A9%B6%E9%96%8B%E7%99%BA%E8%B2%BB&amp;start_date=2025-11-01&amp;end_date=2025-11-30&amp;fiscal_year_id=9735915",47740)</f>
        <v>47740</v>
      </c>
      <c r="K29" s="33">
        <f>HYPERLINK("https://secure.freee.co.jp/reports/general_ledgers/show?name=%E7%A0%94%E7%A9%B6%E9%96%8B%E7%99%BA%E8%B2%BB&amp;start_date=2025-12-01&amp;end_date=2025-12-31&amp;fiscal_year_id=9735915",225322)</f>
        <v>225322</v>
      </c>
      <c r="L29" s="30">
        <f>HYPERLINK("https://secure.freee.co.jp/reports/general_ledgers/show?name=%E7%A0%94%E7%A9%B6%E9%96%8B%E7%99%BA%E8%B2%BB&amp;start_date=2026-01-01&amp;end_date=2026-01-31&amp;fiscal_year_id=9735915",239686)</f>
        <v>239686</v>
      </c>
      <c r="M29" s="33">
        <f>HYPERLINK("https://secure.freee.co.jp/reports/general_ledgers/show?name=%E7%A0%94%E7%A9%B6%E9%96%8B%E7%99%BA%E8%B2%BB&amp;start_date=2026-02-01&amp;end_date=2026-02-28&amp;fiscal_year_id=9735915",802978)</f>
        <v>802978</v>
      </c>
      <c r="N29" s="37">
        <f>SUM(B29:M29)</f>
        <v>2530409</v>
      </c>
      <c r="O29" s="32" t="s">
        <v>437</v>
      </c>
    </row>
    <row r="30" spans="1:15" x14ac:dyDescent="0.25">
      <c r="A30" s="10" t="s">
        <v>521</v>
      </c>
      <c r="B30" s="30">
        <f>HYPERLINK("https://secure.freee.co.jp/reports/general_ledgers/show?name=%E6%B8%9B%E4%BE%A1%E5%84%9F%E5%8D%B4%E8%B2%BB&amp;start_date=2025-03-01&amp;end_date=2025-03-31&amp;fiscal_year_id=9735915",4885)</f>
        <v>4885</v>
      </c>
      <c r="C30" s="30">
        <f>HYPERLINK("https://secure.freee.co.jp/reports/general_ledgers/show?name=%E6%B8%9B%E4%BE%A1%E5%84%9F%E5%8D%B4%E8%B2%BB&amp;start_date=2025-04-01&amp;end_date=2025-04-30&amp;fiscal_year_id=9735915",4885)</f>
        <v>4885</v>
      </c>
      <c r="D30" s="30">
        <f>HYPERLINK("https://secure.freee.co.jp/reports/general_ledgers/show?name=%E6%B8%9B%E4%BE%A1%E5%84%9F%E5%8D%B4%E8%B2%BB&amp;start_date=2025-05-01&amp;end_date=2025-05-31&amp;fiscal_year_id=9735915",4885)</f>
        <v>4885</v>
      </c>
      <c r="E30" s="30">
        <f>HYPERLINK("https://secure.freee.co.jp/reports/general_ledgers/show?name=%E6%B8%9B%E4%BE%A1%E5%84%9F%E5%8D%B4%E8%B2%BB&amp;start_date=2025-06-01&amp;end_date=2025-06-30&amp;fiscal_year_id=9735915",4885)</f>
        <v>4885</v>
      </c>
      <c r="F30" s="30">
        <f>HYPERLINK("https://secure.freee.co.jp/reports/general_ledgers/show?name=%E6%B8%9B%E4%BE%A1%E5%84%9F%E5%8D%B4%E8%B2%BB&amp;start_date=2025-07-01&amp;end_date=2025-07-31&amp;fiscal_year_id=9735915",4885)</f>
        <v>4885</v>
      </c>
      <c r="G30" s="30">
        <f>HYPERLINK("https://secure.freee.co.jp/reports/general_ledgers/show?name=%E6%B8%9B%E4%BE%A1%E5%84%9F%E5%8D%B4%E8%B2%BB&amp;start_date=2025-08-01&amp;end_date=2025-08-31&amp;fiscal_year_id=9735915",4885)</f>
        <v>4885</v>
      </c>
      <c r="H30" s="30">
        <f>HYPERLINK("https://secure.freee.co.jp/reports/general_ledgers/show?name=%E6%B8%9B%E4%BE%A1%E5%84%9F%E5%8D%B4%E8%B2%BB&amp;start_date=2025-09-01&amp;end_date=2025-09-30&amp;fiscal_year_id=9735915",4885)</f>
        <v>4885</v>
      </c>
      <c r="I30" s="30">
        <f>HYPERLINK("https://secure.freee.co.jp/reports/general_ledgers/show?name=%E6%B8%9B%E4%BE%A1%E5%84%9F%E5%8D%B4%E8%B2%BB&amp;start_date=2025-10-01&amp;end_date=2025-10-31&amp;fiscal_year_id=9735915",4885)</f>
        <v>4885</v>
      </c>
      <c r="J30" s="30">
        <f>HYPERLINK("https://secure.freee.co.jp/reports/general_ledgers/show?name=%E6%B8%9B%E4%BE%A1%E5%84%9F%E5%8D%B4%E8%B2%BB&amp;start_date=2025-11-01&amp;end_date=2025-11-30&amp;fiscal_year_id=9735915",4885)</f>
        <v>4885</v>
      </c>
      <c r="K30" s="30">
        <f>HYPERLINK("https://secure.freee.co.jp/reports/general_ledgers/show?name=%E6%B8%9B%E4%BE%A1%E5%84%9F%E5%8D%B4%E8%B2%BB&amp;start_date=2025-12-01&amp;end_date=2025-12-31&amp;fiscal_year_id=9735915",4885)</f>
        <v>4885</v>
      </c>
      <c r="L30" s="30">
        <f>HYPERLINK("https://secure.freee.co.jp/reports/general_ledgers/show?name=%E6%B8%9B%E4%BE%A1%E5%84%9F%E5%8D%B4%E8%B2%BB&amp;start_date=2026-01-01&amp;end_date=2026-01-31&amp;fiscal_year_id=9735915",4885)</f>
        <v>4885</v>
      </c>
      <c r="M30" s="36">
        <f>HYPERLINK("https://secure.freee.co.jp/reports/general_ledgers/show?name=%E6%B8%9B%E4%BE%A1%E5%84%9F%E5%8D%B4%E8%B2%BB&amp;start_date=2026-02-01&amp;end_date=2026-02-28&amp;fiscal_year_id=9735915",4885)</f>
        <v>4885</v>
      </c>
      <c r="N30" s="37">
        <f>SUM(B30:M30)</f>
        <v>58620</v>
      </c>
      <c r="O30" s="32" t="s">
        <v>437</v>
      </c>
    </row>
    <row r="31" spans="1:15" x14ac:dyDescent="0.25">
      <c r="A31" s="40" t="s">
        <v>522</v>
      </c>
      <c r="B31" s="41">
        <v>2896413</v>
      </c>
      <c r="C31" s="41">
        <v>2793117</v>
      </c>
      <c r="D31" s="41">
        <v>2636460</v>
      </c>
      <c r="E31" s="41">
        <v>4687538</v>
      </c>
      <c r="F31" s="41">
        <v>5560672</v>
      </c>
      <c r="G31" s="41">
        <v>2918390</v>
      </c>
      <c r="H31" s="41">
        <v>5334662</v>
      </c>
      <c r="I31" s="41">
        <v>13061828</v>
      </c>
      <c r="J31" s="41">
        <v>18436204</v>
      </c>
      <c r="K31" s="41">
        <v>6631082</v>
      </c>
      <c r="L31" s="41">
        <v>5462236</v>
      </c>
      <c r="M31" s="41">
        <v>13881695</v>
      </c>
      <c r="N31" s="41">
        <f>SUM(B31:M31)</f>
        <v>84300297</v>
      </c>
      <c r="O31" s="42"/>
    </row>
    <row r="32" spans="1:15" x14ac:dyDescent="0.25">
      <c r="A32" s="40" t="s">
        <v>523</v>
      </c>
      <c r="B32" s="41">
        <v>-1437649</v>
      </c>
      <c r="C32" s="41">
        <v>1445674</v>
      </c>
      <c r="D32" s="41">
        <v>22275970</v>
      </c>
      <c r="E32" s="41">
        <v>15062906</v>
      </c>
      <c r="F32" s="41">
        <v>11204629</v>
      </c>
      <c r="G32" s="41">
        <v>5104036</v>
      </c>
      <c r="H32" s="41">
        <v>11757598</v>
      </c>
      <c r="I32" s="41">
        <v>-10816828</v>
      </c>
      <c r="J32" s="41">
        <v>15240628</v>
      </c>
      <c r="K32" s="41">
        <v>-2586959</v>
      </c>
      <c r="L32" s="41">
        <v>-10613732</v>
      </c>
      <c r="M32" s="41">
        <v>4991989</v>
      </c>
      <c r="N32" s="41">
        <f>SUM(B32:M32)</f>
        <v>61628262</v>
      </c>
      <c r="O32" s="42"/>
    </row>
    <row r="33" spans="1:15" x14ac:dyDescent="0.25">
      <c r="A33" s="10" t="s">
        <v>524</v>
      </c>
      <c r="B33" s="30">
        <f>HYPERLINK("https://secure.freee.co.jp/reports/general_ledgers/show?name=%E5%8F%97%E5%8F%96%E5%88%A9%E6%81%AF&amp;start_date=2025-03-01&amp;end_date=2025-03-31&amp;fiscal_year_id=9735915",6399)</f>
        <v>6399</v>
      </c>
      <c r="C33" s="33">
        <f>HYPERLINK("https://secure.freee.co.jp/reports/general_ledgers/show?name=%E5%8F%97%E5%8F%96%E5%88%A9%E6%81%AF&amp;start_date=2025-04-01&amp;end_date=2025-04-30&amp;fiscal_year_id=9735915",9916)</f>
        <v>9916</v>
      </c>
      <c r="D33" s="30">
        <f>HYPERLINK("https://secure.freee.co.jp/reports/general_ledgers/show?name=%E5%8F%97%E5%8F%96%E5%88%A9%E6%81%AF&amp;start_date=2025-05-01&amp;end_date=2025-05-31&amp;fiscal_year_id=9735915",5395)</f>
        <v>5395</v>
      </c>
      <c r="E33" s="30">
        <f>HYPERLINK("https://secure.freee.co.jp/reports/general_ledgers/show?name=%E5%8F%97%E5%8F%96%E5%88%A9%E6%81%AF&amp;start_date=2025-06-01&amp;end_date=2025-06-30&amp;fiscal_year_id=9735915",5584)</f>
        <v>5584</v>
      </c>
      <c r="F33" s="30">
        <f>HYPERLINK("https://secure.freee.co.jp/reports/general_ledgers/show?name=%E5%8F%97%E5%8F%96%E5%88%A9%E6%81%AF&amp;start_date=2025-07-01&amp;end_date=2025-07-31&amp;fiscal_year_id=9735915",5560)</f>
        <v>5560</v>
      </c>
      <c r="G33" s="30">
        <f>HYPERLINK("https://secure.freee.co.jp/reports/general_ledgers/show?name=%E5%8F%97%E5%8F%96%E5%88%A9%E6%81%AF&amp;start_date=2025-08-01&amp;end_date=2025-08-31&amp;fiscal_year_id=9735915",7005)</f>
        <v>7005</v>
      </c>
      <c r="H33" s="33">
        <f>HYPERLINK("https://secure.freee.co.jp/reports/general_ledgers/show?name=%E5%8F%97%E5%8F%96%E5%88%A9%E6%81%AF&amp;start_date=2025-09-01&amp;end_date=2025-09-30&amp;fiscal_year_id=9735915",14311)</f>
        <v>14311</v>
      </c>
      <c r="I33" s="30">
        <f>HYPERLINK("https://secure.freee.co.jp/reports/general_ledgers/show?name=%E5%8F%97%E5%8F%96%E5%88%A9%E6%81%AF&amp;start_date=2025-10-01&amp;end_date=2025-10-31&amp;fiscal_year_id=9735915",12269)</f>
        <v>12269</v>
      </c>
      <c r="J33" s="30">
        <f>HYPERLINK("https://secure.freee.co.jp/reports/general_ledgers/show?name=%E5%8F%97%E5%8F%96%E5%88%A9%E6%81%AF&amp;start_date=2025-11-01&amp;end_date=2025-11-30&amp;fiscal_year_id=9735915",16005)</f>
        <v>16005</v>
      </c>
      <c r="K33" s="30">
        <f>HYPERLINK("https://secure.freee.co.jp/reports/general_ledgers/show?name=%E5%8F%97%E5%8F%96%E5%88%A9%E6%81%AF&amp;start_date=2025-12-01&amp;end_date=2025-12-31&amp;fiscal_year_id=9735915",16090)</f>
        <v>16090</v>
      </c>
      <c r="L33" s="30">
        <f>HYPERLINK("https://secure.freee.co.jp/reports/general_ledgers/show?name=%E5%8F%97%E5%8F%96%E5%88%A9%E6%81%AF&amp;start_date=2026-01-01&amp;end_date=2026-01-31&amp;fiscal_year_id=9735915",14722)</f>
        <v>14722</v>
      </c>
      <c r="M33" s="36">
        <f>HYPERLINK("https://secure.freee.co.jp/reports/general_ledgers/show?name=%E5%8F%97%E5%8F%96%E5%88%A9%E6%81%AF&amp;start_date=2026-02-01&amp;end_date=2026-02-28&amp;fiscal_year_id=9735915",18848)</f>
        <v>18848</v>
      </c>
      <c r="N33" s="37">
        <f>SUM(B33:M33)</f>
        <v>132104</v>
      </c>
      <c r="O33" s="32" t="s">
        <v>437</v>
      </c>
    </row>
    <row r="34" spans="1:15" x14ac:dyDescent="0.25">
      <c r="A34" s="10" t="s">
        <v>525</v>
      </c>
      <c r="B34" s="30">
        <v>6399</v>
      </c>
      <c r="C34" s="30">
        <v>9916</v>
      </c>
      <c r="D34" s="30">
        <v>5395</v>
      </c>
      <c r="E34" s="30">
        <v>5584</v>
      </c>
      <c r="F34" s="30">
        <v>5560</v>
      </c>
      <c r="G34" s="30">
        <v>7005</v>
      </c>
      <c r="H34" s="30">
        <v>14311</v>
      </c>
      <c r="I34" s="30">
        <v>12269</v>
      </c>
      <c r="J34" s="30">
        <v>16005</v>
      </c>
      <c r="K34" s="30">
        <v>16090</v>
      </c>
      <c r="L34" s="30">
        <v>14722</v>
      </c>
      <c r="M34" s="36">
        <v>18848</v>
      </c>
      <c r="N34" s="37">
        <f>SUM(B34:M34)</f>
        <v>132104</v>
      </c>
      <c r="O34" s="38"/>
    </row>
    <row r="35" spans="1:15" x14ac:dyDescent="0.25">
      <c r="A35" s="10" t="s">
        <v>526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44">
        <v>0</v>
      </c>
      <c r="N35" s="37">
        <f>SUM(B35:M35)</f>
        <v>0</v>
      </c>
      <c r="O35" s="38"/>
    </row>
    <row r="36" spans="1:15" x14ac:dyDescent="0.25">
      <c r="A36" s="40" t="s">
        <v>527</v>
      </c>
      <c r="B36" s="41">
        <v>-1431250</v>
      </c>
      <c r="C36" s="41">
        <v>1455590</v>
      </c>
      <c r="D36" s="41">
        <v>22281365</v>
      </c>
      <c r="E36" s="41">
        <v>15068490</v>
      </c>
      <c r="F36" s="41">
        <v>11210189</v>
      </c>
      <c r="G36" s="41">
        <v>5111041</v>
      </c>
      <c r="H36" s="41">
        <v>11771909</v>
      </c>
      <c r="I36" s="41">
        <v>-10804559</v>
      </c>
      <c r="J36" s="41">
        <v>15256633</v>
      </c>
      <c r="K36" s="41">
        <v>-2570869</v>
      </c>
      <c r="L36" s="41">
        <v>-10599010</v>
      </c>
      <c r="M36" s="41">
        <v>5010837</v>
      </c>
      <c r="N36" s="41">
        <f>SUM(B36:M36)</f>
        <v>61760366</v>
      </c>
      <c r="O36" s="42"/>
    </row>
    <row r="37" spans="1:15" x14ac:dyDescent="0.25">
      <c r="A37" s="10" t="s">
        <v>528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44">
        <v>0</v>
      </c>
      <c r="N37" s="37">
        <f>SUM(B37:M37)</f>
        <v>0</v>
      </c>
      <c r="O37" s="38"/>
    </row>
    <row r="38" spans="1:15" x14ac:dyDescent="0.25">
      <c r="A38" s="10" t="s">
        <v>529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44">
        <v>0</v>
      </c>
      <c r="N38" s="37">
        <f>SUM(B38:M38)</f>
        <v>0</v>
      </c>
      <c r="O38" s="38"/>
    </row>
    <row r="39" spans="1:15" x14ac:dyDescent="0.25">
      <c r="A39" s="40" t="s">
        <v>530</v>
      </c>
      <c r="B39" s="41">
        <v>-1431250</v>
      </c>
      <c r="C39" s="41">
        <v>1455590</v>
      </c>
      <c r="D39" s="41">
        <v>22281365</v>
      </c>
      <c r="E39" s="41">
        <v>15068490</v>
      </c>
      <c r="F39" s="41">
        <v>11210189</v>
      </c>
      <c r="G39" s="41">
        <v>5111041</v>
      </c>
      <c r="H39" s="41">
        <v>11771909</v>
      </c>
      <c r="I39" s="41">
        <v>-10804559</v>
      </c>
      <c r="J39" s="41">
        <v>15256633</v>
      </c>
      <c r="K39" s="41">
        <v>-2570869</v>
      </c>
      <c r="L39" s="41">
        <v>-10599010</v>
      </c>
      <c r="M39" s="41">
        <v>5010837</v>
      </c>
      <c r="N39" s="41">
        <f>SUM(B39:M39)</f>
        <v>61760366</v>
      </c>
      <c r="O39" s="42"/>
    </row>
    <row r="40" spans="1:15" x14ac:dyDescent="0.25">
      <c r="A40" s="10" t="s">
        <v>531</v>
      </c>
      <c r="B40" s="30">
        <f>HYPERLINK("https://secure.freee.co.jp/reports/general_ledgers/show?name=%E6%B3%95%E4%BA%BA%E7%A8%8E%E3%83%BB%E4%BD%8F%E6%B0%91%E7%A8%8E%E5%8F%8A%E3%81%B3%E4%BA%8B%E6%A5%AD%E7%A8%8E&amp;start_date=2025-03-01&amp;end_date=2025-03-31&amp;fiscal_year_id=9735915",980)</f>
        <v>980</v>
      </c>
      <c r="C40" s="33">
        <f>HYPERLINK("https://secure.freee.co.jp/reports/general_ledgers/show?name=%E6%B3%95%E4%BA%BA%E7%A8%8E%E3%83%BB%E4%BD%8F%E6%B0%91%E7%A8%8E%E5%8F%8A%E3%81%B3%E4%BA%8B%E6%A5%AD%E7%A8%8E&amp;start_date=2025-04-01&amp;end_date=2025-04-30&amp;fiscal_year_id=9735915",1518)</f>
        <v>1518</v>
      </c>
      <c r="D40" s="30">
        <f>HYPERLINK("https://secure.freee.co.jp/reports/general_ledgers/show?name=%E6%B3%95%E4%BA%BA%E7%A8%8E%E3%83%BB%E4%BD%8F%E6%B0%91%E7%A8%8E%E5%8F%8A%E3%81%B3%E4%BA%8B%E6%A5%AD%E7%A8%8E&amp;start_date=2025-05-01&amp;end_date=2025-05-31&amp;fiscal_year_id=9735915",826)</f>
        <v>826</v>
      </c>
      <c r="E40" s="30">
        <f>HYPERLINK("https://secure.freee.co.jp/reports/general_ledgers/show?name=%E6%B3%95%E4%BA%BA%E7%A8%8E%E3%83%BB%E4%BD%8F%E6%B0%91%E7%A8%8E%E5%8F%8A%E3%81%B3%E4%BA%8B%E6%A5%AD%E7%A8%8E&amp;start_date=2025-06-01&amp;end_date=2025-06-30&amp;fiscal_year_id=9735915",855)</f>
        <v>855</v>
      </c>
      <c r="F40" s="30">
        <f>HYPERLINK("https://secure.freee.co.jp/reports/general_ledgers/show?name=%E6%B3%95%E4%BA%BA%E7%A8%8E%E3%83%BB%E4%BD%8F%E6%B0%91%E7%A8%8E%E5%8F%8A%E3%81%B3%E4%BA%8B%E6%A5%AD%E7%A8%8E&amp;start_date=2025-07-01&amp;end_date=2025-07-31&amp;fiscal_year_id=9735915",851)</f>
        <v>851</v>
      </c>
      <c r="G40" s="30">
        <f>HYPERLINK("https://secure.freee.co.jp/reports/general_ledgers/show?name=%E6%B3%95%E4%BA%BA%E7%A8%8E%E3%83%BB%E4%BD%8F%E6%B0%91%E7%A8%8E%E5%8F%8A%E3%81%B3%E4%BA%8B%E6%A5%AD%E7%A8%8E&amp;start_date=2025-08-01&amp;end_date=2025-08-31&amp;fiscal_year_id=9735915",1072)</f>
        <v>1072</v>
      </c>
      <c r="H40" s="33">
        <f>HYPERLINK("https://secure.freee.co.jp/reports/general_ledgers/show?name=%E6%B3%95%E4%BA%BA%E7%A8%8E%E3%83%BB%E4%BD%8F%E6%B0%91%E7%A8%8E%E5%8F%8A%E3%81%B3%E4%BA%8B%E6%A5%AD%E7%A8%8E&amp;start_date=2025-09-01&amp;end_date=2025-09-30&amp;fiscal_year_id=9735915",2191)</f>
        <v>2191</v>
      </c>
      <c r="I40" s="33">
        <f>HYPERLINK("https://secure.freee.co.jp/reports/general_ledgers/show?name=%E6%B3%95%E4%BA%BA%E7%A8%8E%E3%83%BB%E4%BD%8F%E6%B0%91%E7%A8%8E%E5%8F%8A%E3%81%B3%E4%BA%8B%E6%A5%AD%E7%A8%8E&amp;start_date=2025-10-01&amp;end_date=2025-10-31&amp;fiscal_year_id=9735915",8965478)</f>
        <v>8965478</v>
      </c>
      <c r="J40" s="33">
        <f>HYPERLINK("https://secure.freee.co.jp/reports/general_ledgers/show?name=%E6%B3%95%E4%BA%BA%E7%A8%8E%E3%83%BB%E4%BD%8F%E6%B0%91%E7%A8%8E%E5%8F%8A%E3%81%B3%E4%BA%8B%E6%A5%AD%E7%A8%8E&amp;start_date=2025-11-01&amp;end_date=2025-11-30&amp;fiscal_year_id=9735915",4526)</f>
        <v>4526</v>
      </c>
      <c r="K40" s="30">
        <f>HYPERLINK("https://secure.freee.co.jp/reports/general_ledgers/show?name=%E6%B3%95%E4%BA%BA%E7%A8%8E%E3%83%BB%E4%BD%8F%E6%B0%91%E7%A8%8E%E5%8F%8A%E3%81%B3%E4%BA%8B%E6%A5%AD%E7%A8%8E&amp;start_date=2025-12-01&amp;end_date=2025-12-31&amp;fiscal_year_id=9735915",4550)</f>
        <v>4550</v>
      </c>
      <c r="L40" s="30">
        <f>HYPERLINK("https://secure.freee.co.jp/reports/general_ledgers/show?name=%E6%B3%95%E4%BA%BA%E7%A8%8E%E3%83%BB%E4%BD%8F%E6%B0%91%E7%A8%8E%E5%8F%8A%E3%81%B3%E4%BA%8B%E6%A5%AD%E7%A8%8E&amp;start_date=2026-01-01&amp;end_date=2026-01-31&amp;fiscal_year_id=9735915",4163)</f>
        <v>4163</v>
      </c>
      <c r="M40" s="36">
        <f>HYPERLINK("https://secure.freee.co.jp/reports/general_ledgers/show?name=%E6%B3%95%E4%BA%BA%E7%A8%8E%E3%83%BB%E4%BD%8F%E6%B0%91%E7%A8%8E%E5%8F%8A%E3%81%B3%E4%BA%8B%E6%A5%AD%E7%A8%8E&amp;start_date=2026-02-01&amp;end_date=2026-02-28&amp;fiscal_year_id=9735915",2886)</f>
        <v>2886</v>
      </c>
      <c r="N40" s="37">
        <f>SUM(B40:M40)</f>
        <v>8989896</v>
      </c>
      <c r="O40" s="32" t="s">
        <v>437</v>
      </c>
    </row>
    <row r="41" spans="1:15" x14ac:dyDescent="0.25">
      <c r="A41" s="10" t="s">
        <v>532</v>
      </c>
      <c r="B41" s="30">
        <v>980</v>
      </c>
      <c r="C41" s="30">
        <v>1518</v>
      </c>
      <c r="D41" s="30">
        <v>826</v>
      </c>
      <c r="E41" s="30">
        <v>855</v>
      </c>
      <c r="F41" s="30">
        <v>851</v>
      </c>
      <c r="G41" s="30">
        <v>1072</v>
      </c>
      <c r="H41" s="30">
        <v>2191</v>
      </c>
      <c r="I41" s="30">
        <v>8965478</v>
      </c>
      <c r="J41" s="30">
        <v>4526</v>
      </c>
      <c r="K41" s="30">
        <v>4550</v>
      </c>
      <c r="L41" s="30">
        <v>4163</v>
      </c>
      <c r="M41" s="36">
        <v>2886</v>
      </c>
      <c r="N41" s="37">
        <f>SUM(B41:M41)</f>
        <v>8989896</v>
      </c>
      <c r="O41" s="38"/>
    </row>
    <row r="42" spans="1:15" x14ac:dyDescent="0.25">
      <c r="A42" s="40" t="s">
        <v>533</v>
      </c>
      <c r="B42" s="41">
        <v>-1432230</v>
      </c>
      <c r="C42" s="41">
        <v>1454072</v>
      </c>
      <c r="D42" s="41">
        <v>22280539</v>
      </c>
      <c r="E42" s="41">
        <v>15067635</v>
      </c>
      <c r="F42" s="41">
        <v>11209338</v>
      </c>
      <c r="G42" s="41">
        <v>5109969</v>
      </c>
      <c r="H42" s="41">
        <v>11769718</v>
      </c>
      <c r="I42" s="41">
        <v>-19770037</v>
      </c>
      <c r="J42" s="41">
        <v>15252107</v>
      </c>
      <c r="K42" s="41">
        <v>-2575419</v>
      </c>
      <c r="L42" s="41">
        <v>-10603173</v>
      </c>
      <c r="M42" s="41">
        <v>5007951</v>
      </c>
      <c r="N42" s="41">
        <f>SUM(B42:M42)</f>
        <v>52770470</v>
      </c>
      <c r="O42" s="42"/>
    </row>
    <row r="43" spans="1:15" x14ac:dyDescent="0.25">
      <c r="A43" s="10" t="s">
        <v>534</v>
      </c>
      <c r="B43" s="30">
        <f>HYPERLINK("https://secure.freee.co.jp/reports/general_ledgers/show?name=%E4%BB%95%E5%85%A5%E9%AB%98&amp;start_date=2025-03-01&amp;end_date=2025-03-31&amp;fiscal_year_id=9735915",841060)</f>
        <v>841060</v>
      </c>
      <c r="C43" s="33">
        <f>HYPERLINK("https://secure.freee.co.jp/reports/general_ledgers/show?name=%E4%BB%95%E5%85%A5%E9%AB%98&amp;start_date=2025-04-01&amp;end_date=2025-04-30&amp;fiscal_year_id=9735915",9505226)</f>
        <v>9505226</v>
      </c>
      <c r="D43" s="33">
        <f>HYPERLINK("https://secure.freee.co.jp/reports/general_ledgers/show?name=%E4%BB%95%E5%85%A5%E9%AB%98&amp;start_date=2025-05-01&amp;end_date=2025-05-31&amp;fiscal_year_id=9735915",33372164)</f>
        <v>33372164</v>
      </c>
      <c r="E43" s="33">
        <f>HYPERLINK("https://secure.freee.co.jp/reports/general_ledgers/show?name=%E4%BB%95%E5%85%A5%E9%AB%98&amp;start_date=2025-06-01&amp;end_date=2025-06-30&amp;fiscal_year_id=9735915",6663646)</f>
        <v>6663646</v>
      </c>
      <c r="F43" s="30">
        <f>HYPERLINK("https://secure.freee.co.jp/reports/general_ledgers/show?name=%E4%BB%95%E5%85%A5%E9%AB%98&amp;start_date=2025-07-01&amp;end_date=2025-07-31&amp;fiscal_year_id=9735915",5668867)</f>
        <v>5668867</v>
      </c>
      <c r="G43" s="33">
        <f>HYPERLINK("https://secure.freee.co.jp/reports/general_ledgers/show?name=%E4%BB%95%E5%85%A5%E9%AB%98&amp;start_date=2025-08-01&amp;end_date=2025-08-31&amp;fiscal_year_id=9735915",547216)</f>
        <v>547216</v>
      </c>
      <c r="H43" s="33">
        <f>HYPERLINK("https://secure.freee.co.jp/reports/general_ledgers/show?name=%E4%BB%95%E5%85%A5%E9%AB%98&amp;start_date=2025-09-01&amp;end_date=2025-09-30&amp;fiscal_year_id=9735915",31454337)</f>
        <v>31454337</v>
      </c>
      <c r="I43" s="43">
        <v>0</v>
      </c>
      <c r="J43" s="30">
        <f>HYPERLINK("https://secure.freee.co.jp/reports/general_ledgers/show?name=%E4%BB%95%E5%85%A5%E9%AB%98&amp;start_date=2025-11-01&amp;end_date=2025-11-30&amp;fiscal_year_id=9735915",12994377)</f>
        <v>12994377</v>
      </c>
      <c r="K43" s="33">
        <f>HYPERLINK("https://secure.freee.co.jp/reports/general_ledgers/show?name=%E4%BB%95%E5%85%A5%E9%AB%98&amp;start_date=2025-12-01&amp;end_date=2025-12-31&amp;fiscal_year_id=9735915",3279892)</f>
        <v>3279892</v>
      </c>
      <c r="L43" s="33">
        <f>HYPERLINK("https://secure.freee.co.jp/reports/general_ledgers/show?name=%E4%BB%95%E5%85%A5%E9%AB%98&amp;start_date=2026-01-01&amp;end_date=2026-01-31&amp;fiscal_year_id=9735915",8028926)</f>
        <v>8028926</v>
      </c>
      <c r="M43" s="33">
        <f>HYPERLINK("https://secure.freee.co.jp/reports/general_ledgers/show?name=%E4%BB%95%E5%85%A5%E9%AB%98&amp;start_date=2026-02-01&amp;end_date=2026-02-28&amp;fiscal_year_id=9735915",2600579)</f>
        <v>2600579</v>
      </c>
      <c r="N43" s="37">
        <f>SUM(B43:M43)</f>
        <v>114956290</v>
      </c>
      <c r="O43" s="32" t="s">
        <v>437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3" r:id="rId25"/>
    <hyperlink ref="O40" r:id="rId26"/>
    <hyperlink ref="O43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431</v>
      </c>
      <c r="B1" s="5" t="s">
        <v>535</v>
      </c>
      <c r="C1" s="5" t="s">
        <v>536</v>
      </c>
      <c r="D1" s="5" t="s">
        <v>537</v>
      </c>
    </row>
    <row r="2" spans="1:4" x14ac:dyDescent="0.25">
      <c r="A2" s="10" t="s">
        <v>443</v>
      </c>
      <c r="B2" s="10" t="s">
        <v>538</v>
      </c>
      <c r="C2" s="30">
        <v>13887940</v>
      </c>
      <c r="D2" s="10" t="s">
        <v>6</v>
      </c>
    </row>
    <row r="3" spans="1:4" x14ac:dyDescent="0.25">
      <c r="A3" s="10" t="s">
        <v>459</v>
      </c>
      <c r="B3" s="10" t="s">
        <v>539</v>
      </c>
      <c r="C3" s="30">
        <v>5013360</v>
      </c>
      <c r="D3" s="10" t="s">
        <v>6</v>
      </c>
    </row>
    <row r="4" spans="1:4" x14ac:dyDescent="0.25">
      <c r="A4" s="10" t="s">
        <v>443</v>
      </c>
      <c r="B4" s="10" t="s">
        <v>540</v>
      </c>
      <c r="C4" s="30">
        <v>4591830</v>
      </c>
      <c r="D4" s="10" t="s">
        <v>6</v>
      </c>
    </row>
    <row r="5" spans="1:4" x14ac:dyDescent="0.25">
      <c r="A5" s="10" t="s">
        <v>461</v>
      </c>
      <c r="B5" s="10" t="s">
        <v>541</v>
      </c>
      <c r="C5" s="30">
        <v>2409438</v>
      </c>
      <c r="D5" s="10" t="s">
        <v>6</v>
      </c>
    </row>
    <row r="6" spans="1:4" x14ac:dyDescent="0.25">
      <c r="A6" s="10" t="s">
        <v>459</v>
      </c>
      <c r="B6" s="10" t="s">
        <v>542</v>
      </c>
      <c r="C6" s="30">
        <v>1874400</v>
      </c>
      <c r="D6" s="14" t="s">
        <v>543</v>
      </c>
    </row>
    <row r="7" spans="1:4" x14ac:dyDescent="0.25">
      <c r="A7" s="10" t="s">
        <v>459</v>
      </c>
      <c r="B7" s="10" t="s">
        <v>544</v>
      </c>
      <c r="C7" s="30">
        <v>1273536</v>
      </c>
      <c r="D7" s="14" t="s">
        <v>543</v>
      </c>
    </row>
    <row r="8" spans="1:4" x14ac:dyDescent="0.25">
      <c r="A8" s="10" t="s">
        <v>443</v>
      </c>
      <c r="B8" s="10" t="s">
        <v>544</v>
      </c>
      <c r="C8" s="30">
        <v>1265000</v>
      </c>
      <c r="D8" s="14" t="s">
        <v>543</v>
      </c>
    </row>
    <row r="9" spans="1:4" x14ac:dyDescent="0.25">
      <c r="A9" s="10" t="s">
        <v>443</v>
      </c>
      <c r="B9" s="10" t="s">
        <v>545</v>
      </c>
      <c r="C9" s="30">
        <v>1200000</v>
      </c>
      <c r="D9" s="10" t="s">
        <v>6</v>
      </c>
    </row>
    <row r="10" spans="1:4" x14ac:dyDescent="0.25">
      <c r="A10" s="10" t="s">
        <v>461</v>
      </c>
      <c r="B10" s="10" t="s">
        <v>546</v>
      </c>
      <c r="C10" s="30">
        <v>902110</v>
      </c>
      <c r="D10" s="10" t="s">
        <v>6</v>
      </c>
    </row>
    <row r="11" spans="1:4" x14ac:dyDescent="0.25">
      <c r="A11" s="10" t="s">
        <v>459</v>
      </c>
      <c r="B11" s="10" t="s">
        <v>547</v>
      </c>
      <c r="C11" s="30">
        <v>519970</v>
      </c>
      <c r="D11" s="10" t="s">
        <v>6</v>
      </c>
    </row>
    <row r="12" spans="1:4" x14ac:dyDescent="0.25">
      <c r="A12" s="10" t="s">
        <v>443</v>
      </c>
      <c r="B12" s="10" t="s">
        <v>548</v>
      </c>
      <c r="C12" s="30">
        <v>500000</v>
      </c>
      <c r="D12" s="10" t="s">
        <v>6</v>
      </c>
    </row>
    <row r="13" spans="1:4" x14ac:dyDescent="0.25">
      <c r="A13" s="10" t="s">
        <v>443</v>
      </c>
      <c r="B13" s="10" t="s">
        <v>549</v>
      </c>
      <c r="C13" s="30">
        <v>440000</v>
      </c>
      <c r="D13" s="14" t="s">
        <v>543</v>
      </c>
    </row>
    <row r="14" spans="1:4" x14ac:dyDescent="0.25">
      <c r="A14" s="10" t="s">
        <v>461</v>
      </c>
      <c r="B14" s="10" t="s">
        <v>550</v>
      </c>
      <c r="C14" s="30">
        <v>427452</v>
      </c>
      <c r="D14" s="14" t="s">
        <v>543</v>
      </c>
    </row>
    <row r="15" spans="1:4" x14ac:dyDescent="0.25">
      <c r="A15" s="10" t="s">
        <v>443</v>
      </c>
      <c r="B15" s="10" t="s">
        <v>551</v>
      </c>
      <c r="C15" s="30">
        <v>349493</v>
      </c>
      <c r="D15" s="10" t="s">
        <v>6</v>
      </c>
    </row>
    <row r="16" spans="1:4" x14ac:dyDescent="0.25">
      <c r="A16" s="10" t="s">
        <v>461</v>
      </c>
      <c r="B16" s="10" t="s">
        <v>552</v>
      </c>
      <c r="C16" s="30">
        <v>275000</v>
      </c>
      <c r="D16" s="14" t="s">
        <v>543</v>
      </c>
    </row>
    <row r="17" spans="1:4" x14ac:dyDescent="0.25">
      <c r="A17" s="10" t="s">
        <v>461</v>
      </c>
      <c r="B17" s="10" t="s">
        <v>553</v>
      </c>
      <c r="C17" s="30">
        <v>264555</v>
      </c>
      <c r="D17" s="14" t="s">
        <v>543</v>
      </c>
    </row>
    <row r="18" spans="1:4" x14ac:dyDescent="0.25">
      <c r="A18" s="10" t="s">
        <v>443</v>
      </c>
      <c r="B18" s="10" t="s">
        <v>554</v>
      </c>
      <c r="C18" s="30">
        <v>220000</v>
      </c>
      <c r="D18" s="14" t="s">
        <v>543</v>
      </c>
    </row>
    <row r="19" spans="1:4" x14ac:dyDescent="0.25">
      <c r="A19" s="10" t="s">
        <v>443</v>
      </c>
      <c r="B19" s="10" t="s">
        <v>555</v>
      </c>
      <c r="C19" s="30">
        <v>220000</v>
      </c>
      <c r="D19" s="14" t="s">
        <v>543</v>
      </c>
    </row>
    <row r="20" spans="1:4" x14ac:dyDescent="0.25">
      <c r="A20" s="10" t="s">
        <v>459</v>
      </c>
      <c r="B20" s="10" t="s">
        <v>556</v>
      </c>
      <c r="C20" s="30">
        <v>216216</v>
      </c>
      <c r="D20" s="10" t="s">
        <v>6</v>
      </c>
    </row>
    <row r="21" spans="1:4" x14ac:dyDescent="0.25">
      <c r="A21" s="10" t="s">
        <v>461</v>
      </c>
      <c r="B21" s="10" t="s">
        <v>557</v>
      </c>
      <c r="C21" s="30">
        <v>142222</v>
      </c>
      <c r="D21" s="10" t="s">
        <v>6</v>
      </c>
    </row>
    <row r="22" spans="1:4" x14ac:dyDescent="0.25">
      <c r="A22" s="10" t="s">
        <v>461</v>
      </c>
      <c r="B22" s="10" t="s">
        <v>558</v>
      </c>
      <c r="C22" s="30">
        <v>140800</v>
      </c>
      <c r="D22" s="10" t="s">
        <v>6</v>
      </c>
    </row>
    <row r="23" spans="1:4" x14ac:dyDescent="0.25">
      <c r="A23" s="10" t="s">
        <v>461</v>
      </c>
      <c r="B23" s="10" t="s">
        <v>559</v>
      </c>
      <c r="C23" s="30">
        <v>99790</v>
      </c>
      <c r="D23" s="14" t="s">
        <v>543</v>
      </c>
    </row>
    <row r="24" spans="1:4" x14ac:dyDescent="0.25">
      <c r="A24" s="10" t="s">
        <v>461</v>
      </c>
      <c r="B24" s="10" t="s">
        <v>560</v>
      </c>
      <c r="C24" s="30">
        <v>99790</v>
      </c>
      <c r="D24" s="14" t="s">
        <v>543</v>
      </c>
    </row>
    <row r="25" spans="1:4" x14ac:dyDescent="0.25">
      <c r="A25" s="10" t="s">
        <v>459</v>
      </c>
      <c r="B25" s="10" t="s">
        <v>561</v>
      </c>
      <c r="C25" s="30">
        <v>97400</v>
      </c>
      <c r="D25" s="10" t="s">
        <v>6</v>
      </c>
    </row>
    <row r="26" spans="1:4" x14ac:dyDescent="0.25">
      <c r="A26" s="10" t="s">
        <v>461</v>
      </c>
      <c r="B26" s="10" t="s">
        <v>562</v>
      </c>
      <c r="C26" s="30">
        <v>38500</v>
      </c>
      <c r="D26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2026-04-07T12:32:26Z</dcterms:created>
  <dcterms:modified xsi:type="dcterms:W3CDTF">2026-04-07T12:32:26Z</dcterms:modified>
</cp:coreProperties>
</file>