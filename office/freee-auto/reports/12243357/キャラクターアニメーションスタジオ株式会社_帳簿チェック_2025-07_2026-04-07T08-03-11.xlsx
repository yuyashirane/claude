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<sst xmlns="http://schemas.openxmlformats.org/spreadsheetml/2006/main" count="1114" uniqueCount="441">
  <si>
    <t>キャラクターアニメーションスタジオ株式会社 帳簿チェックレポート</t>
  </si>
  <si>
    <t>対象月</t>
  </si>
  <si>
    <t>2025年7月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</si>
  <si>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</si>
  <si>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</si>
  <si>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</si>
  <si>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</si>
  <si>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</si>
  <si>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</si>
  <si>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</si>
  <si>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</si>
  <si>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</si>
  <si>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</si>
  <si>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</si>
  <si>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</si>
  <si>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</si>
  <si>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</si>
  <si>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</si>
  <si>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</si>
  <si>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</si>
  <si>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</si>
  <si>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</si>
  <si>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</si>
  <si>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</si>
  <si>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</si>
  <si>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</si>
  <si>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</si>
  <si>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</si>
  <si>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</si>
  <si>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</si>
  <si>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</si>
  <si>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</si>
  <si>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</si>
  <si>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</si>
  <si>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</si>
  <si>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</si>
  <si>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</si>
  <si>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</si>
  <si>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</si>
  <si>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</si>
  <si>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</si>
  <si>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</si>
  <si>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</si>
  <si>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</si>
  <si>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</si>
  <si>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</si>
  <si>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</si>
  <si>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</si>
  <si>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</si>
  <si>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</si>
  <si>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</si>
  <si>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</si>
  <si>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</si>
  <si>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</si>
  <si>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</si>
  <si>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</si>
  <si>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</si>
  <si>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</si>
  <si>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</si>
  <si>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</si>
  <si>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</si>
  <si>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</si>
  <si>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</si>
  <si>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</si>
  <si>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</si>
  <si>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</si>
  <si>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</si>
  <si>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</si>
  <si>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</si>
  <si>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</si>
  <si>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</si>
  <si>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</si>
  <si>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</si>
  <si>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</si>
  <si>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</si>
  <si>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</si>
  <si>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</si>
  <si>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</si>
  <si>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</si>
  <si>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</si>
  <si>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</si>
  <si>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</si>
  <si>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</si>
  <si>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</si>
  <si>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</si>
  <si>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</si>
  <si>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</si>
  <si>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</si>
  <si>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</si>
  <si>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</si>
  <si>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</si>
  <si>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</si>
  <si>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</si>
  <si>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</si>
  <si>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</si>
  <si>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</si>
  <si>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</si>
  <si>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</si>
  <si>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</si>
  <si>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</si>
  <si>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</si>
  <si>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</si>
  <si>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</si>
  <si>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</si>
  <si>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</si>
  <si>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</si>
  <si>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</si>
  <si>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</si>
  <si>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</si>
  <si>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</si>
  <si>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</si>
  <si>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</si>
  <si>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</si>
  <si>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</si>
  <si>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</si>
  <si>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</si>
  <si>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</si>
  <si>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</si>
  <si>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</si>
  <si>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</si>
  <si>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</si>
  <si>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</si>
  <si>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</si>
  <si>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</si>
  <si>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</si>
  <si>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</si>
  <si>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</si>
  <si>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</si>
  <si>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</si>
  <si>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</si>
  <si>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</si>
  <si>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</si>
  <si>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</si>
  <si>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</si>
  <si>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</si>
  <si>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</si>
  <si>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</si>
  <si>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</si>
  <si>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</si>
  <si>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</si>
  <si>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</si>
  <si>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</si>
  <si>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</si>
  <si>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</si>
  <si>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</si>
  <si>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</si>
  <si>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</si>
  <si>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</si>
  <si>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</si>
  <si>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</si>
  <si>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</si>
  <si>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</si>
  <si>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</si>
  <si>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</si>
  <si>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</si>
  <si>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</si>
  <si>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</si>
  <si>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</si>
  <si>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</si>
  <si>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</si>
  <si>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</si>
  <si>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</si>
  <si>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</si>
  <si>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</si>
  <si>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</si>
  <si>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</si>
  <si>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</si>
  <si>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</si>
  <si>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</si>
  <si>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</si>
  <si>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</si>
  <si>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</si>
  <si>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</si>
  <si>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</si>
  <si>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</si>
  <si>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</si>
  <si>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</si>
  <si>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</si>
  <si>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</si>
  <si>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</si>
  <si>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</si>
  <si>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残高異常</t>
  </si>
  <si>
    <t>「繰越利益剰余金」にマイナス残高 -46,205,588円があります。 取引先「未選択」: -46,205,588円 ※当月取引からは原因を特定できません。期首からの累積の可能性があります。</t>
  </si>
  <si>
    <t>-46,205,588円</t>
  </si>
  <si>
    <t>記帳漏れまたは過大計上を確認してください</t>
  </si>
  <si>
    <t>現金・預金</t>
  </si>
  <si>
    <t>「きらぼし（法人）（API）」の残高が前月比100%減少しています（前月: 494,042円 → 当月: 806円）。</t>
  </si>
  <si>
    <t>806円</t>
  </si>
  <si>
    <t>大型入出金の内容を確認してください</t>
  </si>
  <si>
    <t>「GMOあおぞらネット（法人）（API）」の残高が前月比97%減少しています（前月: 413,113円 → 当月: 11,886円）。</t>
  </si>
  <si>
    <t>11,886円</t>
  </si>
  <si>
    <t>「普通預金」の残高が前月比100%増加しています（前月: -845,229円 → 当月: 0円）。</t>
  </si>
  <si>
    <t>0円</t>
  </si>
  <si>
    <t>営業外・税金</t>
  </si>
  <si>
    <t>「未払消費税等」に2,781,100円の残高があります（期首8月から12ヶ月経過）。既に納付済みであれば消込処理が必要です。</t>
  </si>
  <si>
    <t>2,781,100円</t>
  </si>
  <si>
    <t>納付済みの場合は当座預金からの出金で消込してください</t>
  </si>
  <si>
    <t>借入金・リース</t>
  </si>
  <si>
    <t>「長期借入金」に品目タグなしの残高（-3,013,236円）があります。どの借入先・リース契約に属するか不明です。</t>
  </si>
  <si>
    <t>未選択: -3,013,236円</t>
  </si>
  <si>
    <t>各借入先・リース契約ごとに品目タグを設定し、内訳を明確にしてください</t>
  </si>
  <si>
    <t>「長期借入金」の「GMOあおぞらネット①」で当月の返済が確認できません（残高変動なし: 300,000円）。</t>
  </si>
  <si>
    <t>前月: 300,000円 → 当月: 300,000円（変動 0円）</t>
  </si>
  <si>
    <t>返済日の出金が正しく記帳されているか確認してください。据置期間中の場合は問題ありません</t>
  </si>
  <si>
    <t>仕入・買掛金</t>
  </si>
  <si>
    <t>「仕入高」が前月平均比 86%減少しています（当月: 10,770円、前月平均: 78,318円）。</t>
  </si>
  <si>
    <t>当月: 10,770円</t>
  </si>
  <si>
    <t>季節変動・大口発注以外の原因がなければ、計上漏れや二重計上を確認してください</t>
  </si>
  <si>
    <t>「売上原価」が前月平均比 237%減少しています（当月: -588,757円、前月平均: 429,675円）。</t>
  </si>
  <si>
    <t>当月: -588,757円</t>
  </si>
  <si>
    <t>「外注費」が前月平均比 72%減少しています（当月: 381,110円、前月平均: 1,371,256円）。</t>
  </si>
  <si>
    <t>当月: 381,110円</t>
  </si>
  <si>
    <t>「買掛金」の「㈱TMC」残高が2ヶ月連続で同額（660,000円）です。支払が滞留している可能性があります。</t>
  </si>
  <si>
    <t>660,000円（前月比変動なし）</t>
  </si>
  <si>
    <t>支払期日を確認し、消込処理または支払を実施してください</t>
  </si>
  <si>
    <t>「出資金」の残高 175,000円が前月から変動ありません（滞留の可能性）。</t>
  </si>
  <si>
    <t>175,000円（前月同額）</t>
  </si>
  <si>
    <t>回収・支払状況を確認し、必要に応じて貸倒処理や振替を検討してください</t>
  </si>
  <si>
    <t xml:space="preserve">　　取引先「さわやか信金」で滞留</t>
  </si>
  <si>
    <t>100,000円</t>
  </si>
  <si>
    <t>明細を開く</t>
  </si>
  <si>
    <t xml:space="preserve">　　取引先「東京東信金」で滞留</t>
  </si>
  <si>
    <t>50,000円</t>
  </si>
  <si>
    <t xml:space="preserve">　　取引先「西武信金」で滞留</t>
  </si>
  <si>
    <t>20,000円</t>
  </si>
  <si>
    <t xml:space="preserve">　　取引先「全国中小企業協同組合」で滞留</t>
  </si>
  <si>
    <t>5,000円</t>
  </si>
  <si>
    <t>「未払消費税等」の残高 2,781,100円が前月から変動ありません（滞留の可能性）。</t>
  </si>
  <si>
    <t>2,781,100円（前月同額）</t>
  </si>
  <si>
    <t xml:space="preserve">　　取引先「未選択」で滞留</t>
  </si>
  <si>
    <t>「前受金」の残高 10,000,000円が前月から変動ありません（滞留の可能性）。</t>
  </si>
  <si>
    <t>10,000,000円（前月同額）</t>
  </si>
  <si>
    <t xml:space="preserve">　　取引先「旭プロダクション」で滞留</t>
  </si>
  <si>
    <t>10,000,000円</t>
  </si>
  <si>
    <t>仮勘定「前受金」に 10,000,000円の残高があります。</t>
  </si>
  <si>
    <t>内容を確認し、適切な科目に振り替えてください</t>
  </si>
  <si>
    <t xml:space="preserve">　　[品目] 未選択</t>
  </si>
  <si>
    <t>「きらぼし（法人）（API）」が前月比 100% 変動（494,042円 → 806円）。</t>
  </si>
  <si>
    <t>806円（前月: 494,042円、変動率: 100%）</t>
  </si>
  <si>
    <t>変動原因を確認してください</t>
  </si>
  <si>
    <t>「GMOあおぞらネット（法人）（API）」が前月比 97% 変動（413,113円 → 11,886円）。</t>
  </si>
  <si>
    <t>11,886円（前月: 413,113円、変動率: 97%）</t>
  </si>
  <si>
    <t>「仮払金」が前月比 100% 変動（1,120,000円 → 0円）。</t>
  </si>
  <si>
    <t>0円（前月: 1,120,000円、変動率: 100%）</t>
  </si>
  <si>
    <t>「未払金」が前月比 83% 変動（2,728,175円 → 5,001,256円）。</t>
  </si>
  <si>
    <t>5,001,256円（前月: 2,728,175円、変動率: 83%）</t>
  </si>
  <si>
    <t>「雑収入」に462,375円が計上されています。内容を確認し、適切な科目で記録されているか確認してください。</t>
  </si>
  <si>
    <t>462,375円</t>
  </si>
  <si>
    <t>受取手数料・受取保険金等、適切な科目への振替を検討してください</t>
  </si>
  <si>
    <t>受取利息1,676円に対する源泉所得税（15.315%）の計上を確認してください。</t>
  </si>
  <si>
    <t>受取利息: 1,676円</t>
  </si>
  <si>
    <t>源泉税 約256円を「法人税・住民税及び事業税」または「仮払法人税等」で処理してください</t>
  </si>
  <si>
    <t>地代家賃</t>
  </si>
  <si>
    <t>地代家賃に取引先タグなしの計上（6,233,340円）があります。どの物件・契約先の家賃か不明です。</t>
  </si>
  <si>
    <t>未選択: 6,233,340円</t>
  </si>
  <si>
    <t>各家賃支払に取引先タグ（家主・管理会社）を設定し、物件別に管理してください</t>
  </si>
  <si>
    <t>売上・売掛金</t>
  </si>
  <si>
    <t>売上高に取引先タグなしの計上（61,430,959円）があります。どの顧客からの売上か不明です。</t>
  </si>
  <si>
    <t>未選択: 61,430,959円</t>
  </si>
  <si>
    <t>全ての売上取引に取引先タグを設定し、顧客別売上管理ができるようにしてください</t>
  </si>
  <si>
    <t>「減価償却費」が今月新たに計上されています（2,378,189円）。</t>
  </si>
  <si>
    <t>当月: 2,378,189円</t>
  </si>
  <si>
    <t>計上内容と金額の妥当性を確認してください</t>
  </si>
  <si>
    <t>「支払手数料」が前月平均比 1235%変動しています（当月: 570,009円、前月平均: 42,693円）。</t>
  </si>
  <si>
    <t>当月: 570,009円</t>
  </si>
  <si>
    <t>「交際費」が前月平均比 174%変動しています（当月: 39,988円、前月平均: 14,578円）。</t>
  </si>
  <si>
    <t>当月: 39,988円</t>
  </si>
  <si>
    <t>「売上債権売却損」が前月平均比 90%変動しています（当月: 655,660円、前月平均: 344,545円）。</t>
  </si>
  <si>
    <t>当月: 655,660円</t>
  </si>
  <si>
    <t>「通信費」が前月平均比 69%変動しています（当月: 35,759円、前月平均: 114,717円）。</t>
  </si>
  <si>
    <t>当月: 35,759円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</si>
  <si>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</si>
  <si>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</si>
  <si>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</si>
  <si>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</si>
  <si>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</si>
  <si>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</si>
  <si>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</si>
  <si>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</si>
  <si>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</si>
  <si>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</si>
  <si>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</si>
  <si>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</si>
  <si>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</si>
  <si>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</si>
  <si>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</si>
  <si>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-50.3%</t>
  </si>
  <si>
    <t>△</t>
  </si>
  <si>
    <t>元帳を開く</t>
  </si>
  <si>
    <t>きらぼし（法人）（API）</t>
  </si>
  <si>
    <t>-99.8%</t>
  </si>
  <si>
    <t>さわやか信金（法人）（API）</t>
  </si>
  <si>
    <t>-72.3%</t>
  </si>
  <si>
    <t>西武信金（法人）（API）</t>
  </si>
  <si>
    <t>-88.7%</t>
  </si>
  <si>
    <t>東京東信金（法人）（API）</t>
  </si>
  <si>
    <t>4.1%</t>
  </si>
  <si>
    <t>GMOあおぞらネット（法人）（API）</t>
  </si>
  <si>
    <t>-97.1%</t>
  </si>
  <si>
    <t>ＰａｙＰａｙ銀行（API）</t>
  </si>
  <si>
    <t>81.5%</t>
  </si>
  <si>
    <t>普通預金</t>
  </si>
  <si>
    <t>100.0%</t>
  </si>
  <si>
    <t>売掛金</t>
  </si>
  <si>
    <t>-13.5%</t>
  </si>
  <si>
    <t>商品</t>
  </si>
  <si>
    <t>仕掛製作原価</t>
  </si>
  <si>
    <t>仮払金</t>
  </si>
  <si>
    <t>-100.0%</t>
  </si>
  <si>
    <t>仮払消費税</t>
  </si>
  <si>
    <t>附属設備</t>
  </si>
  <si>
    <t>-13.3%</t>
  </si>
  <si>
    <t>工具器具備品</t>
  </si>
  <si>
    <t>-39.4%</t>
  </si>
  <si>
    <t>ソフトウェア</t>
  </si>
  <si>
    <t>-33.3%</t>
  </si>
  <si>
    <t>出資金</t>
  </si>
  <si>
    <t>0.0%</t>
  </si>
  <si>
    <t>差入保証金</t>
  </si>
  <si>
    <t>長期前払費用</t>
  </si>
  <si>
    <t>複合</t>
  </si>
  <si>
    <t>買掛金</t>
  </si>
  <si>
    <t>-19.5%</t>
  </si>
  <si>
    <t>未払金</t>
  </si>
  <si>
    <t>83.3%</t>
  </si>
  <si>
    <t>未払法人税等</t>
  </si>
  <si>
    <t>未払消費税等</t>
  </si>
  <si>
    <t>前受金</t>
  </si>
  <si>
    <t>預り金</t>
  </si>
  <si>
    <t>18.4%</t>
  </si>
  <si>
    <t>仮受消費税</t>
  </si>
  <si>
    <t>7.3%</t>
  </si>
  <si>
    <t>長期借入金</t>
  </si>
  <si>
    <t>-5.1%</t>
  </si>
  <si>
    <t>資本金</t>
  </si>
  <si>
    <t>繰越利益剰余金</t>
  </si>
  <si>
    <t>損益計算書 月次推移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</si>
  <si>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</si>
  <si>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</si>
  <si>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</si>
  <si>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</si>
  <si>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</si>
  <si>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</si>
  <si>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</si>
  <si>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</si>
  <si>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</si>
  <si>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</si>
  <si>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</si>
  <si>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</si>
  <si>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</si>
  <si>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</si>
  <si>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</si>
  <si>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</si>
  <si>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</si>
  <si>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</si>
  <si>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法定福利費</t>
  </si>
  <si>
    <t xml:space="preserve">  福利厚生費</t>
  </si>
  <si>
    <t xml:space="preserve">  外注費</t>
  </si>
  <si>
    <t xml:space="preserve">  荷造運賃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</si>
  <si>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</si>
  <si>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</si>
  <si>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</si>
  <si>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</si>
  <si>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</si>
  <si>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</si>
  <si>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</si>
  <si>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</si>
  <si>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</si>
  <si>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</si>
  <si>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</si>
  <si>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</si>
  <si>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賃借料</t>
  </si>
  <si>
    <t xml:space="preserve">  保険料</t>
  </si>
  <si>
    <t xml:space="preserve">  租税公課</t>
  </si>
  <si>
    <t xml:space="preserve">  支払報酬料</t>
  </si>
  <si>
    <t xml:space="preserve">  減価償却費</t>
  </si>
  <si>
    <t xml:space="preserve">  雑費</t>
  </si>
  <si>
    <t>販売管理費 計</t>
  </si>
  <si>
    <t>営業利益</t>
  </si>
  <si>
    <t xml:space="preserve">  受取利息</t>
  </si>
  <si>
    <t xml:space="preserve">  受取配当金</t>
  </si>
  <si>
    <t xml:space="preserve">  雑収入</t>
  </si>
  <si>
    <t>営業外収益 計</t>
  </si>
  <si>
    <t xml:space="preserve">  支払利息</t>
  </si>
  <si>
    <t xml:space="preserve">  売上債権売却損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</si>
  <si>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</si>
  <si>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</si>
  <si>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</si>
  <si>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</si>
  <si>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</si>
  <si>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法人税等</t>
  </si>
  <si>
    <t>法人税等 計</t>
  </si>
  <si>
    <t>当期純利益</t>
  </si>
  <si>
    <t xml:space="preserve">  制作売上高</t>
  </si>
  <si>
    <t xml:space="preserve">  期首仕掛原価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</si>
  <si>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</si>
  <si>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</si>
  <si>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</si>
  <si>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</si>
  <si>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</si>
  <si>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</si>
  <si>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㈱ウィットスタジオ</t>
  </si>
  <si>
    <t>㈱スタジオフラッド</t>
  </si>
  <si>
    <t>役員・従業員</t>
  </si>
  <si>
    <t>第2井口ビル</t>
  </si>
  <si>
    <t>下井孝司</t>
  </si>
  <si>
    <t>㈱TMC</t>
  </si>
  <si>
    <t>滞留</t>
  </si>
  <si>
    <t>㈲ボーダーズ</t>
  </si>
  <si>
    <t>㈱エリアル</t>
  </si>
  <si>
    <t>中島博道(未登録)</t>
  </si>
  <si>
    <t>㈱バスキュール</t>
  </si>
  <si>
    <t>立本紅実枝(未登録)</t>
  </si>
  <si>
    <t>阿彦岳(未登録)</t>
  </si>
  <si>
    <t>㈱TYO</t>
  </si>
  <si>
    <t>松本伊代(未登録)</t>
  </si>
  <si>
    <t>萩原慧</t>
  </si>
  <si>
    <t>ウィル</t>
  </si>
  <si>
    <t>加賀谷拓司</t>
  </si>
  <si>
    <t>近藤郁江(未登録)</t>
  </si>
  <si>
    <t>髙橋弘明</t>
  </si>
  <si>
    <t>㈱TOWER FILM</t>
  </si>
  <si>
    <t>門間俊一(未登録)</t>
  </si>
  <si>
    <t>東洋照明㈱</t>
  </si>
  <si>
    <t>根本伸一(未登録)</t>
  </si>
  <si>
    <t>小谷英文(未登録)</t>
  </si>
  <si>
    <t>西野朝来(未登録)</t>
  </si>
  <si>
    <t>印牧百香(未登録)</t>
  </si>
  <si>
    <t>㈱デファー</t>
  </si>
  <si>
    <t>未選択</t>
  </si>
  <si>
    <t>ノースショア㈱</t>
  </si>
  <si>
    <t>㈱AOI Pro.</t>
  </si>
  <si>
    <t>㈱good nei ghbor</t>
  </si>
  <si>
    <t>㈱マッキンヘルスケアワールドジャパン</t>
  </si>
  <si>
    <t>日本放送協会</t>
  </si>
  <si>
    <t>Tacit Know edge Sound(同)</t>
  </si>
  <si>
    <t>㈱ACTアクト</t>
  </si>
  <si>
    <t>㈱カレイドスコープ</t>
  </si>
  <si>
    <t>㈱スタジオワンダーウォール</t>
  </si>
  <si>
    <t>㈱フェローズ</t>
  </si>
  <si>
    <t>誠工特殊硝子販売㈱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</si>
</sst>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0" borderId="1" xfId="0" applyNumberFormat="1" applyFont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5-07-01&amp;end_date=2025-07-31" TargetMode="External"/><Relationship Id="rId2" Type="http://schemas.openxmlformats.org/officeDocument/2006/relationships/hyperlink" Target="https://secure.freee.co.jp/reports/journals?start_date=2023-08-01&amp;end_date=2025-07-31&amp;name=%E7%B9%B0%E8%B6%8A%E5%88%A9%E7%9B%8A%E5%89%B0%E4%BD%99%E9%87%91" TargetMode="External"/><Relationship Id="rId3" Type="http://schemas.openxmlformats.org/officeDocument/2006/relationships/hyperlink" Target="https://secure.freee.co.jp/reports/general_ledgers/show?name=%E3%81%8D%E3%82%89%E3%81%BC%E3%81%97%EF%BC%88%E6%B3%95%E4%BA%BA%EF%BC%89%EF%BC%88API%EF%BC%89&amp;start_date=2025-07-01&amp;end_date=2025-07-31" TargetMode="External"/><Relationship Id="rId4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5-07-01&amp;end_date=2025-07-31" TargetMode="External"/><Relationship Id="rId5" Type="http://schemas.openxmlformats.org/officeDocument/2006/relationships/hyperlink" Target="https://secure.freee.co.jp/reports/general_ledgers/show?name=%E6%99%AE%E9%80%9A%E9%A0%90%E9%87%91&amp;start_date=2025-07-01&amp;end_date=2025-07-31" TargetMode="External"/><Relationship Id="rId6" Type="http://schemas.openxmlformats.org/officeDocument/2006/relationships/hyperlink" Target="https://secure.freee.co.jp/reports/general_ledgers/show?name=%E6%9C%AA%E6%89%95%E6%B6%88%E8%B2%BB%E7%A8%8E%E7%AD%89&amp;start_date=2025-07-01&amp;end_date=2025-07-31" TargetMode="External"/><Relationship Id="rId7" Type="http://schemas.openxmlformats.org/officeDocument/2006/relationships/hyperlink" Target="https://secure.freee.co.jp/reports/general_ledgers/show?name=%E9%95%B7%E6%9C%9F%E5%80%9F%E5%85%A5%E9%87%91&amp;start_date=2025-07-01&amp;end_date=2025-07-31" TargetMode="External"/><Relationship Id="rId8" Type="http://schemas.openxmlformats.org/officeDocument/2006/relationships/hyperlink" Target="https://secure.freee.co.jp/reports/general_ledgers/show?name=%E9%95%B7%E6%9C%9F%E5%80%9F%E5%85%A5%E9%87%91&amp;start_date=2025-07-01&amp;end_date=2025-07-31" TargetMode="External"/><Relationship Id="rId9" Type="http://schemas.openxmlformats.org/officeDocument/2006/relationships/hyperlink" Target="https://secure.freee.co.jp/reports/general_ledgers/show?name=%E4%BB%95%E5%85%A5%E9%AB%98&amp;start_date=2025-07-01&amp;end_date=2025-07-31" TargetMode="External"/><Relationship Id="rId10" Type="http://schemas.openxmlformats.org/officeDocument/2006/relationships/hyperlink" Target="https://secure.freee.co.jp/reports/general_ledgers/show?name=%E5%A3%B2%E4%B8%8A%E5%8E%9F%E4%BE%A1&amp;start_date=2025-07-01&amp;end_date=2025-07-31" TargetMode="External"/><Relationship Id="rId11" Type="http://schemas.openxmlformats.org/officeDocument/2006/relationships/hyperlink" Target="https://secure.freee.co.jp/reports/general_ledgers/show?name=%E5%A4%96%E6%B3%A8%E8%B2%BB&amp;start_date=2025-07-01&amp;end_date=2025-07-31" TargetMode="External"/><Relationship Id="rId12" Type="http://schemas.openxmlformats.org/officeDocument/2006/relationships/hyperlink" Target="https://secure.freee.co.jp/reports/general_ledgers/show?name=%E8%B2%B7%E6%8E%9B%E9%87%91&amp;start_date=2025-07-01&amp;end_date=2025-07-31" TargetMode="External"/><Relationship Id="rId13" Type="http://schemas.openxmlformats.org/officeDocument/2006/relationships/hyperlink" Target="https://secure.freee.co.jp/reports/journals?start_date=2023-08-01&amp;end_date=2025-07-31&amp;name=%E5%87%BA%E8%B3%87%E9%87%91" TargetMode="External"/><Relationship Id="rId14" Type="http://schemas.openxmlformats.org/officeDocument/2006/relationships/hyperlink" Target="https://secure.freee.co.jp/reports/journals?start_date=2023-08-01&amp;end_date=2025-07-31&amp;name=%E5%87%BA%E8%B3%87%E9%87%91&amp;partner_id=105478643" TargetMode="External"/><Relationship Id="rId15" Type="http://schemas.openxmlformats.org/officeDocument/2006/relationships/hyperlink" Target="https://secure.freee.co.jp/reports/journals?start_date=2023-08-01&amp;end_date=2025-07-31&amp;name=%E5%87%BA%E8%B3%87%E9%87%91&amp;partner_id=105478683" TargetMode="External"/><Relationship Id="rId16" Type="http://schemas.openxmlformats.org/officeDocument/2006/relationships/hyperlink" Target="https://secure.freee.co.jp/reports/journals?start_date=2023-08-01&amp;end_date=2025-07-31&amp;name=%E5%87%BA%E8%B3%87%E9%87%91&amp;partner_id=105478719" TargetMode="External"/><Relationship Id="rId17" Type="http://schemas.openxmlformats.org/officeDocument/2006/relationships/hyperlink" Target="https://secure.freee.co.jp/reports/journals?start_date=2023-08-01&amp;end_date=2025-07-31&amp;name=%E5%87%BA%E8%B3%87%E9%87%91&amp;partner_id=105478755" TargetMode="External"/><Relationship Id="rId18" Type="http://schemas.openxmlformats.org/officeDocument/2006/relationships/hyperlink" Target="https://secure.freee.co.jp/reports/journals?start_date=2023-08-01&amp;end_date=2025-07-31&amp;name=%E6%9C%AA%E6%89%95%E6%B6%88%E8%B2%BB%E7%A8%8E%E7%AD%89" TargetMode="External"/><Relationship Id="rId19" Type="http://schemas.openxmlformats.org/officeDocument/2006/relationships/hyperlink" Target="https://secure.freee.co.jp/reports/journals?start_date=2023-08-01&amp;end_date=2025-07-31&amp;name=%E6%9C%AA%E6%89%95%E6%B6%88%E8%B2%BB%E7%A8%8E%E7%AD%89" TargetMode="External"/><Relationship Id="rId20" Type="http://schemas.openxmlformats.org/officeDocument/2006/relationships/hyperlink" Target="https://secure.freee.co.jp/reports/journals?start_date=2023-08-01&amp;end_date=2025-07-31&amp;name=%E5%89%8D%E5%8F%97%E9%87%91" TargetMode="External"/><Relationship Id="rId21" Type="http://schemas.openxmlformats.org/officeDocument/2006/relationships/hyperlink" Target="https://secure.freee.co.jp/reports/journals?start_date=2023-08-01&amp;end_date=2025-07-31&amp;name=%E5%89%8D%E5%8F%97%E9%87%91&amp;partner_id=107957747" TargetMode="External"/><Relationship Id="rId22" Type="http://schemas.openxmlformats.org/officeDocument/2006/relationships/hyperlink" Target="https://secure.freee.co.jp/reports/journals?start_date=2023-08-01&amp;end_date=2025-07-31&amp;name=%E5%89%8D%E5%8F%97%E9%87%91" TargetMode="External"/><Relationship Id="rId23" Type="http://schemas.openxmlformats.org/officeDocument/2006/relationships/hyperlink" Target="https://secure.freee.co.jp/reports/journals?start_date=2023-08-01&amp;end_date=2025-07-31&amp;name=%E5%89%8D%E5%8F%97%E9%87%91" TargetMode="External"/><Relationship Id="rId24" Type="http://schemas.openxmlformats.org/officeDocument/2006/relationships/hyperlink" Target="https://secure.freee.co.jp/reports/general_ledgers/show?name=%E3%81%8D%E3%82%89%E3%81%BC%E3%81%97%EF%BC%88%E6%B3%95%E4%BA%BA%EF%BC%89%EF%BC%88API%EF%BC%89&amp;start_date=2025-07-01&amp;end_date=2025-07-31&amp;fiscal_year_id=11960512" TargetMode="External"/><Relationship Id="rId25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5-07-01&amp;end_date=2025-07-31&amp;fiscal_year_id=11960512" TargetMode="External"/><Relationship Id="rId26" Type="http://schemas.openxmlformats.org/officeDocument/2006/relationships/hyperlink" Target="https://secure.freee.co.jp/reports/general_ledgers/show?name=%E4%BB%AE%E6%89%95%E9%87%91&amp;start_date=2025-07-01&amp;end_date=2025-07-31&amp;fiscal_year_id=11960512" TargetMode="External"/><Relationship Id="rId27" Type="http://schemas.openxmlformats.org/officeDocument/2006/relationships/hyperlink" Target="https://secure.freee.co.jp/reports/general_ledgers/show?name=%E6%9C%AA%E6%89%95%E9%87%91&amp;start_date=2025-07-01&amp;end_date=2025-07-31&amp;fiscal_year_id=11960512" TargetMode="External"/><Relationship Id="rId28" Type="http://schemas.openxmlformats.org/officeDocument/2006/relationships/hyperlink" Target="https://secure.freee.co.jp/reports/general_ledgers/show?name=%E9%9B%91%E5%8F%8E%E5%85%A5&amp;start_date=2025-07-01&amp;end_date=2025-07-31" TargetMode="External"/><Relationship Id="rId29" Type="http://schemas.openxmlformats.org/officeDocument/2006/relationships/hyperlink" Target="https://secure.freee.co.jp/reports/general_ledgers/show?name=%E6%B8%9B%E4%BE%A1%E5%84%9F%E5%8D%B4%E8%B2%BB&amp;start_date=2025-07-01&amp;end_date=2025-07-31" TargetMode="External"/><Relationship Id="rId30" Type="http://schemas.openxmlformats.org/officeDocument/2006/relationships/hyperlink" Target="https://secure.freee.co.jp/reports/general_ledgers/show?name=%E6%94%AF%E6%89%95%E6%89%8B%E6%95%B0%E6%96%99&amp;start_date=2025-07-01&amp;end_date=2025-07-31" TargetMode="External"/><Relationship Id="rId31" Type="http://schemas.openxmlformats.org/officeDocument/2006/relationships/hyperlink" Target="https://secure.freee.co.jp/reports/general_ledgers/show?name=%E4%BA%A4%E9%9A%9B%E8%B2%BB&amp;start_date=2025-07-01&amp;end_date=2025-07-31" TargetMode="External"/><Relationship Id="rId32" Type="http://schemas.openxmlformats.org/officeDocument/2006/relationships/hyperlink" Target="https://secure.freee.co.jp/reports/general_ledgers/show?name=%E5%A3%B2%E4%B8%8A%E5%82%B5%E6%A8%A9%E5%A3%B2%E5%8D%B4%E6%90%8D&amp;start_date=2025-07-01&amp;end_date=2025-07-31" TargetMode="External"/><Relationship Id="rId33" Type="http://schemas.openxmlformats.org/officeDocument/2006/relationships/hyperlink" Target="https://secure.freee.co.jp/reports/general_ledgers/show?name=%E9%80%9A%E4%BF%A1%E8%B2%BB&amp;start_date=2025-07-01&amp;end_date=2025-07-3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3-08-01&amp;end_date=2025-07-31&amp;name=%E7%B9%B0%E8%B6%8A%E5%88%A9%E7%9B%8A%E5%89%B0%E4%BD%99%E9%87%91" TargetMode="External"/><Relationship Id="rId2" Type="http://schemas.openxmlformats.org/officeDocument/2006/relationships/hyperlink" Target="https://secure.freee.co.jp/reports/general_ledgers/show?name=%E3%81%8D%E3%82%89%E3%81%BC%E3%81%97%EF%BC%88%E6%B3%95%E4%BA%BA%EF%BC%89%EF%BC%88API%EF%BC%89&amp;start_date=2025-07-01&amp;end_date=2025-07-31" TargetMode="External"/><Relationship Id="rId3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5-07-01&amp;end_date=2025-07-31" TargetMode="External"/><Relationship Id="rId4" Type="http://schemas.openxmlformats.org/officeDocument/2006/relationships/hyperlink" Target="https://secure.freee.co.jp/reports/general_ledgers/show?name=%E6%99%AE%E9%80%9A%E9%A0%90%E9%87%91&amp;start_date=2025-07-01&amp;end_date=2025-07-31" TargetMode="External"/><Relationship Id="rId5" Type="http://schemas.openxmlformats.org/officeDocument/2006/relationships/hyperlink" Target="https://secure.freee.co.jp/reports/general_ledgers/show?name=%E9%95%B7%E6%9C%9F%E5%80%9F%E5%85%A5%E9%87%91&amp;start_date=2025-07-01&amp;end_date=2025-07-31" TargetMode="External"/><Relationship Id="rId6" Type="http://schemas.openxmlformats.org/officeDocument/2006/relationships/hyperlink" Target="https://secure.freee.co.jp/reports/general_ledgers/show?name=%E9%95%B7%E6%9C%9F%E5%80%9F%E5%85%A5%E9%87%91&amp;start_date=2025-07-01&amp;end_date=2025-07-31" TargetMode="External"/><Relationship Id="rId7" Type="http://schemas.openxmlformats.org/officeDocument/2006/relationships/hyperlink" Target="https://secure.freee.co.jp/reports/journals?start_date=2023-08-01&amp;end_date=2025-07-31&amp;name=%E5%87%BA%E8%B3%87%E9%87%91" TargetMode="External"/><Relationship Id="rId8" Type="http://schemas.openxmlformats.org/officeDocument/2006/relationships/hyperlink" Target="https://secure.freee.co.jp/reports/journals?start_date=2023-08-01&amp;end_date=2025-07-31&amp;name=%E5%87%BA%E8%B3%87%E9%87%91&amp;partner_id=105478643" TargetMode="External"/><Relationship Id="rId9" Type="http://schemas.openxmlformats.org/officeDocument/2006/relationships/hyperlink" Target="https://secure.freee.co.jp/reports/journals?start_date=2023-08-01&amp;end_date=2025-07-31&amp;name=%E5%87%BA%E8%B3%87%E9%87%91&amp;partner_id=105478683" TargetMode="External"/><Relationship Id="rId10" Type="http://schemas.openxmlformats.org/officeDocument/2006/relationships/hyperlink" Target="https://secure.freee.co.jp/reports/journals?start_date=2023-08-01&amp;end_date=2025-07-31&amp;name=%E5%87%BA%E8%B3%87%E9%87%91&amp;partner_id=105478719" TargetMode="External"/><Relationship Id="rId11" Type="http://schemas.openxmlformats.org/officeDocument/2006/relationships/hyperlink" Target="https://secure.freee.co.jp/reports/journals?start_date=2023-08-01&amp;end_date=2025-07-31&amp;name=%E5%87%BA%E8%B3%87%E9%87%91&amp;partner_id=105478755" TargetMode="External"/><Relationship Id="rId12" Type="http://schemas.openxmlformats.org/officeDocument/2006/relationships/hyperlink" Target="https://secure.freee.co.jp/reports/journals?start_date=2023-08-01&amp;end_date=2025-07-31&amp;name=%E6%9C%AA%E6%89%95%E6%B6%88%E8%B2%BB%E7%A8%8E%E7%AD%89" TargetMode="External"/><Relationship Id="rId13" Type="http://schemas.openxmlformats.org/officeDocument/2006/relationships/hyperlink" Target="https://secure.freee.co.jp/reports/journals?start_date=2023-08-01&amp;end_date=2025-07-31&amp;name=%E6%9C%AA%E6%89%95%E6%B6%88%E8%B2%BB%E7%A8%8E%E7%AD%89" TargetMode="External"/><Relationship Id="rId14" Type="http://schemas.openxmlformats.org/officeDocument/2006/relationships/hyperlink" Target="https://secure.freee.co.jp/reports/journals?start_date=2023-08-01&amp;end_date=2025-07-31&amp;name=%E5%89%8D%E5%8F%97%E9%87%91" TargetMode="External"/><Relationship Id="rId15" Type="http://schemas.openxmlformats.org/officeDocument/2006/relationships/hyperlink" Target="https://secure.freee.co.jp/reports/journals?start_date=2023-08-01&amp;end_date=2025-07-31&amp;name=%E5%89%8D%E5%8F%97%E9%87%91&amp;partner_id=107957747" TargetMode="External"/><Relationship Id="rId16" Type="http://schemas.openxmlformats.org/officeDocument/2006/relationships/hyperlink" Target="https://secure.freee.co.jp/reports/journals?start_date=2023-08-01&amp;end_date=2025-07-31&amp;name=%E5%89%8D%E5%8F%97%E9%87%91" TargetMode="External"/><Relationship Id="rId17" Type="http://schemas.openxmlformats.org/officeDocument/2006/relationships/hyperlink" Target="https://secure.freee.co.jp/reports/journals?start_date=2023-08-01&amp;end_date=2025-07-31&amp;name=%E5%89%8D%E5%8F%97%E9%87%91" TargetMode="External"/><Relationship Id="rId18" Type="http://schemas.openxmlformats.org/officeDocument/2006/relationships/hyperlink" Target="https://secure.freee.co.jp/reports/general_ledgers/show?name=%E3%81%8D%E3%82%89%E3%81%BC%E3%81%97%EF%BC%88%E6%B3%95%E4%BA%BA%EF%BC%89%EF%BC%88API%EF%BC%89&amp;start_date=2025-07-01&amp;end_date=2025-07-31&amp;fiscal_year_id=11960512" TargetMode="External"/><Relationship Id="rId19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5-07-01&amp;end_date=2025-07-31&amp;fiscal_year_id=11960512" TargetMode="External"/><Relationship Id="rId20" Type="http://schemas.openxmlformats.org/officeDocument/2006/relationships/hyperlink" Target="https://secure.freee.co.jp/reports/general_ledgers/show?name=%E4%BB%AE%E6%89%95%E9%87%91&amp;start_date=2025-07-01&amp;end_date=2025-07-31&amp;fiscal_year_id=11960512" TargetMode="External"/><Relationship Id="rId21" Type="http://schemas.openxmlformats.org/officeDocument/2006/relationships/hyperlink" Target="https://secure.freee.co.jp/reports/general_ledgers/show?name=%E6%9C%AA%E6%89%95%E9%87%91&amp;start_date=2025-07-01&amp;end_date=2025-07-31&amp;fiscal_year_id=11960512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4%BB%95%E5%85%A5%E9%AB%98&amp;start_date=2025-07-01&amp;end_date=2025-07-31" TargetMode="External"/><Relationship Id="rId2" Type="http://schemas.openxmlformats.org/officeDocument/2006/relationships/hyperlink" Target="https://secure.freee.co.jp/reports/general_ledgers/show?name=%E5%A3%B2%E4%B8%8A%E5%8E%9F%E4%BE%A1&amp;start_date=2025-07-01&amp;end_date=2025-07-31" TargetMode="External"/><Relationship Id="rId3" Type="http://schemas.openxmlformats.org/officeDocument/2006/relationships/hyperlink" Target="https://secure.freee.co.jp/reports/general_ledgers/show?name=%E5%A4%96%E6%B3%A8%E8%B2%BB&amp;start_date=2025-07-01&amp;end_date=2025-07-31" TargetMode="External"/><Relationship Id="rId4" Type="http://schemas.openxmlformats.org/officeDocument/2006/relationships/hyperlink" Target="https://secure.freee.co.jp/reports/general_ledgers/show?name=%E8%B2%B7%E6%8E%9B%E9%87%91&amp;start_date=2025-07-01&amp;end_date=2025-07-31" TargetMode="External"/><Relationship Id="rId5" Type="http://schemas.openxmlformats.org/officeDocument/2006/relationships/hyperlink" Target="https://secure.freee.co.jp/reports/general_ledgers/show?name=%E6%B8%9B%E4%BE%A1%E5%84%9F%E5%8D%B4%E8%B2%BB&amp;start_date=2025-07-01&amp;end_date=2025-07-31" TargetMode="External"/><Relationship Id="rId6" Type="http://schemas.openxmlformats.org/officeDocument/2006/relationships/hyperlink" Target="https://secure.freee.co.jp/reports/general_ledgers/show?name=%E6%94%AF%E6%89%95%E6%89%8B%E6%95%B0%E6%96%99&amp;start_date=2025-07-01&amp;end_date=2025-07-31" TargetMode="External"/><Relationship Id="rId7" Type="http://schemas.openxmlformats.org/officeDocument/2006/relationships/hyperlink" Target="https://secure.freee.co.jp/reports/general_ledgers/show?name=%E4%BA%A4%E9%9A%9B%E8%B2%BB&amp;start_date=2025-07-01&amp;end_date=2025-07-31" TargetMode="External"/><Relationship Id="rId8" Type="http://schemas.openxmlformats.org/officeDocument/2006/relationships/hyperlink" Target="https://secure.freee.co.jp/reports/general_ledgers/show?name=%E5%A3%B2%E4%B8%8A%E5%82%B5%E6%A8%A9%E5%A3%B2%E5%8D%B4%E6%90%8D&amp;start_date=2025-07-01&amp;end_date=2025-07-31" TargetMode="External"/><Relationship Id="rId9" Type="http://schemas.openxmlformats.org/officeDocument/2006/relationships/hyperlink" Target="https://secure.freee.co.jp/reports/general_ledgers/show?name=%E9%80%9A%E4%BF%A1%E8%B2%BB&amp;start_date=2025-07-01&amp;end_date=2025-07-3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5-07-01&amp;end_date=2025-07-31" TargetMode="External"/><Relationship Id="rId2" Type="http://schemas.openxmlformats.org/officeDocument/2006/relationships/hyperlink" Target="https://secure.freee.co.jp/reports/general_ledgers/show?name=%E6%9C%AA%E6%89%95%E6%B6%88%E8%B2%BB%E7%A8%8E%E7%AD%89&amp;start_date=2025-07-01&amp;end_date=2025-07-31" TargetMode="External"/><Relationship Id="rId3" Type="http://schemas.openxmlformats.org/officeDocument/2006/relationships/hyperlink" Target="https://secure.freee.co.jp/reports/general_ledgers/show?name=%E9%9B%91%E5%8F%8E%E5%85%A5&amp;start_date=2025-07-01&amp;end_date=2025-07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F%BE%E9%87%91&amp;start_date=2024-08-01&amp;end_date=2025-07-31&amp;fiscal_year_id=11960512" TargetMode="External"/><Relationship Id="rId2" Type="http://schemas.openxmlformats.org/officeDocument/2006/relationships/hyperlink" Target="https://secure.freee.co.jp/reports/general_ledgers/show?name=%E3%81%8D%E3%82%89%E3%81%BC%E3%81%97%EF%BC%88%E6%B3%95%E4%BA%BA%EF%BC%89%EF%BC%88API%EF%BC%89&amp;start_date=2024-08-01&amp;end_date=2025-07-31&amp;fiscal_year_id=11960512" TargetMode="External"/><Relationship Id="rId3" Type="http://schemas.openxmlformats.org/officeDocument/2006/relationships/hyperlink" Target="https://secure.freee.co.jp/reports/general_ledgers/show?name=%E3%81%95%E3%82%8F%E3%82%84%E3%81%8B%E4%BF%A1%E9%87%91%EF%BC%88%E6%B3%95%E4%BA%BA%EF%BC%89%EF%BC%88API%EF%BC%89&amp;start_date=2024-08-01&amp;end_date=2025-07-31&amp;fiscal_year_id=11960512" TargetMode="External"/><Relationship Id="rId4" Type="http://schemas.openxmlformats.org/officeDocument/2006/relationships/hyperlink" Target="https://secure.freee.co.jp/reports/general_ledgers/show?name=%E8%A5%BF%E6%AD%A6%E4%BF%A1%E9%87%91%EF%BC%88%E6%B3%95%E4%BA%BA%EF%BC%89%EF%BC%88API%EF%BC%89&amp;start_date=2024-08-01&amp;end_date=2025-07-31&amp;fiscal_year_id=11960512" TargetMode="External"/><Relationship Id="rId5" Type="http://schemas.openxmlformats.org/officeDocument/2006/relationships/hyperlink" Target="https://secure.freee.co.jp/reports/general_ledgers/show?name=%E6%9D%B1%E4%BA%AC%E6%9D%B1%E4%BF%A1%E9%87%91%EF%BC%88%E6%B3%95%E4%BA%BA%EF%BC%89%EF%BC%88API%EF%BC%89&amp;start_date=2024-08-01&amp;end_date=2025-07-31&amp;fiscal_year_id=11960512" TargetMode="External"/><Relationship Id="rId6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4-08-01&amp;end_date=2025-07-31&amp;fiscal_year_id=11960512" TargetMode="External"/><Relationship Id="rId7" Type="http://schemas.openxmlformats.org/officeDocument/2006/relationships/hyperlink" Target="https://secure.freee.co.jp/reports/general_ledgers/show?name=%EF%BC%B0%EF%BD%81%EF%BD%99%EF%BC%B0%EF%BD%81%EF%BD%99%E9%8A%80%E8%A1%8C%EF%BC%88API%EF%BC%89&amp;start_date=2024-08-01&amp;end_date=2025-07-31&amp;fiscal_year_id=11960512" TargetMode="External"/><Relationship Id="rId8" Type="http://schemas.openxmlformats.org/officeDocument/2006/relationships/hyperlink" Target="https://secure.freee.co.jp/reports/general_ledgers/show?name=%E6%99%AE%E9%80%9A%E9%A0%90%E9%87%91&amp;start_date=2024-08-01&amp;end_date=2025-07-31&amp;fiscal_year_id=11960512" TargetMode="External"/><Relationship Id="rId9" Type="http://schemas.openxmlformats.org/officeDocument/2006/relationships/hyperlink" Target="https://secure.freee.co.jp/reports/general_ledgers/show?name=%E5%A3%B2%E6%8E%9B%E9%87%91&amp;start_date=2024-08-01&amp;end_date=2025-07-31&amp;fiscal_year_id=11960512" TargetMode="External"/><Relationship Id="rId10" Type="http://schemas.openxmlformats.org/officeDocument/2006/relationships/hyperlink" Target="https://secure.freee.co.jp/reports/general_ledgers/show?name=%E5%95%86%E5%93%81&amp;start_date=2024-08-01&amp;end_date=2025-07-31&amp;fiscal_year_id=11960512" TargetMode="External"/><Relationship Id="rId11" Type="http://schemas.openxmlformats.org/officeDocument/2006/relationships/hyperlink" Target="https://secure.freee.co.jp/reports/journals?start_date=2023-08-01&amp;end_date=2025-07-31&amp;name=%E4%BB%95%E6%8E%9B%E8%A3%BD%E4%BD%9C%E5%8E%9F%E4%BE%A1" TargetMode="External"/><Relationship Id="rId12" Type="http://schemas.openxmlformats.org/officeDocument/2006/relationships/hyperlink" Target="https://secure.freee.co.jp/reports/general_ledgers/show?name=%E4%BB%AE%E6%89%95%E9%87%91&amp;start_date=2024-08-01&amp;end_date=2025-07-31&amp;fiscal_year_id=11960512" TargetMode="External"/><Relationship Id="rId13" Type="http://schemas.openxmlformats.org/officeDocument/2006/relationships/hyperlink" Target="https://secure.freee.co.jp/reports/general_ledgers/show?name=%E4%BB%AE%E6%89%95%E6%B6%88%E8%B2%BB%E7%A8%8E&amp;start_date=2024-08-01&amp;end_date=2025-07-31&amp;fiscal_year_id=11960512" TargetMode="External"/><Relationship Id="rId14" Type="http://schemas.openxmlformats.org/officeDocument/2006/relationships/hyperlink" Target="https://secure.freee.co.jp/reports/general_ledgers/show?name=%E9%99%84%E5%B1%9E%E8%A8%AD%E5%82%99&amp;start_date=2024-08-01&amp;end_date=2025-07-31&amp;fiscal_year_id=11960512" TargetMode="External"/><Relationship Id="rId15" Type="http://schemas.openxmlformats.org/officeDocument/2006/relationships/hyperlink" Target="https://secure.freee.co.jp/reports/general_ledgers/show?name=%E5%B7%A5%E5%85%B7%E5%99%A8%E5%85%B7%E5%82%99%E5%93%81&amp;start_date=2024-08-01&amp;end_date=2025-07-31&amp;fiscal_year_id=11960512" TargetMode="External"/><Relationship Id="rId16" Type="http://schemas.openxmlformats.org/officeDocument/2006/relationships/hyperlink" Target="https://secure.freee.co.jp/reports/general_ledgers/show?name=%E3%82%BD%E3%83%95%E3%83%88%E3%82%A6%E3%82%A7%E3%82%A2&amp;start_date=2024-08-01&amp;end_date=2025-07-31&amp;fiscal_year_id=11960512" TargetMode="External"/><Relationship Id="rId17" Type="http://schemas.openxmlformats.org/officeDocument/2006/relationships/hyperlink" Target="https://secure.freee.co.jp/reports/journals?start_date=2023-08-01&amp;end_date=2025-07-31&amp;name=%E5%87%BA%E8%B3%87%E9%87%91" TargetMode="External"/><Relationship Id="rId18" Type="http://schemas.openxmlformats.org/officeDocument/2006/relationships/hyperlink" Target="https://secure.freee.co.jp/reports/journals?start_date=2023-08-01&amp;end_date=2025-07-31&amp;name=%E5%B7%AE%E5%85%A5%E4%BF%9D%E8%A8%BC%E9%87%91" TargetMode="External"/><Relationship Id="rId19" Type="http://schemas.openxmlformats.org/officeDocument/2006/relationships/hyperlink" Target="https://secure.freee.co.jp/reports/general_ledgers/show?name=%E9%95%B7%E6%9C%9F%E5%89%8D%E6%89%95%E8%B2%BB%E7%94%A8&amp;start_date=2024-08-01&amp;end_date=2025-07-31&amp;fiscal_year_id=11960512" TargetMode="External"/><Relationship Id="rId20" Type="http://schemas.openxmlformats.org/officeDocument/2006/relationships/hyperlink" Target="https://secure.freee.co.jp/reports/journals?start_date=2023-08-01&amp;end_date=2025-07-31&amp;name=%E8%A4%87%E5%90%88" TargetMode="External"/><Relationship Id="rId21" Type="http://schemas.openxmlformats.org/officeDocument/2006/relationships/hyperlink" Target="https://secure.freee.co.jp/reports/general_ledgers/show?name=%E8%B2%B7%E6%8E%9B%E9%87%91&amp;start_date=2024-08-01&amp;end_date=2025-07-31&amp;fiscal_year_id=11960512" TargetMode="External"/><Relationship Id="rId22" Type="http://schemas.openxmlformats.org/officeDocument/2006/relationships/hyperlink" Target="https://secure.freee.co.jp/reports/general_ledgers/show?name=%E6%9C%AA%E6%89%95%E9%87%91&amp;start_date=2024-08-01&amp;end_date=2025-07-31&amp;fiscal_year_id=11960512" TargetMode="External"/><Relationship Id="rId23" Type="http://schemas.openxmlformats.org/officeDocument/2006/relationships/hyperlink" Target="https://secure.freee.co.jp/reports/journals?start_date=2023-08-01&amp;end_date=2025-07-31&amp;name=%E6%9C%AA%E6%89%95%E6%B3%95%E4%BA%BA%E7%A8%8E%E7%AD%89" TargetMode="External"/><Relationship Id="rId24" Type="http://schemas.openxmlformats.org/officeDocument/2006/relationships/hyperlink" Target="https://secure.freee.co.jp/reports/journals?start_date=2023-08-01&amp;end_date=2025-07-31&amp;name=%E6%9C%AA%E6%89%95%E6%B6%88%E8%B2%BB%E7%A8%8E%E7%AD%89" TargetMode="External"/><Relationship Id="rId25" Type="http://schemas.openxmlformats.org/officeDocument/2006/relationships/hyperlink" Target="https://secure.freee.co.jp/reports/journals?start_date=2023-08-01&amp;end_date=2025-07-31&amp;name=%E5%89%8D%E5%8F%97%E9%87%91" TargetMode="External"/><Relationship Id="rId26" Type="http://schemas.openxmlformats.org/officeDocument/2006/relationships/hyperlink" Target="https://secure.freee.co.jp/reports/general_ledgers/show?name=%E9%A0%90%E3%82%8A%E9%87%91&amp;start_date=2024-08-01&amp;end_date=2025-07-31&amp;fiscal_year_id=11960512" TargetMode="External"/><Relationship Id="rId27" Type="http://schemas.openxmlformats.org/officeDocument/2006/relationships/hyperlink" Target="https://secure.freee.co.jp/reports/general_ledgers/show?name=%E4%BB%AE%E5%8F%97%E6%B6%88%E8%B2%BB%E7%A8%8E&amp;start_date=2024-08-01&amp;end_date=2025-07-31&amp;fiscal_year_id=11960512" TargetMode="External"/><Relationship Id="rId28" Type="http://schemas.openxmlformats.org/officeDocument/2006/relationships/hyperlink" Target="https://secure.freee.co.jp/reports/general_ledgers/show?name=%E9%95%B7%E6%9C%9F%E5%80%9F%E5%85%A5%E9%87%91&amp;start_date=2024-08-01&amp;end_date=2025-07-31&amp;fiscal_year_id=11960512" TargetMode="External"/><Relationship Id="rId29" Type="http://schemas.openxmlformats.org/officeDocument/2006/relationships/hyperlink" Target="https://secure.freee.co.jp/reports/journals?start_date=2023-08-01&amp;end_date=2025-07-31&amp;name=%E8%B3%87%E6%9C%AC%E9%87%91" TargetMode="External"/><Relationship Id="rId30" Type="http://schemas.openxmlformats.org/officeDocument/2006/relationships/hyperlink" Target="https://secure.freee.co.jp/reports/journals?start_date=2023-08-01&amp;end_date=2025-07-31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4-08-01&amp;end_date=2025-07-31&amp;fiscal_year_id=11960512" TargetMode="External"/><Relationship Id="rId2" Type="http://schemas.openxmlformats.org/officeDocument/2006/relationships/hyperlink" Target="https://secure.freee.co.jp/reports/general_ledgers/show?name=%E7%B5%A6%E6%96%99%E6%89%8B%E5%BD%93&amp;start_date=2024-08-01&amp;end_date=2025-07-31&amp;fiscal_year_id=11960512" TargetMode="External"/><Relationship Id="rId3" Type="http://schemas.openxmlformats.org/officeDocument/2006/relationships/hyperlink" Target="https://secure.freee.co.jp/reports/general_ledgers/show?name=%E6%B3%95%E5%AE%9A%E7%A6%8F%E5%88%A9%E8%B2%BB&amp;start_date=2024-08-01&amp;end_date=2025-07-31&amp;fiscal_year_id=11960512" TargetMode="External"/><Relationship Id="rId4" Type="http://schemas.openxmlformats.org/officeDocument/2006/relationships/hyperlink" Target="https://secure.freee.co.jp/reports/general_ledgers/show?name=%E7%A6%8F%E5%88%A9%E5%8E%9A%E7%94%9F%E8%B2%BB&amp;start_date=2024-08-01&amp;end_date=2025-07-31&amp;fiscal_year_id=11960512" TargetMode="External"/><Relationship Id="rId5" Type="http://schemas.openxmlformats.org/officeDocument/2006/relationships/hyperlink" Target="https://secure.freee.co.jp/reports/general_ledgers/show?name=%E5%A4%96%E6%B3%A8%E8%B2%BB&amp;start_date=2024-08-01&amp;end_date=2025-07-31&amp;fiscal_year_id=11960512" TargetMode="External"/><Relationship Id="rId6" Type="http://schemas.openxmlformats.org/officeDocument/2006/relationships/hyperlink" Target="https://secure.freee.co.jp/reports/general_ledgers/show?name=%E8%8D%B7%E9%80%A0%E9%81%8B%E8%B3%83&amp;start_date=2024-08-01&amp;end_date=2025-07-31&amp;fiscal_year_id=11960512" TargetMode="External"/><Relationship Id="rId7" Type="http://schemas.openxmlformats.org/officeDocument/2006/relationships/hyperlink" Target="https://secure.freee.co.jp/reports/general_ledgers/show?name=%E5%BA%83%E5%91%8A%E5%AE%A3%E4%BC%9D%E8%B2%BB&amp;start_date=2024-08-01&amp;end_date=2025-07-31&amp;fiscal_year_id=11960512" TargetMode="External"/><Relationship Id="rId8" Type="http://schemas.openxmlformats.org/officeDocument/2006/relationships/hyperlink" Target="https://secure.freee.co.jp/reports/general_ledgers/show?name=%E4%BA%A4%E9%9A%9B%E8%B2%BB&amp;start_date=2024-08-01&amp;end_date=2025-07-31&amp;fiscal_year_id=11960512" TargetMode="External"/><Relationship Id="rId9" Type="http://schemas.openxmlformats.org/officeDocument/2006/relationships/hyperlink" Target="https://secure.freee.co.jp/reports/general_ledgers/show?name=%E4%BC%9A%E8%AD%B0%E8%B2%BB&amp;start_date=2024-08-01&amp;end_date=2025-07-31&amp;fiscal_year_id=11960512" TargetMode="External"/><Relationship Id="rId10" Type="http://schemas.openxmlformats.org/officeDocument/2006/relationships/hyperlink" Target="https://secure.freee.co.jp/reports/general_ledgers/show?name=%E6%97%85%E8%B2%BB%E4%BA%A4%E9%80%9A%E8%B2%BB&amp;start_date=2024-08-01&amp;end_date=2025-07-31&amp;fiscal_year_id=11960512" TargetMode="External"/><Relationship Id="rId11" Type="http://schemas.openxmlformats.org/officeDocument/2006/relationships/hyperlink" Target="https://secure.freee.co.jp/reports/general_ledgers/show?name=%E9%80%9A%E4%BF%A1%E8%B2%BB&amp;start_date=2024-08-01&amp;end_date=2025-07-31&amp;fiscal_year_id=11960512" TargetMode="External"/><Relationship Id="rId12" Type="http://schemas.openxmlformats.org/officeDocument/2006/relationships/hyperlink" Target="https://secure.freee.co.jp/reports/general_ledgers/show?name=%E6%B6%88%E8%80%97%E5%93%81%E8%B2%BB&amp;start_date=2024-08-01&amp;end_date=2025-07-31&amp;fiscal_year_id=11960512" TargetMode="External"/><Relationship Id="rId13" Type="http://schemas.openxmlformats.org/officeDocument/2006/relationships/hyperlink" Target="https://secure.freee.co.jp/reports/general_ledgers/show?name=%E4%BF%AE%E7%B9%95%E8%B2%BB&amp;start_date=2024-08-01&amp;end_date=2025-07-31&amp;fiscal_year_id=11960512" TargetMode="External"/><Relationship Id="rId14" Type="http://schemas.openxmlformats.org/officeDocument/2006/relationships/hyperlink" Target="https://secure.freee.co.jp/reports/general_ledgers/show?name=%E6%B0%B4%E9%81%93%E5%85%89%E7%86%B1%E8%B2%BB&amp;start_date=2024-08-01&amp;end_date=2025-07-31&amp;fiscal_year_id=11960512" TargetMode="External"/><Relationship Id="rId15" Type="http://schemas.openxmlformats.org/officeDocument/2006/relationships/hyperlink" Target="https://secure.freee.co.jp/reports/general_ledgers/show?name=%E6%96%B0%E8%81%9E%E5%9B%B3%E6%9B%B8%E8%B2%BB&amp;start_date=2024-08-01&amp;end_date=2025-07-31&amp;fiscal_year_id=11960512" TargetMode="External"/><Relationship Id="rId16" Type="http://schemas.openxmlformats.org/officeDocument/2006/relationships/hyperlink" Target="https://secure.freee.co.jp/reports/general_ledgers/show?name=%E8%AB%B8%E4%BC%9A%E8%B2%BB&amp;start_date=2024-08-01&amp;end_date=2025-07-31&amp;fiscal_year_id=11960512" TargetMode="External"/><Relationship Id="rId17" Type="http://schemas.openxmlformats.org/officeDocument/2006/relationships/hyperlink" Target="https://secure.freee.co.jp/reports/general_ledgers/show?name=%E6%94%AF%E6%89%95%E6%89%8B%E6%95%B0%E6%96%99&amp;start_date=2024-08-01&amp;end_date=2025-07-31&amp;fiscal_year_id=11960512" TargetMode="External"/><Relationship Id="rId18" Type="http://schemas.openxmlformats.org/officeDocument/2006/relationships/hyperlink" Target="https://secure.freee.co.jp/reports/general_ledgers/show?name=%E5%9C%B0%E4%BB%A3%E5%AE%B6%E8%B3%83&amp;start_date=2024-08-01&amp;end_date=2025-07-31&amp;fiscal_year_id=11960512" TargetMode="External"/><Relationship Id="rId19" Type="http://schemas.openxmlformats.org/officeDocument/2006/relationships/hyperlink" Target="https://secure.freee.co.jp/reports/general_ledgers/show?name=%E8%B3%83%E5%80%9F%E6%96%99&amp;start_date=2024-08-01&amp;end_date=2025-07-31&amp;fiscal_year_id=11960512" TargetMode="External"/><Relationship Id="rId20" Type="http://schemas.openxmlformats.org/officeDocument/2006/relationships/hyperlink" Target="https://secure.freee.co.jp/reports/general_ledgers/show?name=%E4%BF%9D%E9%99%BA%E6%96%99&amp;start_date=2024-08-01&amp;end_date=2025-07-31&amp;fiscal_year_id=11960512" TargetMode="External"/><Relationship Id="rId21" Type="http://schemas.openxmlformats.org/officeDocument/2006/relationships/hyperlink" Target="https://secure.freee.co.jp/reports/general_ledgers/show?name=%E7%A7%9F%E7%A8%8E%E5%85%AC%E8%AA%B2&amp;start_date=2024-08-01&amp;end_date=2025-07-31&amp;fiscal_year_id=11960512" TargetMode="External"/><Relationship Id="rId22" Type="http://schemas.openxmlformats.org/officeDocument/2006/relationships/hyperlink" Target="https://secure.freee.co.jp/reports/general_ledgers/show?name=%E6%94%AF%E6%89%95%E5%A0%B1%E9%85%AC%E6%96%99&amp;start_date=2024-08-01&amp;end_date=2025-07-31&amp;fiscal_year_id=11960512" TargetMode="External"/><Relationship Id="rId23" Type="http://schemas.openxmlformats.org/officeDocument/2006/relationships/hyperlink" Target="https://secure.freee.co.jp/reports/general_ledgers/show?name=%E6%B8%9B%E4%BE%A1%E5%84%9F%E5%8D%B4%E8%B2%BB&amp;start_date=2024-08-01&amp;end_date=2025-07-31&amp;fiscal_year_id=11960512" TargetMode="External"/><Relationship Id="rId24" Type="http://schemas.openxmlformats.org/officeDocument/2006/relationships/hyperlink" Target="https://secure.freee.co.jp/reports/general_ledgers/show?name=%E9%9B%91%E8%B2%BB&amp;start_date=2024-08-01&amp;end_date=2025-07-31&amp;fiscal_year_id=11960512" TargetMode="External"/><Relationship Id="rId25" Type="http://schemas.openxmlformats.org/officeDocument/2006/relationships/hyperlink" Target="https://secure.freee.co.jp/reports/general_ledgers/show?name=%E5%8F%97%E5%8F%96%E5%88%A9%E6%81%AF&amp;start_date=2024-08-01&amp;end_date=2025-07-31&amp;fiscal_year_id=11960512" TargetMode="External"/><Relationship Id="rId26" Type="http://schemas.openxmlformats.org/officeDocument/2006/relationships/hyperlink" Target="https://secure.freee.co.jp/reports/general_ledgers/show?name=%E5%8F%97%E5%8F%96%E9%85%8D%E5%BD%93%E9%87%91&amp;start_date=2024-08-01&amp;end_date=2025-07-31&amp;fiscal_year_id=11960512" TargetMode="External"/><Relationship Id="rId27" Type="http://schemas.openxmlformats.org/officeDocument/2006/relationships/hyperlink" Target="https://secure.freee.co.jp/reports/general_ledgers/show?name=%E9%9B%91%E5%8F%8E%E5%85%A5&amp;start_date=2024-08-01&amp;end_date=2025-07-31&amp;fiscal_year_id=11960512" TargetMode="External"/><Relationship Id="rId28" Type="http://schemas.openxmlformats.org/officeDocument/2006/relationships/hyperlink" Target="https://secure.freee.co.jp/reports/general_ledgers/show?name=%E6%94%AF%E6%89%95%E5%88%A9%E6%81%AF&amp;start_date=2024-08-01&amp;end_date=2025-07-31&amp;fiscal_year_id=11960512" TargetMode="External"/><Relationship Id="rId29" Type="http://schemas.openxmlformats.org/officeDocument/2006/relationships/hyperlink" Target="https://secure.freee.co.jp/reports/general_ledgers/show?name=%E5%A3%B2%E4%B8%8A%E5%82%B5%E6%A8%A9%E5%A3%B2%E5%8D%B4%E6%90%8D&amp;start_date=2024-08-01&amp;end_date=2025-07-31&amp;fiscal_year_id=11960512" TargetMode="External"/><Relationship Id="rId30" Type="http://schemas.openxmlformats.org/officeDocument/2006/relationships/hyperlink" Target="https://secure.freee.co.jp/reports/general_ledgers/show?name=%E6%B3%95%E4%BA%BA%E7%A8%8E%E7%AD%89&amp;start_date=2024-08-01&amp;end_date=2025-07-31&amp;fiscal_year_id=11960512" TargetMode="External"/><Relationship Id="rId31" Type="http://schemas.openxmlformats.org/officeDocument/2006/relationships/hyperlink" Target="https://secure.freee.co.jp/reports/general_ledgers/show?name=%E5%88%B6%E4%BD%9C%E5%A3%B2%E4%B8%8A%E9%AB%98&amp;start_date=2024-08-01&amp;end_date=2025-07-31&amp;fiscal_year_id=11960512" TargetMode="External"/><Relationship Id="rId32" Type="http://schemas.openxmlformats.org/officeDocument/2006/relationships/hyperlink" Target="https://secure.freee.co.jp/reports/general_ledgers/show?name=%E6%9C%9F%E9%A6%96%E4%BB%95%E6%8E%9B%E5%8E%9F%E4%BE%A1&amp;start_date=2024-08-01&amp;end_date=2025-07-31&amp;fiscal_year_id=11960512" TargetMode="External"/><Relationship Id="rId33" Type="http://schemas.openxmlformats.org/officeDocument/2006/relationships/hyperlink" Target="https://secure.freee.co.jp/reports/general_ledgers/show?name=%E6%9C%9F%E9%A6%96%E5%95%86%E5%93%81%E6%A3%9A%E5%8D%B8%E9%AB%98&amp;start_date=2024-08-01&amp;end_date=2025-07-31&amp;fiscal_year_id=11960512" TargetMode="External"/><Relationship Id="rId34" Type="http://schemas.openxmlformats.org/officeDocument/2006/relationships/hyperlink" Target="https://secure.freee.co.jp/reports/general_ledgers/show?name=%E4%BB%95%E5%85%A5%E9%AB%98&amp;start_date=2024-08-01&amp;end_date=2025-07-31&amp;fiscal_year_id=11960512" TargetMode="External"/><Relationship Id="rId35" Type="http://schemas.openxmlformats.org/officeDocument/2006/relationships/hyperlink" Target="https://secure.freee.co.jp/reports/general_ledgers/show?name=%E6%9C%9F%E6%9C%AB%E5%95%86%E5%93%81%E6%A3%9A%E5%8D%B8%E9%AB%98&amp;start_date=2024-08-01&amp;end_date=2025-07-31&amp;fiscal_year_id=119605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2</v>
      </c>
      <c r="C9" s="8">
        <v>18</v>
      </c>
      <c r="D9" s="9">
        <v>9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13</v>
      </c>
      <c r="D17" s="11" t="s">
        <v>18</v>
      </c>
      <c r="E17" s="11">
        <v>14</v>
      </c>
    </row>
    <row r="18" spans="1:5" x14ac:dyDescent="0.25">
      <c r="A18" s="10" t="s">
        <v>22</v>
      </c>
      <c r="B18" s="11" t="s">
        <v>18</v>
      </c>
      <c r="C18" s="11">
        <v>4</v>
      </c>
      <c r="D18" s="11">
        <v>7</v>
      </c>
      <c r="E18" s="11">
        <v>11</v>
      </c>
    </row>
    <row r="19" spans="1:5" x14ac:dyDescent="0.25">
      <c r="A19" s="10" t="s">
        <v>23</v>
      </c>
      <c r="B19" s="11">
        <v>1</v>
      </c>
      <c r="C19" s="11">
        <v>1</v>
      </c>
      <c r="D19" s="11">
        <v>2</v>
      </c>
      <c r="E19" s="11">
        <v>4</v>
      </c>
    </row>
    <row r="20" spans="1:5" x14ac:dyDescent="0.25">
      <c r="A20" s="12" t="s">
        <v>16</v>
      </c>
      <c r="B20" s="13">
        <v>2</v>
      </c>
      <c r="C20" s="13">
        <v>18</v>
      </c>
      <c r="D20" s="13">
        <v>9</v>
      </c>
      <c r="E20" s="13">
        <v>29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3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1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4" t="s">
        <v>82</v>
      </c>
      <c r="B51" s="14" t="s">
        <v>83</v>
      </c>
      <c r="C51" s="15" t="s">
        <v>30</v>
      </c>
      <c r="D51" s="15">
        <v>1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0" t="s">
        <v>92</v>
      </c>
      <c r="B56" s="10" t="s">
        <v>93</v>
      </c>
      <c r="C56" s="11" t="s">
        <v>33</v>
      </c>
      <c r="D56" s="11">
        <v>0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4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0" t="s">
        <v>126</v>
      </c>
      <c r="B73" s="10" t="s">
        <v>127</v>
      </c>
      <c r="C73" s="11" t="s">
        <v>33</v>
      </c>
      <c r="D73" s="11">
        <v>0</v>
      </c>
    </row>
    <row r="74" spans="1:4" x14ac:dyDescent="0.25">
      <c r="A74" s="10" t="s">
        <v>128</v>
      </c>
      <c r="B74" s="10" t="s">
        <v>129</v>
      </c>
      <c r="C74" s="11" t="s">
        <v>33</v>
      </c>
      <c r="D74" s="11">
        <v>0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4" t="s">
        <v>14</v>
      </c>
      <c r="B4" s="14" t="s">
        <v>42</v>
      </c>
      <c r="C4" s="14" t="s">
        <v>185</v>
      </c>
      <c r="D4" s="19" t="s">
        <v>186</v>
      </c>
      <c r="E4" s="14" t="s">
        <v>187</v>
      </c>
      <c r="F4" s="19" t="s">
        <v>188</v>
      </c>
      <c r="G4" s="20" t="s">
        <v>180</v>
      </c>
    </row>
    <row r="5" spans="1:7" x14ac:dyDescent="0.25">
      <c r="A5" s="14" t="s">
        <v>14</v>
      </c>
      <c r="B5" s="14" t="s">
        <v>42</v>
      </c>
      <c r="C5" s="14" t="s">
        <v>185</v>
      </c>
      <c r="D5" s="19" t="s">
        <v>189</v>
      </c>
      <c r="E5" s="14" t="s">
        <v>190</v>
      </c>
      <c r="F5" s="19" t="s">
        <v>188</v>
      </c>
      <c r="G5" s="20" t="s">
        <v>180</v>
      </c>
    </row>
    <row r="6" spans="1:7" x14ac:dyDescent="0.25">
      <c r="A6" s="14" t="s">
        <v>14</v>
      </c>
      <c r="B6" s="14" t="s">
        <v>42</v>
      </c>
      <c r="C6" s="14" t="s">
        <v>185</v>
      </c>
      <c r="D6" s="19" t="s">
        <v>191</v>
      </c>
      <c r="E6" s="14" t="s">
        <v>192</v>
      </c>
      <c r="F6" s="19" t="s">
        <v>188</v>
      </c>
      <c r="G6" s="20" t="s">
        <v>180</v>
      </c>
    </row>
    <row r="7" spans="1:7" x14ac:dyDescent="0.25">
      <c r="A7" s="14" t="s">
        <v>14</v>
      </c>
      <c r="B7" s="14" t="s">
        <v>52</v>
      </c>
      <c r="C7" s="14" t="s">
        <v>193</v>
      </c>
      <c r="D7" s="19" t="s">
        <v>194</v>
      </c>
      <c r="E7" s="14" t="s">
        <v>195</v>
      </c>
      <c r="F7" s="19" t="s">
        <v>196</v>
      </c>
      <c r="G7" s="20" t="s">
        <v>180</v>
      </c>
    </row>
    <row r="8" spans="1:7" x14ac:dyDescent="0.25">
      <c r="A8" s="14" t="s">
        <v>14</v>
      </c>
      <c r="B8" s="14" t="s">
        <v>60</v>
      </c>
      <c r="C8" s="14" t="s">
        <v>197</v>
      </c>
      <c r="D8" s="19" t="s">
        <v>198</v>
      </c>
      <c r="E8" s="14" t="s">
        <v>199</v>
      </c>
      <c r="F8" s="19" t="s">
        <v>200</v>
      </c>
      <c r="G8" s="20" t="s">
        <v>180</v>
      </c>
    </row>
    <row r="9" spans="1:7" x14ac:dyDescent="0.25">
      <c r="A9" s="14" t="s">
        <v>14</v>
      </c>
      <c r="B9" s="14" t="s">
        <v>62</v>
      </c>
      <c r="C9" s="14" t="s">
        <v>197</v>
      </c>
      <c r="D9" s="19" t="s">
        <v>201</v>
      </c>
      <c r="E9" s="14" t="s">
        <v>202</v>
      </c>
      <c r="F9" s="19" t="s">
        <v>203</v>
      </c>
      <c r="G9" s="20" t="s">
        <v>180</v>
      </c>
    </row>
    <row r="10" spans="1:7" x14ac:dyDescent="0.25">
      <c r="A10" s="14" t="s">
        <v>14</v>
      </c>
      <c r="B10" s="14" t="s">
        <v>102</v>
      </c>
      <c r="C10" s="14" t="s">
        <v>204</v>
      </c>
      <c r="D10" s="19" t="s">
        <v>205</v>
      </c>
      <c r="E10" s="14" t="s">
        <v>206</v>
      </c>
      <c r="F10" s="19" t="s">
        <v>207</v>
      </c>
      <c r="G10" s="20" t="s">
        <v>180</v>
      </c>
    </row>
    <row r="11" spans="1:7" x14ac:dyDescent="0.25">
      <c r="A11" s="14" t="s">
        <v>14</v>
      </c>
      <c r="B11" s="14" t="s">
        <v>102</v>
      </c>
      <c r="C11" s="14" t="s">
        <v>204</v>
      </c>
      <c r="D11" s="19" t="s">
        <v>208</v>
      </c>
      <c r="E11" s="14" t="s">
        <v>209</v>
      </c>
      <c r="F11" s="19" t="s">
        <v>207</v>
      </c>
      <c r="G11" s="20" t="s">
        <v>180</v>
      </c>
    </row>
    <row r="12" spans="1:7" x14ac:dyDescent="0.25">
      <c r="A12" s="14" t="s">
        <v>14</v>
      </c>
      <c r="B12" s="14" t="s">
        <v>102</v>
      </c>
      <c r="C12" s="14" t="s">
        <v>204</v>
      </c>
      <c r="D12" s="19" t="s">
        <v>210</v>
      </c>
      <c r="E12" s="14" t="s">
        <v>211</v>
      </c>
      <c r="F12" s="19" t="s">
        <v>207</v>
      </c>
      <c r="G12" s="20" t="s">
        <v>180</v>
      </c>
    </row>
    <row r="13" spans="1:7" x14ac:dyDescent="0.25">
      <c r="A13" s="14" t="s">
        <v>14</v>
      </c>
      <c r="B13" s="14" t="s">
        <v>104</v>
      </c>
      <c r="C13" s="14" t="s">
        <v>204</v>
      </c>
      <c r="D13" s="19" t="s">
        <v>212</v>
      </c>
      <c r="E13" s="14" t="s">
        <v>213</v>
      </c>
      <c r="F13" s="19" t="s">
        <v>214</v>
      </c>
      <c r="G13" s="20" t="s">
        <v>180</v>
      </c>
    </row>
    <row r="14" spans="1:7" x14ac:dyDescent="0.25">
      <c r="A14" s="14" t="s">
        <v>14</v>
      </c>
      <c r="B14" s="14" t="s">
        <v>112</v>
      </c>
      <c r="C14" s="14" t="s">
        <v>181</v>
      </c>
      <c r="D14" s="19" t="s">
        <v>215</v>
      </c>
      <c r="E14" s="14" t="s">
        <v>216</v>
      </c>
      <c r="F14" s="19" t="s">
        <v>217</v>
      </c>
      <c r="G14" s="20" t="s">
        <v>180</v>
      </c>
    </row>
    <row r="15" spans="1:7" x14ac:dyDescent="0.25">
      <c r="A15" s="21" t="s">
        <v>6</v>
      </c>
      <c r="B15" s="21" t="s">
        <v>6</v>
      </c>
      <c r="C15" s="21" t="s">
        <v>6</v>
      </c>
      <c r="D15" s="22" t="s">
        <v>218</v>
      </c>
      <c r="E15" s="21" t="s">
        <v>219</v>
      </c>
      <c r="F15" s="22" t="s">
        <v>6</v>
      </c>
      <c r="G15" s="23" t="s">
        <v>220</v>
      </c>
    </row>
    <row r="16" spans="1:7" x14ac:dyDescent="0.25">
      <c r="A16" s="21" t="s">
        <v>6</v>
      </c>
      <c r="B16" s="21" t="s">
        <v>6</v>
      </c>
      <c r="C16" s="21" t="s">
        <v>6</v>
      </c>
      <c r="D16" s="22" t="s">
        <v>221</v>
      </c>
      <c r="E16" s="21" t="s">
        <v>222</v>
      </c>
      <c r="F16" s="22" t="s">
        <v>6</v>
      </c>
      <c r="G16" s="23" t="s">
        <v>220</v>
      </c>
    </row>
    <row r="17" spans="1:7" x14ac:dyDescent="0.25">
      <c r="A17" s="21" t="s">
        <v>6</v>
      </c>
      <c r="B17" s="21" t="s">
        <v>6</v>
      </c>
      <c r="C17" s="21" t="s">
        <v>6</v>
      </c>
      <c r="D17" s="22" t="s">
        <v>223</v>
      </c>
      <c r="E17" s="21" t="s">
        <v>224</v>
      </c>
      <c r="F17" s="22" t="s">
        <v>6</v>
      </c>
      <c r="G17" s="23" t="s">
        <v>220</v>
      </c>
    </row>
    <row r="18" spans="1:7" x14ac:dyDescent="0.25">
      <c r="A18" s="21" t="s">
        <v>6</v>
      </c>
      <c r="B18" s="21" t="s">
        <v>6</v>
      </c>
      <c r="C18" s="21" t="s">
        <v>6</v>
      </c>
      <c r="D18" s="22" t="s">
        <v>225</v>
      </c>
      <c r="E18" s="21" t="s">
        <v>226</v>
      </c>
      <c r="F18" s="22" t="s">
        <v>6</v>
      </c>
      <c r="G18" s="23" t="s">
        <v>220</v>
      </c>
    </row>
    <row r="19" spans="1:7" x14ac:dyDescent="0.25">
      <c r="A19" s="14" t="s">
        <v>14</v>
      </c>
      <c r="B19" s="14" t="s">
        <v>112</v>
      </c>
      <c r="C19" s="14" t="s">
        <v>181</v>
      </c>
      <c r="D19" s="19" t="s">
        <v>227</v>
      </c>
      <c r="E19" s="14" t="s">
        <v>228</v>
      </c>
      <c r="F19" s="19" t="s">
        <v>217</v>
      </c>
      <c r="G19" s="20" t="s">
        <v>180</v>
      </c>
    </row>
    <row r="20" spans="1:7" x14ac:dyDescent="0.25">
      <c r="A20" s="21" t="s">
        <v>6</v>
      </c>
      <c r="B20" s="21" t="s">
        <v>6</v>
      </c>
      <c r="C20" s="21" t="s">
        <v>6</v>
      </c>
      <c r="D20" s="22" t="s">
        <v>229</v>
      </c>
      <c r="E20" s="21" t="s">
        <v>195</v>
      </c>
      <c r="F20" s="22" t="s">
        <v>6</v>
      </c>
      <c r="G20" s="23" t="s">
        <v>220</v>
      </c>
    </row>
    <row r="21" spans="1:7" x14ac:dyDescent="0.25">
      <c r="A21" s="14" t="s">
        <v>14</v>
      </c>
      <c r="B21" s="14" t="s">
        <v>112</v>
      </c>
      <c r="C21" s="14" t="s">
        <v>181</v>
      </c>
      <c r="D21" s="19" t="s">
        <v>230</v>
      </c>
      <c r="E21" s="14" t="s">
        <v>231</v>
      </c>
      <c r="F21" s="19" t="s">
        <v>217</v>
      </c>
      <c r="G21" s="20" t="s">
        <v>180</v>
      </c>
    </row>
    <row r="22" spans="1:7" x14ac:dyDescent="0.25">
      <c r="A22" s="21" t="s">
        <v>6</v>
      </c>
      <c r="B22" s="21" t="s">
        <v>6</v>
      </c>
      <c r="C22" s="21" t="s">
        <v>6</v>
      </c>
      <c r="D22" s="22" t="s">
        <v>232</v>
      </c>
      <c r="E22" s="21" t="s">
        <v>233</v>
      </c>
      <c r="F22" s="22" t="s">
        <v>6</v>
      </c>
      <c r="G22" s="23" t="s">
        <v>220</v>
      </c>
    </row>
    <row r="23" spans="1:7" x14ac:dyDescent="0.25">
      <c r="A23" s="14" t="s">
        <v>14</v>
      </c>
      <c r="B23" s="14" t="s">
        <v>114</v>
      </c>
      <c r="C23" s="14" t="s">
        <v>181</v>
      </c>
      <c r="D23" s="19" t="s">
        <v>234</v>
      </c>
      <c r="E23" s="14" t="s">
        <v>233</v>
      </c>
      <c r="F23" s="19" t="s">
        <v>235</v>
      </c>
      <c r="G23" s="20" t="s">
        <v>180</v>
      </c>
    </row>
    <row r="24" spans="1:7" x14ac:dyDescent="0.25">
      <c r="A24" s="21" t="s">
        <v>6</v>
      </c>
      <c r="B24" s="21" t="s">
        <v>6</v>
      </c>
      <c r="C24" s="21" t="s">
        <v>6</v>
      </c>
      <c r="D24" s="22" t="s">
        <v>236</v>
      </c>
      <c r="E24" s="21" t="s">
        <v>233</v>
      </c>
      <c r="F24" s="22" t="s">
        <v>6</v>
      </c>
      <c r="G24" s="23" t="s">
        <v>220</v>
      </c>
    </row>
    <row r="25" spans="1:7" x14ac:dyDescent="0.25">
      <c r="A25" s="14" t="s">
        <v>14</v>
      </c>
      <c r="B25" s="14" t="s">
        <v>116</v>
      </c>
      <c r="C25" s="14" t="s">
        <v>181</v>
      </c>
      <c r="D25" s="19" t="s">
        <v>237</v>
      </c>
      <c r="E25" s="14" t="s">
        <v>238</v>
      </c>
      <c r="F25" s="19" t="s">
        <v>239</v>
      </c>
      <c r="G25" s="20" t="s">
        <v>180</v>
      </c>
    </row>
    <row r="26" spans="1:7" x14ac:dyDescent="0.25">
      <c r="A26" s="14" t="s">
        <v>14</v>
      </c>
      <c r="B26" s="14" t="s">
        <v>116</v>
      </c>
      <c r="C26" s="14" t="s">
        <v>181</v>
      </c>
      <c r="D26" s="19" t="s">
        <v>240</v>
      </c>
      <c r="E26" s="14" t="s">
        <v>241</v>
      </c>
      <c r="F26" s="19" t="s">
        <v>239</v>
      </c>
      <c r="G26" s="20" t="s">
        <v>180</v>
      </c>
    </row>
    <row r="27" spans="1:7" x14ac:dyDescent="0.25">
      <c r="A27" s="14" t="s">
        <v>14</v>
      </c>
      <c r="B27" s="14" t="s">
        <v>116</v>
      </c>
      <c r="C27" s="14" t="s">
        <v>181</v>
      </c>
      <c r="D27" s="19" t="s">
        <v>242</v>
      </c>
      <c r="E27" s="14" t="s">
        <v>243</v>
      </c>
      <c r="F27" s="19" t="s">
        <v>239</v>
      </c>
      <c r="G27" s="20" t="s">
        <v>180</v>
      </c>
    </row>
    <row r="28" spans="1:7" x14ac:dyDescent="0.25">
      <c r="A28" s="14" t="s">
        <v>14</v>
      </c>
      <c r="B28" s="14" t="s">
        <v>116</v>
      </c>
      <c r="C28" s="14" t="s">
        <v>181</v>
      </c>
      <c r="D28" s="19" t="s">
        <v>244</v>
      </c>
      <c r="E28" s="14" t="s">
        <v>245</v>
      </c>
      <c r="F28" s="19" t="s">
        <v>239</v>
      </c>
      <c r="G28" s="20" t="s">
        <v>180</v>
      </c>
    </row>
    <row r="29" spans="1:7" x14ac:dyDescent="0.25">
      <c r="A29" s="24" t="s">
        <v>15</v>
      </c>
      <c r="B29" s="24" t="s">
        <v>54</v>
      </c>
      <c r="C29" s="24" t="s">
        <v>193</v>
      </c>
      <c r="D29" s="25" t="s">
        <v>246</v>
      </c>
      <c r="E29" s="24" t="s">
        <v>247</v>
      </c>
      <c r="F29" s="25" t="s">
        <v>248</v>
      </c>
      <c r="G29" s="26" t="s">
        <v>180</v>
      </c>
    </row>
    <row r="30" spans="1:7" x14ac:dyDescent="0.25">
      <c r="A30" s="24" t="s">
        <v>15</v>
      </c>
      <c r="B30" s="24" t="s">
        <v>56</v>
      </c>
      <c r="C30" s="24" t="s">
        <v>193</v>
      </c>
      <c r="D30" s="25" t="s">
        <v>249</v>
      </c>
      <c r="E30" s="24" t="s">
        <v>250</v>
      </c>
      <c r="F30" s="25" t="s">
        <v>251</v>
      </c>
      <c r="G30" s="24" t="s">
        <v>6</v>
      </c>
    </row>
    <row r="31" spans="1:7" x14ac:dyDescent="0.25">
      <c r="A31" s="24" t="s">
        <v>15</v>
      </c>
      <c r="B31" s="24" t="s">
        <v>82</v>
      </c>
      <c r="C31" s="24" t="s">
        <v>252</v>
      </c>
      <c r="D31" s="25" t="s">
        <v>253</v>
      </c>
      <c r="E31" s="24" t="s">
        <v>254</v>
      </c>
      <c r="F31" s="25" t="s">
        <v>255</v>
      </c>
      <c r="G31" s="24" t="s">
        <v>6</v>
      </c>
    </row>
    <row r="32" spans="1:7" x14ac:dyDescent="0.25">
      <c r="A32" s="24" t="s">
        <v>15</v>
      </c>
      <c r="B32" s="24" t="s">
        <v>100</v>
      </c>
      <c r="C32" s="24" t="s">
        <v>256</v>
      </c>
      <c r="D32" s="25" t="s">
        <v>257</v>
      </c>
      <c r="E32" s="24" t="s">
        <v>258</v>
      </c>
      <c r="F32" s="25" t="s">
        <v>259</v>
      </c>
      <c r="G32" s="24" t="s">
        <v>6</v>
      </c>
    </row>
    <row r="33" spans="1:7" x14ac:dyDescent="0.25">
      <c r="A33" s="24" t="s">
        <v>15</v>
      </c>
      <c r="B33" s="24" t="s">
        <v>108</v>
      </c>
      <c r="C33" s="24" t="s">
        <v>204</v>
      </c>
      <c r="D33" s="25" t="s">
        <v>260</v>
      </c>
      <c r="E33" s="24" t="s">
        <v>261</v>
      </c>
      <c r="F33" s="25" t="s">
        <v>262</v>
      </c>
      <c r="G33" s="26" t="s">
        <v>180</v>
      </c>
    </row>
    <row r="34" spans="1:7" x14ac:dyDescent="0.25">
      <c r="A34" s="24" t="s">
        <v>15</v>
      </c>
      <c r="B34" s="24" t="s">
        <v>108</v>
      </c>
      <c r="C34" s="24" t="s">
        <v>204</v>
      </c>
      <c r="D34" s="25" t="s">
        <v>263</v>
      </c>
      <c r="E34" s="24" t="s">
        <v>264</v>
      </c>
      <c r="F34" s="25" t="s">
        <v>262</v>
      </c>
      <c r="G34" s="26" t="s">
        <v>180</v>
      </c>
    </row>
    <row r="35" spans="1:7" x14ac:dyDescent="0.25">
      <c r="A35" s="24" t="s">
        <v>15</v>
      </c>
      <c r="B35" s="24" t="s">
        <v>108</v>
      </c>
      <c r="C35" s="24" t="s">
        <v>204</v>
      </c>
      <c r="D35" s="25" t="s">
        <v>265</v>
      </c>
      <c r="E35" s="24" t="s">
        <v>266</v>
      </c>
      <c r="F35" s="25" t="s">
        <v>262</v>
      </c>
      <c r="G35" s="26" t="s">
        <v>180</v>
      </c>
    </row>
    <row r="36" spans="1:7" x14ac:dyDescent="0.25">
      <c r="A36" s="24" t="s">
        <v>15</v>
      </c>
      <c r="B36" s="24" t="s">
        <v>108</v>
      </c>
      <c r="C36" s="24" t="s">
        <v>204</v>
      </c>
      <c r="D36" s="25" t="s">
        <v>267</v>
      </c>
      <c r="E36" s="24" t="s">
        <v>268</v>
      </c>
      <c r="F36" s="25" t="s">
        <v>262</v>
      </c>
      <c r="G36" s="26" t="s">
        <v>180</v>
      </c>
    </row>
    <row r="37" spans="1:7" x14ac:dyDescent="0.25">
      <c r="A37" s="24" t="s">
        <v>15</v>
      </c>
      <c r="B37" s="24" t="s">
        <v>108</v>
      </c>
      <c r="C37" s="24" t="s">
        <v>204</v>
      </c>
      <c r="D37" s="25" t="s">
        <v>269</v>
      </c>
      <c r="E37" s="24" t="s">
        <v>270</v>
      </c>
      <c r="F37" s="25" t="s">
        <v>262</v>
      </c>
      <c r="G37" s="26" t="s">
        <v>180</v>
      </c>
    </row>
  </sheetData>
  <autoFilter ref="A1:G37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3" r:id="rId29"/>
    <hyperlink ref="G34" r:id="rId30"/>
    <hyperlink ref="G35" r:id="rId31"/>
    <hyperlink ref="G36" r:id="rId32"/>
    <hyperlink ref="G37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271</v>
      </c>
    </row>
    <row r="4" spans="1:1" x14ac:dyDescent="0.25">
      <c r="A4" s="29" t="s">
        <v>272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273</v>
      </c>
    </row>
    <row r="4" spans="1:1" x14ac:dyDescent="0.25">
      <c r="A4" s="29" t="s">
        <v>272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274</v>
      </c>
    </row>
    <row r="4" spans="1:1" x14ac:dyDescent="0.25">
      <c r="A4" s="29" t="s">
        <v>272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275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42</v>
      </c>
      <c r="C6" s="19" t="s">
        <v>186</v>
      </c>
      <c r="D6" s="14" t="s">
        <v>187</v>
      </c>
      <c r="E6" s="19" t="s">
        <v>188</v>
      </c>
      <c r="F6" s="20" t="s">
        <v>180</v>
      </c>
    </row>
    <row r="7" spans="1:6" x14ac:dyDescent="0.25">
      <c r="A7" s="14" t="s">
        <v>14</v>
      </c>
      <c r="B7" s="14" t="s">
        <v>42</v>
      </c>
      <c r="C7" s="19" t="s">
        <v>189</v>
      </c>
      <c r="D7" s="14" t="s">
        <v>190</v>
      </c>
      <c r="E7" s="19" t="s">
        <v>188</v>
      </c>
      <c r="F7" s="20" t="s">
        <v>180</v>
      </c>
    </row>
    <row r="8" spans="1:6" x14ac:dyDescent="0.25">
      <c r="A8" s="14" t="s">
        <v>14</v>
      </c>
      <c r="B8" s="14" t="s">
        <v>42</v>
      </c>
      <c r="C8" s="19" t="s">
        <v>191</v>
      </c>
      <c r="D8" s="14" t="s">
        <v>192</v>
      </c>
      <c r="E8" s="19" t="s">
        <v>188</v>
      </c>
      <c r="F8" s="20" t="s">
        <v>180</v>
      </c>
    </row>
    <row r="9" spans="1:6" x14ac:dyDescent="0.25">
      <c r="A9" s="14" t="s">
        <v>14</v>
      </c>
      <c r="B9" s="14" t="s">
        <v>60</v>
      </c>
      <c r="C9" s="19" t="s">
        <v>198</v>
      </c>
      <c r="D9" s="14" t="s">
        <v>199</v>
      </c>
      <c r="E9" s="19" t="s">
        <v>200</v>
      </c>
      <c r="F9" s="20" t="s">
        <v>180</v>
      </c>
    </row>
    <row r="10" spans="1:6" x14ac:dyDescent="0.25">
      <c r="A10" s="14" t="s">
        <v>14</v>
      </c>
      <c r="B10" s="14" t="s">
        <v>62</v>
      </c>
      <c r="C10" s="19" t="s">
        <v>201</v>
      </c>
      <c r="D10" s="14" t="s">
        <v>202</v>
      </c>
      <c r="E10" s="19" t="s">
        <v>203</v>
      </c>
      <c r="F10" s="20" t="s">
        <v>180</v>
      </c>
    </row>
    <row r="11" spans="1:6" x14ac:dyDescent="0.25">
      <c r="A11" s="14" t="s">
        <v>14</v>
      </c>
      <c r="B11" s="14" t="s">
        <v>112</v>
      </c>
      <c r="C11" s="19" t="s">
        <v>215</v>
      </c>
      <c r="D11" s="14" t="s">
        <v>216</v>
      </c>
      <c r="E11" s="19" t="s">
        <v>217</v>
      </c>
      <c r="F11" s="20" t="s">
        <v>180</v>
      </c>
    </row>
    <row r="12" spans="1:6" x14ac:dyDescent="0.25">
      <c r="A12" s="21" t="s">
        <v>6</v>
      </c>
      <c r="B12" s="21" t="s">
        <v>6</v>
      </c>
      <c r="C12" s="22" t="s">
        <v>218</v>
      </c>
      <c r="D12" s="21" t="s">
        <v>219</v>
      </c>
      <c r="E12" s="22" t="s">
        <v>6</v>
      </c>
      <c r="F12" s="23" t="s">
        <v>220</v>
      </c>
    </row>
    <row r="13" spans="1:6" x14ac:dyDescent="0.25">
      <c r="A13" s="21" t="s">
        <v>6</v>
      </c>
      <c r="B13" s="21" t="s">
        <v>6</v>
      </c>
      <c r="C13" s="22" t="s">
        <v>221</v>
      </c>
      <c r="D13" s="21" t="s">
        <v>222</v>
      </c>
      <c r="E13" s="22" t="s">
        <v>6</v>
      </c>
      <c r="F13" s="23" t="s">
        <v>220</v>
      </c>
    </row>
    <row r="14" spans="1:6" x14ac:dyDescent="0.25">
      <c r="A14" s="21" t="s">
        <v>6</v>
      </c>
      <c r="B14" s="21" t="s">
        <v>6</v>
      </c>
      <c r="C14" s="22" t="s">
        <v>223</v>
      </c>
      <c r="D14" s="21" t="s">
        <v>224</v>
      </c>
      <c r="E14" s="22" t="s">
        <v>6</v>
      </c>
      <c r="F14" s="23" t="s">
        <v>220</v>
      </c>
    </row>
    <row r="15" spans="1:6" x14ac:dyDescent="0.25">
      <c r="A15" s="21" t="s">
        <v>6</v>
      </c>
      <c r="B15" s="21" t="s">
        <v>6</v>
      </c>
      <c r="C15" s="22" t="s">
        <v>225</v>
      </c>
      <c r="D15" s="21" t="s">
        <v>226</v>
      </c>
      <c r="E15" s="22" t="s">
        <v>6</v>
      </c>
      <c r="F15" s="23" t="s">
        <v>220</v>
      </c>
    </row>
    <row r="16" spans="1:6" x14ac:dyDescent="0.25">
      <c r="A16" s="14" t="s">
        <v>14</v>
      </c>
      <c r="B16" s="14" t="s">
        <v>112</v>
      </c>
      <c r="C16" s="19" t="s">
        <v>227</v>
      </c>
      <c r="D16" s="14" t="s">
        <v>228</v>
      </c>
      <c r="E16" s="19" t="s">
        <v>217</v>
      </c>
      <c r="F16" s="20" t="s">
        <v>180</v>
      </c>
    </row>
    <row r="17" spans="1:6" x14ac:dyDescent="0.25">
      <c r="A17" s="21" t="s">
        <v>6</v>
      </c>
      <c r="B17" s="21" t="s">
        <v>6</v>
      </c>
      <c r="C17" s="22" t="s">
        <v>229</v>
      </c>
      <c r="D17" s="21" t="s">
        <v>195</v>
      </c>
      <c r="E17" s="22" t="s">
        <v>6</v>
      </c>
      <c r="F17" s="23" t="s">
        <v>220</v>
      </c>
    </row>
    <row r="18" spans="1:6" x14ac:dyDescent="0.25">
      <c r="A18" s="14" t="s">
        <v>14</v>
      </c>
      <c r="B18" s="14" t="s">
        <v>112</v>
      </c>
      <c r="C18" s="19" t="s">
        <v>230</v>
      </c>
      <c r="D18" s="14" t="s">
        <v>231</v>
      </c>
      <c r="E18" s="19" t="s">
        <v>217</v>
      </c>
      <c r="F18" s="20" t="s">
        <v>180</v>
      </c>
    </row>
    <row r="19" spans="1:6" x14ac:dyDescent="0.25">
      <c r="A19" s="21" t="s">
        <v>6</v>
      </c>
      <c r="B19" s="21" t="s">
        <v>6</v>
      </c>
      <c r="C19" s="22" t="s">
        <v>232</v>
      </c>
      <c r="D19" s="21" t="s">
        <v>233</v>
      </c>
      <c r="E19" s="22" t="s">
        <v>6</v>
      </c>
      <c r="F19" s="23" t="s">
        <v>220</v>
      </c>
    </row>
    <row r="20" spans="1:6" x14ac:dyDescent="0.25">
      <c r="A20" s="14" t="s">
        <v>14</v>
      </c>
      <c r="B20" s="14" t="s">
        <v>114</v>
      </c>
      <c r="C20" s="19" t="s">
        <v>234</v>
      </c>
      <c r="D20" s="14" t="s">
        <v>233</v>
      </c>
      <c r="E20" s="19" t="s">
        <v>235</v>
      </c>
      <c r="F20" s="20" t="s">
        <v>180</v>
      </c>
    </row>
    <row r="21" spans="1:6" x14ac:dyDescent="0.25">
      <c r="A21" s="21" t="s">
        <v>6</v>
      </c>
      <c r="B21" s="21" t="s">
        <v>6</v>
      </c>
      <c r="C21" s="22" t="s">
        <v>236</v>
      </c>
      <c r="D21" s="21" t="s">
        <v>233</v>
      </c>
      <c r="E21" s="22" t="s">
        <v>6</v>
      </c>
      <c r="F21" s="23" t="s">
        <v>220</v>
      </c>
    </row>
    <row r="22" spans="1:6" x14ac:dyDescent="0.25">
      <c r="A22" s="14" t="s">
        <v>14</v>
      </c>
      <c r="B22" s="14" t="s">
        <v>116</v>
      </c>
      <c r="C22" s="19" t="s">
        <v>237</v>
      </c>
      <c r="D22" s="14" t="s">
        <v>238</v>
      </c>
      <c r="E22" s="19" t="s">
        <v>239</v>
      </c>
      <c r="F22" s="20" t="s">
        <v>180</v>
      </c>
    </row>
    <row r="23" spans="1:6" x14ac:dyDescent="0.25">
      <c r="A23" s="14" t="s">
        <v>14</v>
      </c>
      <c r="B23" s="14" t="s">
        <v>116</v>
      </c>
      <c r="C23" s="19" t="s">
        <v>240</v>
      </c>
      <c r="D23" s="14" t="s">
        <v>241</v>
      </c>
      <c r="E23" s="19" t="s">
        <v>239</v>
      </c>
      <c r="F23" s="20" t="s">
        <v>180</v>
      </c>
    </row>
    <row r="24" spans="1:6" x14ac:dyDescent="0.25">
      <c r="A24" s="14" t="s">
        <v>14</v>
      </c>
      <c r="B24" s="14" t="s">
        <v>116</v>
      </c>
      <c r="C24" s="19" t="s">
        <v>242</v>
      </c>
      <c r="D24" s="14" t="s">
        <v>243</v>
      </c>
      <c r="E24" s="19" t="s">
        <v>239</v>
      </c>
      <c r="F24" s="20" t="s">
        <v>180</v>
      </c>
    </row>
    <row r="25" spans="1:6" x14ac:dyDescent="0.25">
      <c r="A25" s="14" t="s">
        <v>14</v>
      </c>
      <c r="B25" s="14" t="s">
        <v>116</v>
      </c>
      <c r="C25" s="19" t="s">
        <v>244</v>
      </c>
      <c r="D25" s="14" t="s">
        <v>245</v>
      </c>
      <c r="E25" s="19" t="s">
        <v>239</v>
      </c>
      <c r="F25" s="20" t="s">
        <v>180</v>
      </c>
    </row>
  </sheetData>
  <autoFilter ref="A4:F2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276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102</v>
      </c>
      <c r="C5" s="19" t="s">
        <v>205</v>
      </c>
      <c r="D5" s="14" t="s">
        <v>206</v>
      </c>
      <c r="E5" s="19" t="s">
        <v>207</v>
      </c>
      <c r="F5" s="20" t="s">
        <v>180</v>
      </c>
    </row>
    <row r="6" spans="1:6" x14ac:dyDescent="0.25">
      <c r="A6" s="14" t="s">
        <v>14</v>
      </c>
      <c r="B6" s="14" t="s">
        <v>102</v>
      </c>
      <c r="C6" s="19" t="s">
        <v>208</v>
      </c>
      <c r="D6" s="14" t="s">
        <v>209</v>
      </c>
      <c r="E6" s="19" t="s">
        <v>207</v>
      </c>
      <c r="F6" s="20" t="s">
        <v>180</v>
      </c>
    </row>
    <row r="7" spans="1:6" x14ac:dyDescent="0.25">
      <c r="A7" s="14" t="s">
        <v>14</v>
      </c>
      <c r="B7" s="14" t="s">
        <v>102</v>
      </c>
      <c r="C7" s="19" t="s">
        <v>210</v>
      </c>
      <c r="D7" s="14" t="s">
        <v>211</v>
      </c>
      <c r="E7" s="19" t="s">
        <v>207</v>
      </c>
      <c r="F7" s="20" t="s">
        <v>180</v>
      </c>
    </row>
    <row r="8" spans="1:6" x14ac:dyDescent="0.25">
      <c r="A8" s="14" t="s">
        <v>14</v>
      </c>
      <c r="B8" s="14" t="s">
        <v>104</v>
      </c>
      <c r="C8" s="19" t="s">
        <v>212</v>
      </c>
      <c r="D8" s="14" t="s">
        <v>213</v>
      </c>
      <c r="E8" s="19" t="s">
        <v>214</v>
      </c>
      <c r="F8" s="20" t="s">
        <v>180</v>
      </c>
    </row>
    <row r="9" spans="1:6" x14ac:dyDescent="0.25">
      <c r="A9" s="24" t="s">
        <v>15</v>
      </c>
      <c r="B9" s="24" t="s">
        <v>82</v>
      </c>
      <c r="C9" s="25" t="s">
        <v>253</v>
      </c>
      <c r="D9" s="24" t="s">
        <v>254</v>
      </c>
      <c r="E9" s="25" t="s">
        <v>255</v>
      </c>
      <c r="F9" s="24" t="s">
        <v>6</v>
      </c>
    </row>
    <row r="10" spans="1:6" x14ac:dyDescent="0.25">
      <c r="A10" s="24" t="s">
        <v>15</v>
      </c>
      <c r="B10" s="24" t="s">
        <v>100</v>
      </c>
      <c r="C10" s="25" t="s">
        <v>257</v>
      </c>
      <c r="D10" s="24" t="s">
        <v>258</v>
      </c>
      <c r="E10" s="25" t="s">
        <v>259</v>
      </c>
      <c r="F10" s="24" t="s">
        <v>6</v>
      </c>
    </row>
    <row r="11" spans="1:6" x14ac:dyDescent="0.25">
      <c r="A11" s="24" t="s">
        <v>15</v>
      </c>
      <c r="B11" s="24" t="s">
        <v>108</v>
      </c>
      <c r="C11" s="25" t="s">
        <v>260</v>
      </c>
      <c r="D11" s="24" t="s">
        <v>261</v>
      </c>
      <c r="E11" s="25" t="s">
        <v>262</v>
      </c>
      <c r="F11" s="26" t="s">
        <v>180</v>
      </c>
    </row>
    <row r="12" spans="1:6" x14ac:dyDescent="0.25">
      <c r="A12" s="24" t="s">
        <v>15</v>
      </c>
      <c r="B12" s="24" t="s">
        <v>108</v>
      </c>
      <c r="C12" s="25" t="s">
        <v>263</v>
      </c>
      <c r="D12" s="24" t="s">
        <v>264</v>
      </c>
      <c r="E12" s="25" t="s">
        <v>262</v>
      </c>
      <c r="F12" s="26" t="s">
        <v>180</v>
      </c>
    </row>
    <row r="13" spans="1:6" x14ac:dyDescent="0.25">
      <c r="A13" s="24" t="s">
        <v>15</v>
      </c>
      <c r="B13" s="24" t="s">
        <v>108</v>
      </c>
      <c r="C13" s="25" t="s">
        <v>265</v>
      </c>
      <c r="D13" s="24" t="s">
        <v>266</v>
      </c>
      <c r="E13" s="25" t="s">
        <v>262</v>
      </c>
      <c r="F13" s="26" t="s">
        <v>180</v>
      </c>
    </row>
    <row r="14" spans="1:6" x14ac:dyDescent="0.25">
      <c r="A14" s="24" t="s">
        <v>15</v>
      </c>
      <c r="B14" s="24" t="s">
        <v>108</v>
      </c>
      <c r="C14" s="25" t="s">
        <v>267</v>
      </c>
      <c r="D14" s="24" t="s">
        <v>268</v>
      </c>
      <c r="E14" s="25" t="s">
        <v>262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269</v>
      </c>
      <c r="D15" s="24" t="s">
        <v>270</v>
      </c>
      <c r="E15" s="25" t="s">
        <v>262</v>
      </c>
      <c r="F15" s="26" t="s">
        <v>180</v>
      </c>
    </row>
  </sheetData>
  <autoFilter ref="A4:F15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277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52</v>
      </c>
      <c r="C6" s="19" t="s">
        <v>194</v>
      </c>
      <c r="D6" s="14" t="s">
        <v>195</v>
      </c>
      <c r="E6" s="19" t="s">
        <v>196</v>
      </c>
      <c r="F6" s="20" t="s">
        <v>180</v>
      </c>
    </row>
    <row r="7" spans="1:6" x14ac:dyDescent="0.25">
      <c r="A7" s="24" t="s">
        <v>15</v>
      </c>
      <c r="B7" s="24" t="s">
        <v>54</v>
      </c>
      <c r="C7" s="25" t="s">
        <v>246</v>
      </c>
      <c r="D7" s="24" t="s">
        <v>247</v>
      </c>
      <c r="E7" s="25" t="s">
        <v>248</v>
      </c>
      <c r="F7" s="26" t="s">
        <v>180</v>
      </c>
    </row>
    <row r="8" spans="1:6" x14ac:dyDescent="0.25">
      <c r="A8" s="24" t="s">
        <v>15</v>
      </c>
      <c r="B8" s="24" t="s">
        <v>56</v>
      </c>
      <c r="C8" s="25" t="s">
        <v>249</v>
      </c>
      <c r="D8" s="24" t="s">
        <v>250</v>
      </c>
      <c r="E8" s="25" t="s">
        <v>251</v>
      </c>
      <c r="F8" s="24" t="s">
        <v>6</v>
      </c>
    </row>
  </sheetData>
  <autoFilter ref="A4:F8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278</v>
      </c>
      <c r="B1" s="5" t="s">
        <v>279</v>
      </c>
      <c r="C1" s="5" t="s">
        <v>280</v>
      </c>
      <c r="D1" s="5" t="s">
        <v>281</v>
      </c>
      <c r="E1" s="5" t="s">
        <v>282</v>
      </c>
      <c r="F1" s="5" t="s">
        <v>283</v>
      </c>
      <c r="G1" s="5" t="s">
        <v>284</v>
      </c>
    </row>
    <row r="2" spans="1:7" x14ac:dyDescent="0.25">
      <c r="A2" s="10" t="s">
        <v>285</v>
      </c>
      <c r="B2" s="30">
        <v>4607</v>
      </c>
      <c r="C2" s="30">
        <v>9278</v>
      </c>
      <c r="D2" s="31">
        <v>-4671</v>
      </c>
      <c r="E2" s="32" t="s">
        <v>286</v>
      </c>
      <c r="F2" s="10" t="s">
        <v>287</v>
      </c>
      <c r="G2" s="33" t="s">
        <v>288</v>
      </c>
    </row>
    <row r="3" spans="1:7" x14ac:dyDescent="0.25">
      <c r="A3" s="10" t="s">
        <v>289</v>
      </c>
      <c r="B3" s="30">
        <v>806</v>
      </c>
      <c r="C3" s="30">
        <v>494042</v>
      </c>
      <c r="D3" s="31">
        <v>-493236</v>
      </c>
      <c r="E3" s="32" t="s">
        <v>290</v>
      </c>
      <c r="F3" s="10" t="s">
        <v>287</v>
      </c>
      <c r="G3" s="33" t="s">
        <v>288</v>
      </c>
    </row>
    <row r="4" spans="1:7" x14ac:dyDescent="0.25">
      <c r="A4" s="10" t="s">
        <v>291</v>
      </c>
      <c r="B4" s="30">
        <v>3228</v>
      </c>
      <c r="C4" s="30">
        <v>11636</v>
      </c>
      <c r="D4" s="31">
        <v>-8408</v>
      </c>
      <c r="E4" s="32" t="s">
        <v>292</v>
      </c>
      <c r="F4" s="10" t="s">
        <v>287</v>
      </c>
      <c r="G4" s="33" t="s">
        <v>288</v>
      </c>
    </row>
    <row r="5" spans="1:7" x14ac:dyDescent="0.25">
      <c r="A5" s="10" t="s">
        <v>293</v>
      </c>
      <c r="B5" s="30">
        <v>1017</v>
      </c>
      <c r="C5" s="30">
        <v>9039</v>
      </c>
      <c r="D5" s="31">
        <v>-8022</v>
      </c>
      <c r="E5" s="32" t="s">
        <v>294</v>
      </c>
      <c r="F5" s="10" t="s">
        <v>287</v>
      </c>
      <c r="G5" s="33" t="s">
        <v>288</v>
      </c>
    </row>
    <row r="6" spans="1:7" x14ac:dyDescent="0.25">
      <c r="A6" s="10" t="s">
        <v>295</v>
      </c>
      <c r="B6" s="30">
        <v>14050</v>
      </c>
      <c r="C6" s="30">
        <v>13496</v>
      </c>
      <c r="D6" s="30">
        <v>554</v>
      </c>
      <c r="E6" s="32" t="s">
        <v>296</v>
      </c>
      <c r="F6" s="10" t="s">
        <v>6</v>
      </c>
      <c r="G6" s="33" t="s">
        <v>288</v>
      </c>
    </row>
    <row r="7" spans="1:7" x14ac:dyDescent="0.25">
      <c r="A7" s="10" t="s">
        <v>297</v>
      </c>
      <c r="B7" s="30">
        <v>11886</v>
      </c>
      <c r="C7" s="30">
        <v>413113</v>
      </c>
      <c r="D7" s="31">
        <v>-401227</v>
      </c>
      <c r="E7" s="32" t="s">
        <v>298</v>
      </c>
      <c r="F7" s="10" t="s">
        <v>287</v>
      </c>
      <c r="G7" s="33" t="s">
        <v>288</v>
      </c>
    </row>
    <row r="8" spans="1:7" x14ac:dyDescent="0.25">
      <c r="A8" s="10" t="s">
        <v>299</v>
      </c>
      <c r="B8" s="30">
        <v>9073</v>
      </c>
      <c r="C8" s="30">
        <v>5000</v>
      </c>
      <c r="D8" s="31">
        <v>4073</v>
      </c>
      <c r="E8" s="32" t="s">
        <v>300</v>
      </c>
      <c r="F8" s="10" t="s">
        <v>287</v>
      </c>
      <c r="G8" s="33" t="s">
        <v>288</v>
      </c>
    </row>
    <row r="9" spans="1:7" x14ac:dyDescent="0.25">
      <c r="A9" s="10" t="s">
        <v>301</v>
      </c>
      <c r="B9" s="30">
        <v>0</v>
      </c>
      <c r="C9" s="30">
        <v>-845229</v>
      </c>
      <c r="D9" s="31">
        <v>845229</v>
      </c>
      <c r="E9" s="32" t="s">
        <v>302</v>
      </c>
      <c r="F9" s="10" t="s">
        <v>287</v>
      </c>
      <c r="G9" s="33" t="s">
        <v>288</v>
      </c>
    </row>
    <row r="10" spans="1:7" x14ac:dyDescent="0.25">
      <c r="A10" s="10" t="s">
        <v>303</v>
      </c>
      <c r="B10" s="30">
        <v>7735200</v>
      </c>
      <c r="C10" s="30">
        <v>8945200</v>
      </c>
      <c r="D10" s="30">
        <v>-1210000</v>
      </c>
      <c r="E10" s="32" t="s">
        <v>304</v>
      </c>
      <c r="F10" s="10" t="s">
        <v>6</v>
      </c>
      <c r="G10" s="33" t="s">
        <v>288</v>
      </c>
    </row>
    <row r="11" spans="1:7" x14ac:dyDescent="0.25">
      <c r="A11" s="10" t="s">
        <v>305</v>
      </c>
      <c r="B11" s="30">
        <v>599527</v>
      </c>
      <c r="C11" s="30">
        <v>0</v>
      </c>
      <c r="D11" s="30">
        <v>599527</v>
      </c>
      <c r="E11" s="32" t="s">
        <v>6</v>
      </c>
      <c r="F11" s="10" t="s">
        <v>6</v>
      </c>
      <c r="G11" s="33" t="s">
        <v>288</v>
      </c>
    </row>
    <row r="12" spans="1:7" x14ac:dyDescent="0.25">
      <c r="A12" s="10" t="s">
        <v>306</v>
      </c>
      <c r="B12" s="30">
        <v>0</v>
      </c>
      <c r="C12" s="30">
        <v>0</v>
      </c>
      <c r="D12" s="30">
        <v>0</v>
      </c>
      <c r="E12" s="32" t="s">
        <v>6</v>
      </c>
      <c r="F12" s="10" t="s">
        <v>6</v>
      </c>
      <c r="G12" s="33" t="s">
        <v>288</v>
      </c>
    </row>
    <row r="13" spans="1:7" x14ac:dyDescent="0.25">
      <c r="A13" s="10" t="s">
        <v>307</v>
      </c>
      <c r="B13" s="30">
        <v>0</v>
      </c>
      <c r="C13" s="30">
        <v>1120000</v>
      </c>
      <c r="D13" s="31">
        <v>-1120000</v>
      </c>
      <c r="E13" s="32" t="s">
        <v>308</v>
      </c>
      <c r="F13" s="10" t="s">
        <v>287</v>
      </c>
      <c r="G13" s="33" t="s">
        <v>288</v>
      </c>
    </row>
    <row r="14" spans="1:7" x14ac:dyDescent="0.25">
      <c r="A14" s="10" t="s">
        <v>309</v>
      </c>
      <c r="B14" s="30">
        <v>3644561</v>
      </c>
      <c r="C14" s="30">
        <v>3501190</v>
      </c>
      <c r="D14" s="30">
        <v>143371</v>
      </c>
      <c r="E14" s="32" t="s">
        <v>296</v>
      </c>
      <c r="F14" s="10" t="s">
        <v>6</v>
      </c>
      <c r="G14" s="33" t="s">
        <v>288</v>
      </c>
    </row>
    <row r="15" spans="1:7" x14ac:dyDescent="0.25">
      <c r="A15" s="10" t="s">
        <v>310</v>
      </c>
      <c r="B15" s="30">
        <v>4353455</v>
      </c>
      <c r="C15" s="30">
        <v>5021284</v>
      </c>
      <c r="D15" s="30">
        <v>-667829</v>
      </c>
      <c r="E15" s="32" t="s">
        <v>311</v>
      </c>
      <c r="F15" s="10" t="s">
        <v>6</v>
      </c>
      <c r="G15" s="33" t="s">
        <v>288</v>
      </c>
    </row>
    <row r="16" spans="1:7" x14ac:dyDescent="0.25">
      <c r="A16" s="10" t="s">
        <v>312</v>
      </c>
      <c r="B16" s="30">
        <v>1350069</v>
      </c>
      <c r="C16" s="30">
        <v>2228829</v>
      </c>
      <c r="D16" s="30">
        <v>-878760</v>
      </c>
      <c r="E16" s="32" t="s">
        <v>313</v>
      </c>
      <c r="F16" s="10" t="s">
        <v>6</v>
      </c>
      <c r="G16" s="33" t="s">
        <v>288</v>
      </c>
    </row>
    <row r="17" spans="1:7" x14ac:dyDescent="0.25">
      <c r="A17" s="10" t="s">
        <v>314</v>
      </c>
      <c r="B17" s="30">
        <v>1663200</v>
      </c>
      <c r="C17" s="30">
        <v>2494800</v>
      </c>
      <c r="D17" s="30">
        <v>-831600</v>
      </c>
      <c r="E17" s="32" t="s">
        <v>315</v>
      </c>
      <c r="F17" s="10" t="s">
        <v>6</v>
      </c>
      <c r="G17" s="33" t="s">
        <v>288</v>
      </c>
    </row>
    <row r="18" spans="1:7" x14ac:dyDescent="0.25">
      <c r="A18" s="10" t="s">
        <v>316</v>
      </c>
      <c r="B18" s="30">
        <v>175000</v>
      </c>
      <c r="C18" s="30">
        <v>175000</v>
      </c>
      <c r="D18" s="30">
        <v>0</v>
      </c>
      <c r="E18" s="32" t="s">
        <v>317</v>
      </c>
      <c r="F18" s="10" t="s">
        <v>6</v>
      </c>
      <c r="G18" s="33" t="s">
        <v>288</v>
      </c>
    </row>
    <row r="19" spans="1:7" x14ac:dyDescent="0.25">
      <c r="A19" s="10" t="s">
        <v>318</v>
      </c>
      <c r="B19" s="30">
        <v>1650000</v>
      </c>
      <c r="C19" s="30">
        <v>1650000</v>
      </c>
      <c r="D19" s="30">
        <v>0</v>
      </c>
      <c r="E19" s="32" t="s">
        <v>317</v>
      </c>
      <c r="F19" s="10" t="s">
        <v>6</v>
      </c>
      <c r="G19" s="33" t="s">
        <v>288</v>
      </c>
    </row>
    <row r="20" spans="1:7" x14ac:dyDescent="0.25">
      <c r="A20" s="10" t="s">
        <v>319</v>
      </c>
      <c r="B20" s="30">
        <v>2757280</v>
      </c>
      <c r="C20" s="30">
        <v>3181011</v>
      </c>
      <c r="D20" s="30">
        <v>-423731</v>
      </c>
      <c r="E20" s="32" t="s">
        <v>311</v>
      </c>
      <c r="F20" s="10" t="s">
        <v>6</v>
      </c>
      <c r="G20" s="33" t="s">
        <v>288</v>
      </c>
    </row>
    <row r="21" spans="1:7" x14ac:dyDescent="0.25">
      <c r="A21" s="10" t="s">
        <v>320</v>
      </c>
      <c r="B21" s="30">
        <v>0</v>
      </c>
      <c r="C21" s="30">
        <v>0</v>
      </c>
      <c r="D21" s="30">
        <v>0</v>
      </c>
      <c r="E21" s="32" t="s">
        <v>6</v>
      </c>
      <c r="F21" s="10" t="s">
        <v>6</v>
      </c>
      <c r="G21" s="33" t="s">
        <v>288</v>
      </c>
    </row>
    <row r="22" spans="1:7" x14ac:dyDescent="0.25">
      <c r="A22" s="10" t="s">
        <v>321</v>
      </c>
      <c r="B22" s="30">
        <v>5629441</v>
      </c>
      <c r="C22" s="30">
        <v>6997204</v>
      </c>
      <c r="D22" s="30">
        <v>-1367763</v>
      </c>
      <c r="E22" s="32" t="s">
        <v>322</v>
      </c>
      <c r="F22" s="10" t="s">
        <v>6</v>
      </c>
      <c r="G22" s="33" t="s">
        <v>288</v>
      </c>
    </row>
    <row r="23" spans="1:7" x14ac:dyDescent="0.25">
      <c r="A23" s="10" t="s">
        <v>323</v>
      </c>
      <c r="B23" s="30">
        <v>5001256</v>
      </c>
      <c r="C23" s="30">
        <v>2728175</v>
      </c>
      <c r="D23" s="31">
        <v>2273081</v>
      </c>
      <c r="E23" s="32" t="s">
        <v>324</v>
      </c>
      <c r="F23" s="10" t="s">
        <v>287</v>
      </c>
      <c r="G23" s="33" t="s">
        <v>288</v>
      </c>
    </row>
    <row r="24" spans="1:7" x14ac:dyDescent="0.25">
      <c r="A24" s="10" t="s">
        <v>325</v>
      </c>
      <c r="B24" s="30">
        <v>0</v>
      </c>
      <c r="C24" s="30">
        <v>0</v>
      </c>
      <c r="D24" s="30">
        <v>0</v>
      </c>
      <c r="E24" s="32" t="s">
        <v>6</v>
      </c>
      <c r="F24" s="10" t="s">
        <v>6</v>
      </c>
      <c r="G24" s="33" t="s">
        <v>288</v>
      </c>
    </row>
    <row r="25" spans="1:7" x14ac:dyDescent="0.25">
      <c r="A25" s="10" t="s">
        <v>326</v>
      </c>
      <c r="B25" s="30">
        <v>2781100</v>
      </c>
      <c r="C25" s="30">
        <v>2781100</v>
      </c>
      <c r="D25" s="30">
        <v>0</v>
      </c>
      <c r="E25" s="32" t="s">
        <v>317</v>
      </c>
      <c r="F25" s="10" t="s">
        <v>6</v>
      </c>
      <c r="G25" s="33" t="s">
        <v>288</v>
      </c>
    </row>
    <row r="26" spans="1:7" x14ac:dyDescent="0.25">
      <c r="A26" s="10" t="s">
        <v>327</v>
      </c>
      <c r="B26" s="30">
        <v>10000000</v>
      </c>
      <c r="C26" s="30">
        <v>10000000</v>
      </c>
      <c r="D26" s="30">
        <v>0</v>
      </c>
      <c r="E26" s="32" t="s">
        <v>317</v>
      </c>
      <c r="F26" s="10" t="s">
        <v>6</v>
      </c>
      <c r="G26" s="33" t="s">
        <v>288</v>
      </c>
    </row>
    <row r="27" spans="1:7" x14ac:dyDescent="0.25">
      <c r="A27" s="10" t="s">
        <v>328</v>
      </c>
      <c r="B27" s="30">
        <v>1360603</v>
      </c>
      <c r="C27" s="30">
        <v>1148855</v>
      </c>
      <c r="D27" s="30">
        <v>211748</v>
      </c>
      <c r="E27" s="32" t="s">
        <v>329</v>
      </c>
      <c r="F27" s="10" t="s">
        <v>6</v>
      </c>
      <c r="G27" s="33" t="s">
        <v>288</v>
      </c>
    </row>
    <row r="28" spans="1:7" x14ac:dyDescent="0.25">
      <c r="A28" s="10" t="s">
        <v>330</v>
      </c>
      <c r="B28" s="30">
        <v>6493767</v>
      </c>
      <c r="C28" s="30">
        <v>6053767</v>
      </c>
      <c r="D28" s="30">
        <v>440000</v>
      </c>
      <c r="E28" s="32" t="s">
        <v>331</v>
      </c>
      <c r="F28" s="10" t="s">
        <v>6</v>
      </c>
      <c r="G28" s="33" t="s">
        <v>288</v>
      </c>
    </row>
    <row r="29" spans="1:7" x14ac:dyDescent="0.25">
      <c r="A29" s="10" t="s">
        <v>332</v>
      </c>
      <c r="B29" s="30">
        <v>60348762</v>
      </c>
      <c r="C29" s="30">
        <v>63621615</v>
      </c>
      <c r="D29" s="30">
        <v>-3272853</v>
      </c>
      <c r="E29" s="32" t="s">
        <v>333</v>
      </c>
      <c r="F29" s="10" t="s">
        <v>6</v>
      </c>
      <c r="G29" s="33" t="s">
        <v>288</v>
      </c>
    </row>
    <row r="30" spans="1:7" x14ac:dyDescent="0.25">
      <c r="A30" s="10" t="s">
        <v>334</v>
      </c>
      <c r="B30" s="30">
        <v>6700000</v>
      </c>
      <c r="C30" s="30">
        <v>6700000</v>
      </c>
      <c r="D30" s="30">
        <v>0</v>
      </c>
      <c r="E30" s="32" t="s">
        <v>317</v>
      </c>
      <c r="F30" s="10" t="s">
        <v>6</v>
      </c>
      <c r="G30" s="33" t="s">
        <v>288</v>
      </c>
    </row>
    <row r="31" spans="1:7" x14ac:dyDescent="0.25">
      <c r="A31" s="10" t="s">
        <v>335</v>
      </c>
      <c r="B31" s="34">
        <v>-46205588</v>
      </c>
      <c r="C31" s="30">
        <v>-46205588</v>
      </c>
      <c r="D31" s="30">
        <v>0</v>
      </c>
      <c r="E31" s="32" t="s">
        <v>317</v>
      </c>
      <c r="F31" s="10" t="s">
        <v>30</v>
      </c>
      <c r="G31" s="33" t="s">
        <v>288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278</v>
      </c>
      <c r="B3" s="5" t="s">
        <v>337</v>
      </c>
      <c r="C3" s="5" t="s">
        <v>338</v>
      </c>
      <c r="D3" s="5" t="s">
        <v>339</v>
      </c>
      <c r="E3" s="5" t="s">
        <v>340</v>
      </c>
      <c r="F3" s="5" t="s">
        <v>341</v>
      </c>
      <c r="G3" s="5" t="s">
        <v>342</v>
      </c>
      <c r="H3" s="5" t="s">
        <v>343</v>
      </c>
      <c r="I3" s="5" t="s">
        <v>344</v>
      </c>
      <c r="J3" s="5" t="s">
        <v>345</v>
      </c>
      <c r="K3" s="5" t="s">
        <v>346</v>
      </c>
      <c r="L3" s="5" t="s">
        <v>347</v>
      </c>
      <c r="M3" s="36" t="s">
        <v>348</v>
      </c>
      <c r="N3" s="5" t="s">
        <v>349</v>
      </c>
      <c r="O3" s="5" t="s">
        <v>284</v>
      </c>
    </row>
    <row r="4" spans="1:15" x14ac:dyDescent="0.25">
      <c r="A4" s="10" t="s">
        <v>350</v>
      </c>
      <c r="B4" s="30">
        <v>2975840</v>
      </c>
      <c r="C4" s="30">
        <v>5110433</v>
      </c>
      <c r="D4" s="30">
        <v>6436660</v>
      </c>
      <c r="E4" s="30">
        <v>7939276</v>
      </c>
      <c r="F4" s="30">
        <v>4599000</v>
      </c>
      <c r="G4" s="30">
        <v>4500000</v>
      </c>
      <c r="H4" s="30">
        <v>3036000</v>
      </c>
      <c r="I4" s="30">
        <v>12250000</v>
      </c>
      <c r="J4" s="30">
        <v>5551750</v>
      </c>
      <c r="K4" s="30">
        <v>3000000</v>
      </c>
      <c r="L4" s="30">
        <v>5132000</v>
      </c>
      <c r="M4" s="37">
        <v>4400000</v>
      </c>
      <c r="N4" s="38">
        <f>SUM(B4:M4)</f>
        <v>64930959</v>
      </c>
      <c r="O4" s="39"/>
    </row>
    <row r="5" spans="1:15" x14ac:dyDescent="0.25">
      <c r="A5" s="10" t="s">
        <v>351</v>
      </c>
      <c r="B5" s="30">
        <v>3888169</v>
      </c>
      <c r="C5" s="30">
        <v>72637</v>
      </c>
      <c r="D5" s="30">
        <v>46653</v>
      </c>
      <c r="E5" s="30">
        <v>279230</v>
      </c>
      <c r="F5" s="30">
        <v>174173</v>
      </c>
      <c r="G5" s="30">
        <v>38086</v>
      </c>
      <c r="H5" s="30">
        <v>100726</v>
      </c>
      <c r="I5" s="30">
        <v>66252</v>
      </c>
      <c r="J5" s="30">
        <v>28805</v>
      </c>
      <c r="K5" s="30">
        <v>24809</v>
      </c>
      <c r="L5" s="30">
        <v>6880</v>
      </c>
      <c r="M5" s="37">
        <v>-588757</v>
      </c>
      <c r="N5" s="38">
        <f>SUM(B5:M5)</f>
        <v>4137663</v>
      </c>
      <c r="O5" s="39"/>
    </row>
    <row r="6" spans="1:15" x14ac:dyDescent="0.25">
      <c r="A6" s="40" t="s">
        <v>352</v>
      </c>
      <c r="B6" s="41">
        <v>-912329</v>
      </c>
      <c r="C6" s="41">
        <v>5037796</v>
      </c>
      <c r="D6" s="41">
        <v>6390007</v>
      </c>
      <c r="E6" s="41">
        <v>7660046</v>
      </c>
      <c r="F6" s="41">
        <v>4424827</v>
      </c>
      <c r="G6" s="41">
        <v>4461914</v>
      </c>
      <c r="H6" s="41">
        <v>2935274</v>
      </c>
      <c r="I6" s="41">
        <v>12183748</v>
      </c>
      <c r="J6" s="41">
        <v>5522945</v>
      </c>
      <c r="K6" s="41">
        <v>2975191</v>
      </c>
      <c r="L6" s="41">
        <v>5125120</v>
      </c>
      <c r="M6" s="41">
        <v>4988757</v>
      </c>
      <c r="N6" s="41">
        <f>SUM(B6:M6)</f>
        <v>60793296</v>
      </c>
      <c r="O6" s="42"/>
    </row>
    <row r="7" spans="1:15" x14ac:dyDescent="0.25">
      <c r="A7" s="10" t="s">
        <v>353</v>
      </c>
      <c r="B7" s="30">
        <f>HYPERLINK("https://secure.freee.co.jp/reports/general_ledgers/show?name=%E5%BD%B9%E5%93%A1%E5%A0%B1%E9%85%AC&amp;start_date=2024-08-01&amp;end_date=2024-08-31&amp;fiscal_year_id=11960512",650000)</f>
        <v>650000</v>
      </c>
      <c r="C7" s="30">
        <f>HYPERLINK("https://secure.freee.co.jp/reports/general_ledgers/show?name=%E5%BD%B9%E5%93%A1%E5%A0%B1%E9%85%AC&amp;start_date=2024-09-01&amp;end_date=2024-09-30&amp;fiscal_year_id=11960512",650000)</f>
        <v>650000</v>
      </c>
      <c r="D7" s="30">
        <f>HYPERLINK("https://secure.freee.co.jp/reports/general_ledgers/show?name=%E5%BD%B9%E5%93%A1%E5%A0%B1%E9%85%AC&amp;start_date=2024-10-01&amp;end_date=2024-10-31&amp;fiscal_year_id=11960512",650000)</f>
        <v>650000</v>
      </c>
      <c r="E7" s="30">
        <f>HYPERLINK("https://secure.freee.co.jp/reports/general_ledgers/show?name=%E5%BD%B9%E5%93%A1%E5%A0%B1%E9%85%AC&amp;start_date=2024-11-01&amp;end_date=2024-11-30&amp;fiscal_year_id=11960512",650000)</f>
        <v>650000</v>
      </c>
      <c r="F7" s="30">
        <f>HYPERLINK("https://secure.freee.co.jp/reports/general_ledgers/show?name=%E5%BD%B9%E5%93%A1%E5%A0%B1%E9%85%AC&amp;start_date=2024-12-01&amp;end_date=2024-12-31&amp;fiscal_year_id=11960512",650000)</f>
        <v>650000</v>
      </c>
      <c r="G7" s="30">
        <f>HYPERLINK("https://secure.freee.co.jp/reports/general_ledgers/show?name=%E5%BD%B9%E5%93%A1%E5%A0%B1%E9%85%AC&amp;start_date=2025-01-01&amp;end_date=2025-01-31&amp;fiscal_year_id=11960512",650000)</f>
        <v>650000</v>
      </c>
      <c r="H7" s="30">
        <f>HYPERLINK("https://secure.freee.co.jp/reports/general_ledgers/show?name=%E5%BD%B9%E5%93%A1%E5%A0%B1%E9%85%AC&amp;start_date=2025-02-01&amp;end_date=2025-02-28&amp;fiscal_year_id=11960512",650000)</f>
        <v>650000</v>
      </c>
      <c r="I7" s="30">
        <f>HYPERLINK("https://secure.freee.co.jp/reports/general_ledgers/show?name=%E5%BD%B9%E5%93%A1%E5%A0%B1%E9%85%AC&amp;start_date=2025-03-01&amp;end_date=2025-03-31&amp;fiscal_year_id=11960512",650000)</f>
        <v>650000</v>
      </c>
      <c r="J7" s="30">
        <f>HYPERLINK("https://secure.freee.co.jp/reports/general_ledgers/show?name=%E5%BD%B9%E5%93%A1%E5%A0%B1%E9%85%AC&amp;start_date=2025-04-01&amp;end_date=2025-04-30&amp;fiscal_year_id=11960512",650000)</f>
        <v>650000</v>
      </c>
      <c r="K7" s="30">
        <f>HYPERLINK("https://secure.freee.co.jp/reports/general_ledgers/show?name=%E5%BD%B9%E5%93%A1%E5%A0%B1%E9%85%AC&amp;start_date=2025-05-01&amp;end_date=2025-05-31&amp;fiscal_year_id=11960512",650000)</f>
        <v>650000</v>
      </c>
      <c r="L7" s="30">
        <f>HYPERLINK("https://secure.freee.co.jp/reports/general_ledgers/show?name=%E5%BD%B9%E5%93%A1%E5%A0%B1%E9%85%AC&amp;start_date=2025-06-01&amp;end_date=2025-06-30&amp;fiscal_year_id=11960512",650000)</f>
        <v>650000</v>
      </c>
      <c r="M7" s="37">
        <f>HYPERLINK("https://secure.freee.co.jp/reports/general_ledgers/show?name=%E5%BD%B9%E5%93%A1%E5%A0%B1%E9%85%AC&amp;start_date=2025-07-01&amp;end_date=2025-07-31&amp;fiscal_year_id=11960512",650000)</f>
        <v>650000</v>
      </c>
      <c r="N7" s="38">
        <f>SUM(B7:M7)</f>
        <v>7800000</v>
      </c>
      <c r="O7" s="33" t="s">
        <v>284</v>
      </c>
    </row>
    <row r="8" spans="1:15" x14ac:dyDescent="0.25">
      <c r="A8" s="10" t="s">
        <v>354</v>
      </c>
      <c r="B8" s="30">
        <f>HYPERLINK("https://secure.freee.co.jp/reports/general_ledgers/show?name=%E7%B5%A6%E6%96%99%E6%89%8B%E5%BD%93&amp;start_date=2024-08-01&amp;end_date=2024-08-31&amp;fiscal_year_id=11960512",3214391)</f>
        <v>3214391</v>
      </c>
      <c r="C8" s="30">
        <f>HYPERLINK("https://secure.freee.co.jp/reports/general_ledgers/show?name=%E7%B5%A6%E6%96%99%E6%89%8B%E5%BD%93&amp;start_date=2024-09-01&amp;end_date=2024-09-30&amp;fiscal_year_id=11960512",3302989)</f>
        <v>3302989</v>
      </c>
      <c r="D8" s="30">
        <f>HYPERLINK("https://secure.freee.co.jp/reports/general_ledgers/show?name=%E7%B5%A6%E6%96%99%E6%89%8B%E5%BD%93&amp;start_date=2024-10-01&amp;end_date=2024-10-31&amp;fiscal_year_id=11960512",3306068)</f>
        <v>3306068</v>
      </c>
      <c r="E8" s="30">
        <f>HYPERLINK("https://secure.freee.co.jp/reports/general_ledgers/show?name=%E7%B5%A6%E6%96%99%E6%89%8B%E5%BD%93&amp;start_date=2024-11-01&amp;end_date=2024-11-30&amp;fiscal_year_id=11960512",3141388)</f>
        <v>3141388</v>
      </c>
      <c r="F8" s="30">
        <f>HYPERLINK("https://secure.freee.co.jp/reports/general_ledgers/show?name=%E7%B5%A6%E6%96%99%E6%89%8B%E5%BD%93&amp;start_date=2024-12-01&amp;end_date=2024-12-31&amp;fiscal_year_id=11960512",3121937)</f>
        <v>3121937</v>
      </c>
      <c r="G8" s="30">
        <f>HYPERLINK("https://secure.freee.co.jp/reports/general_ledgers/show?name=%E7%B5%A6%E6%96%99%E6%89%8B%E5%BD%93&amp;start_date=2025-01-01&amp;end_date=2025-01-31&amp;fiscal_year_id=11960512",3225866)</f>
        <v>3225866</v>
      </c>
      <c r="H8" s="30">
        <f>HYPERLINK("https://secure.freee.co.jp/reports/general_ledgers/show?name=%E7%B5%A6%E6%96%99%E6%89%8B%E5%BD%93&amp;start_date=2025-02-01&amp;end_date=2025-02-28&amp;fiscal_year_id=11960512",2670242)</f>
        <v>2670242</v>
      </c>
      <c r="I8" s="30">
        <f>HYPERLINK("https://secure.freee.co.jp/reports/general_ledgers/show?name=%E7%B5%A6%E6%96%99%E6%89%8B%E5%BD%93&amp;start_date=2025-03-01&amp;end_date=2025-03-31&amp;fiscal_year_id=11960512",2812378)</f>
        <v>2812378</v>
      </c>
      <c r="J8" s="30">
        <f>HYPERLINK("https://secure.freee.co.jp/reports/general_ledgers/show?name=%E7%B5%A6%E6%96%99%E6%89%8B%E5%BD%93&amp;start_date=2025-04-01&amp;end_date=2025-04-30&amp;fiscal_year_id=11960512",2823796)</f>
        <v>2823796</v>
      </c>
      <c r="K8" s="30">
        <f>HYPERLINK("https://secure.freee.co.jp/reports/general_ledgers/show?name=%E7%B5%A6%E6%96%99%E6%89%8B%E5%BD%93&amp;start_date=2025-05-01&amp;end_date=2025-05-31&amp;fiscal_year_id=11960512",2726280)</f>
        <v>2726280</v>
      </c>
      <c r="L8" s="30">
        <f>HYPERLINK("https://secure.freee.co.jp/reports/general_ledgers/show?name=%E7%B5%A6%E6%96%99%E6%89%8B%E5%BD%93&amp;start_date=2025-06-01&amp;end_date=2025-06-30&amp;fiscal_year_id=11960512",2275533)</f>
        <v>2275533</v>
      </c>
      <c r="M8" s="37">
        <f>HYPERLINK("https://secure.freee.co.jp/reports/general_ledgers/show?name=%E7%B5%A6%E6%96%99%E6%89%8B%E5%BD%93&amp;start_date=2025-07-01&amp;end_date=2025-07-31&amp;fiscal_year_id=11960512",2191512)</f>
        <v>2191512</v>
      </c>
      <c r="N8" s="38">
        <f>SUM(B8:M8)</f>
        <v>34812380</v>
      </c>
      <c r="O8" s="33" t="s">
        <v>284</v>
      </c>
    </row>
    <row r="9" spans="1:15" x14ac:dyDescent="0.25">
      <c r="A9" s="10" t="s">
        <v>355</v>
      </c>
      <c r="B9" s="30">
        <f>HYPERLINK("https://secure.freee.co.jp/reports/general_ledgers/show?name=%E6%B3%95%E5%AE%9A%E7%A6%8F%E5%88%A9%E8%B2%BB&amp;start_date=2024-08-01&amp;end_date=2024-08-31&amp;fiscal_year_id=11960512",-412879)</f>
        <v>-412879</v>
      </c>
      <c r="C9" s="31">
        <f>HYPERLINK("https://secure.freee.co.jp/reports/general_ledgers/show?name=%E6%B3%95%E5%AE%9A%E7%A6%8F%E5%88%A9%E8%B2%BB&amp;start_date=2024-09-01&amp;end_date=2024-09-30&amp;fiscal_year_id=11960512",1576543)</f>
        <v>1576543</v>
      </c>
      <c r="D9" s="31">
        <f>HYPERLINK("https://secure.freee.co.jp/reports/general_ledgers/show?name=%E6%B3%95%E5%AE%9A%E7%A6%8F%E5%88%A9%E8%B2%BB&amp;start_date=2024-10-01&amp;end_date=2024-10-31&amp;fiscal_year_id=11960512",596673)</f>
        <v>596673</v>
      </c>
      <c r="E9" s="31">
        <f>HYPERLINK("https://secure.freee.co.jp/reports/general_ledgers/show?name=%E6%B3%95%E5%AE%9A%E7%A6%8F%E5%88%A9%E8%B2%BB&amp;start_date=2024-11-01&amp;end_date=2024-11-30&amp;fiscal_year_id=11960512",-448983)</f>
        <v>-448983</v>
      </c>
      <c r="F9" s="31">
        <f>HYPERLINK("https://secure.freee.co.jp/reports/general_ledgers/show?name=%E6%B3%95%E5%AE%9A%E7%A6%8F%E5%88%A9%E8%B2%BB&amp;start_date=2024-12-01&amp;end_date=2024-12-31&amp;fiscal_year_id=11960512",597073)</f>
        <v>597073</v>
      </c>
      <c r="G9" s="31">
        <f>HYPERLINK("https://secure.freee.co.jp/reports/general_ledgers/show?name=%E6%B3%95%E5%AE%9A%E7%A6%8F%E5%88%A9%E8%B2%BB&amp;start_date=2025-01-01&amp;end_date=2025-01-31&amp;fiscal_year_id=11960512",1643031)</f>
        <v>1643031</v>
      </c>
      <c r="H9" s="31">
        <f>HYPERLINK("https://secure.freee.co.jp/reports/general_ledgers/show?name=%E6%B3%95%E5%AE%9A%E7%A6%8F%E5%88%A9%E8%B2%BB&amp;start_date=2025-02-01&amp;end_date=2025-02-28&amp;fiscal_year_id=11960512",493313)</f>
        <v>493313</v>
      </c>
      <c r="I9" s="30">
        <f>HYPERLINK("https://secure.freee.co.jp/reports/general_ledgers/show?name=%E6%B3%95%E5%AE%9A%E7%A6%8F%E5%88%A9%E8%B2%BB&amp;start_date=2025-03-01&amp;end_date=2025-03-31&amp;fiscal_year_id=11960512",493434)</f>
        <v>493434</v>
      </c>
      <c r="J9" s="30">
        <f>HYPERLINK("https://secure.freee.co.jp/reports/general_ledgers/show?name=%E6%B3%95%E5%AE%9A%E7%A6%8F%E5%88%A9%E8%B2%BB&amp;start_date=2025-04-01&amp;end_date=2025-04-30&amp;fiscal_year_id=11960512",492345)</f>
        <v>492345</v>
      </c>
      <c r="K9" s="31">
        <f>HYPERLINK("https://secure.freee.co.jp/reports/general_ledgers/show?name=%E6%B3%95%E5%AE%9A%E7%A6%8F%E5%88%A9%E8%B2%BB&amp;start_date=2025-05-01&amp;end_date=2025-05-31&amp;fiscal_year_id=11960512",-339051)</f>
        <v>-339051</v>
      </c>
      <c r="L9" s="30">
        <f>HYPERLINK("https://secure.freee.co.jp/reports/general_ledgers/show?name=%E6%B3%95%E5%AE%9A%E7%A6%8F%E5%88%A9%E8%B2%BB&amp;start_date=2025-06-01&amp;end_date=2025-06-30&amp;fiscal_year_id=11960512",-361910)</f>
        <v>-361910</v>
      </c>
      <c r="M9" s="37">
        <f>HYPERLINK("https://secure.freee.co.jp/reports/general_ledgers/show?name=%E6%B3%95%E5%AE%9A%E7%A6%8F%E5%88%A9%E8%B2%BB&amp;start_date=2025-07-01&amp;end_date=2025-07-31&amp;fiscal_year_id=11960512",-361909)</f>
        <v>-361909</v>
      </c>
      <c r="N9" s="38">
        <f>SUM(B9:M9)</f>
        <v>3967680</v>
      </c>
      <c r="O9" s="33" t="s">
        <v>284</v>
      </c>
    </row>
    <row r="10" spans="1:15" x14ac:dyDescent="0.25">
      <c r="A10" s="10" t="s">
        <v>356</v>
      </c>
      <c r="B10" s="30">
        <f>HYPERLINK("https://secure.freee.co.jp/reports/general_ledgers/show?name=%E7%A6%8F%E5%88%A9%E5%8E%9A%E7%94%9F%E8%B2%BB&amp;start_date=2024-08-01&amp;end_date=2024-08-31&amp;fiscal_year_id=11960512",99)</f>
        <v>99</v>
      </c>
      <c r="C10" s="31">
        <f>HYPERLINK("https://secure.freee.co.jp/reports/general_ledgers/show?name=%E7%A6%8F%E5%88%A9%E5%8E%9A%E7%94%9F%E8%B2%BB&amp;start_date=2024-09-01&amp;end_date=2024-09-30&amp;fiscal_year_id=11960512",8223)</f>
        <v>8223</v>
      </c>
      <c r="D10" s="30">
        <f>HYPERLINK("https://secure.freee.co.jp/reports/general_ledgers/show?name=%E7%A6%8F%E5%88%A9%E5%8E%9A%E7%94%9F%E8%B2%BB&amp;start_date=2024-10-01&amp;end_date=2024-10-31&amp;fiscal_year_id=11960512",6794)</f>
        <v>6794</v>
      </c>
      <c r="E10" s="30">
        <f>HYPERLINK("https://secure.freee.co.jp/reports/general_ledgers/show?name=%E7%A6%8F%E5%88%A9%E5%8E%9A%E7%94%9F%E8%B2%BB&amp;start_date=2024-11-01&amp;end_date=2024-11-30&amp;fiscal_year_id=11960512",3500)</f>
        <v>3500</v>
      </c>
      <c r="F10" s="31">
        <f>HYPERLINK("https://secure.freee.co.jp/reports/general_ledgers/show?name=%E7%A6%8F%E5%88%A9%E5%8E%9A%E7%94%9F%E8%B2%BB&amp;start_date=2024-12-01&amp;end_date=2024-12-31&amp;fiscal_year_id=11960512",29846)</f>
        <v>29846</v>
      </c>
      <c r="G10" s="30">
        <f>HYPERLINK("https://secure.freee.co.jp/reports/general_ledgers/show?name=%E7%A6%8F%E5%88%A9%E5%8E%9A%E7%94%9F%E8%B2%BB&amp;start_date=2025-01-01&amp;end_date=2025-01-31&amp;fiscal_year_id=11960512",29665)</f>
        <v>29665</v>
      </c>
      <c r="H10" s="31">
        <f>HYPERLINK("https://secure.freee.co.jp/reports/general_ledgers/show?name=%E7%A6%8F%E5%88%A9%E5%8E%9A%E7%94%9F%E8%B2%BB&amp;start_date=2025-02-01&amp;end_date=2025-02-28&amp;fiscal_year_id=11960512",62752)</f>
        <v>62752</v>
      </c>
      <c r="I10" s="31">
        <f>HYPERLINK("https://secure.freee.co.jp/reports/general_ledgers/show?name=%E7%A6%8F%E5%88%A9%E5%8E%9A%E7%94%9F%E8%B2%BB&amp;start_date=2025-03-01&amp;end_date=2025-03-31&amp;fiscal_year_id=11960512",4491)</f>
        <v>4491</v>
      </c>
      <c r="J10" s="31">
        <f>HYPERLINK("https://secure.freee.co.jp/reports/general_ledgers/show?name=%E7%A6%8F%E5%88%A9%E5%8E%9A%E7%94%9F%E8%B2%BB&amp;start_date=2025-04-01&amp;end_date=2025-04-30&amp;fiscal_year_id=11960512",1280)</f>
        <v>1280</v>
      </c>
      <c r="K10" s="31">
        <f>HYPERLINK("https://secure.freee.co.jp/reports/general_ledgers/show?name=%E7%A6%8F%E5%88%A9%E5%8E%9A%E7%94%9F%E8%B2%BB&amp;start_date=2025-05-01&amp;end_date=2025-05-31&amp;fiscal_year_id=11960512",7574)</f>
        <v>7574</v>
      </c>
      <c r="L10" s="31">
        <f>HYPERLINK("https://secure.freee.co.jp/reports/general_ledgers/show?name=%E7%A6%8F%E5%88%A9%E5%8E%9A%E7%94%9F%E8%B2%BB&amp;start_date=2025-06-01&amp;end_date=2025-06-30&amp;fiscal_year_id=11960512",2816)</f>
        <v>2816</v>
      </c>
      <c r="M10" s="31">
        <f>HYPERLINK("https://secure.freee.co.jp/reports/general_ledgers/show?name=%E7%A6%8F%E5%88%A9%E5%8E%9A%E7%94%9F%E8%B2%BB&amp;start_date=2025-07-01&amp;end_date=2025-07-31&amp;fiscal_year_id=11960512",4726)</f>
        <v>4726</v>
      </c>
      <c r="N10" s="38">
        <f>SUM(B10:M10)</f>
        <v>161766</v>
      </c>
      <c r="O10" s="33" t="s">
        <v>284</v>
      </c>
    </row>
    <row r="11" spans="1:15" x14ac:dyDescent="0.25">
      <c r="A11" s="10" t="s">
        <v>357</v>
      </c>
      <c r="B11" s="30">
        <f>HYPERLINK("https://secure.freee.co.jp/reports/general_ledgers/show?name=%E5%A4%96%E6%B3%A8%E8%B2%BB&amp;start_date=2024-08-01&amp;end_date=2024-08-31&amp;fiscal_year_id=11960512",610940)</f>
        <v>610940</v>
      </c>
      <c r="C11" s="30">
        <f>HYPERLINK("https://secure.freee.co.jp/reports/general_ledgers/show?name=%E5%A4%96%E6%B3%A8%E8%B2%BB&amp;start_date=2024-09-01&amp;end_date=2024-09-30&amp;fiscal_year_id=11960512",838182)</f>
        <v>838182</v>
      </c>
      <c r="D11" s="30">
        <f>HYPERLINK("https://secure.freee.co.jp/reports/general_ledgers/show?name=%E5%A4%96%E6%B3%A8%E8%B2%BB&amp;start_date=2024-10-01&amp;end_date=2024-10-31&amp;fiscal_year_id=11960512",1114470)</f>
        <v>1114470</v>
      </c>
      <c r="E11" s="31">
        <f>HYPERLINK("https://secure.freee.co.jp/reports/general_ledgers/show?name=%E5%A4%96%E6%B3%A8%E8%B2%BB&amp;start_date=2024-11-01&amp;end_date=2024-11-30&amp;fiscal_year_id=11960512",46749)</f>
        <v>46749</v>
      </c>
      <c r="F11" s="31">
        <f>HYPERLINK("https://secure.freee.co.jp/reports/general_ledgers/show?name=%E5%A4%96%E6%B3%A8%E8%B2%BB&amp;start_date=2024-12-01&amp;end_date=2024-12-31&amp;fiscal_year_id=11960512",544480)</f>
        <v>544480</v>
      </c>
      <c r="G11" s="30">
        <f>HYPERLINK("https://secure.freee.co.jp/reports/general_ledgers/show?name=%E5%A4%96%E6%B3%A8%E8%B2%BB&amp;start_date=2025-01-01&amp;end_date=2025-01-31&amp;fiscal_year_id=11960512",788182)</f>
        <v>788182</v>
      </c>
      <c r="H11" s="30">
        <f>HYPERLINK("https://secure.freee.co.jp/reports/general_ledgers/show?name=%E5%A4%96%E6%B3%A8%E8%B2%BB&amp;start_date=2025-02-01&amp;end_date=2025-02-28&amp;fiscal_year_id=11960512",704734)</f>
        <v>704734</v>
      </c>
      <c r="I11" s="31">
        <f>HYPERLINK("https://secure.freee.co.jp/reports/general_ledgers/show?name=%E5%A4%96%E6%B3%A8%E8%B2%BB&amp;start_date=2025-03-01&amp;end_date=2025-03-31&amp;fiscal_year_id=11960512",6678138)</f>
        <v>6678138</v>
      </c>
      <c r="J11" s="31">
        <f>HYPERLINK("https://secure.freee.co.jp/reports/general_ledgers/show?name=%E5%A4%96%E6%B3%A8%E8%B2%BB&amp;start_date=2025-04-01&amp;end_date=2025-04-30&amp;fiscal_year_id=11960512",2639187)</f>
        <v>2639187</v>
      </c>
      <c r="K11" s="31">
        <f>HYPERLINK("https://secure.freee.co.jp/reports/general_ledgers/show?name=%E5%A4%96%E6%B3%A8%E8%B2%BB&amp;start_date=2025-05-01&amp;end_date=2025-05-31&amp;fiscal_year_id=11960512",571108)</f>
        <v>571108</v>
      </c>
      <c r="L11" s="30">
        <f>HYPERLINK("https://secure.freee.co.jp/reports/general_ledgers/show?name=%E5%A4%96%E6%B3%A8%E8%B2%BB&amp;start_date=2025-06-01&amp;end_date=2025-06-30&amp;fiscal_year_id=11960512",547644)</f>
        <v>547644</v>
      </c>
      <c r="M11" s="37">
        <f>HYPERLINK("https://secure.freee.co.jp/reports/general_ledgers/show?name=%E5%A4%96%E6%B3%A8%E8%B2%BB&amp;start_date=2025-07-01&amp;end_date=2025-07-31&amp;fiscal_year_id=11960512",381110)</f>
        <v>381110</v>
      </c>
      <c r="N11" s="38">
        <f>SUM(B11:M11)</f>
        <v>15464924</v>
      </c>
      <c r="O11" s="33" t="s">
        <v>284</v>
      </c>
    </row>
    <row r="12" spans="1:15" x14ac:dyDescent="0.25">
      <c r="A12" s="10" t="s">
        <v>358</v>
      </c>
      <c r="B12" s="43">
        <v>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37">
        <f>HYPERLINK("https://secure.freee.co.jp/reports/general_ledgers/show?name=%E8%8D%B7%E9%80%A0%E9%81%8B%E8%B3%83&amp;start_date=2025-07-01&amp;end_date=2025-07-31&amp;fiscal_year_id=11960512",637)</f>
        <v>637</v>
      </c>
      <c r="N12" s="38">
        <f>SUM(B12:M12)</f>
        <v>637</v>
      </c>
      <c r="O12" s="33" t="s">
        <v>284</v>
      </c>
    </row>
    <row r="13" spans="1:15" x14ac:dyDescent="0.25">
      <c r="A13" s="10" t="s">
        <v>359</v>
      </c>
      <c r="B13" s="43">
        <v>0</v>
      </c>
      <c r="C13" s="43">
        <v>0</v>
      </c>
      <c r="D13" s="43">
        <v>0</v>
      </c>
      <c r="E13" s="30">
        <f>HYPERLINK("https://secure.freee.co.jp/reports/general_ledgers/show?name=%E5%BA%83%E5%91%8A%E5%AE%A3%E4%BC%9D%E8%B2%BB&amp;start_date=2024-11-01&amp;end_date=2024-11-30&amp;fiscal_year_id=11960512",1409)</f>
        <v>1409</v>
      </c>
      <c r="F13" s="44">
        <v>0</v>
      </c>
      <c r="G13" s="43">
        <v>0</v>
      </c>
      <c r="H13" s="30">
        <f>HYPERLINK("https://secure.freee.co.jp/reports/general_ledgers/show?name=%E5%BA%83%E5%91%8A%E5%AE%A3%E4%BC%9D%E8%B2%BB&amp;start_date=2025-02-01&amp;end_date=2025-02-28&amp;fiscal_year_id=11960512",1019)</f>
        <v>1019</v>
      </c>
      <c r="I13" s="44">
        <v>0</v>
      </c>
      <c r="J13" s="43">
        <v>0</v>
      </c>
      <c r="K13" s="30">
        <f>HYPERLINK("https://secure.freee.co.jp/reports/general_ledgers/show?name=%E5%BA%83%E5%91%8A%E5%AE%A3%E4%BC%9D%E8%B2%BB&amp;start_date=2025-05-01&amp;end_date=2025-05-31&amp;fiscal_year_id=11960512",1119)</f>
        <v>1119</v>
      </c>
      <c r="L13" s="44">
        <v>0</v>
      </c>
      <c r="M13" s="45">
        <v>0</v>
      </c>
      <c r="N13" s="38">
        <f>SUM(B13:M13)</f>
        <v>3547</v>
      </c>
      <c r="O13" s="33" t="s">
        <v>284</v>
      </c>
    </row>
    <row r="14" spans="1:15" x14ac:dyDescent="0.25">
      <c r="A14" s="10" t="s">
        <v>360</v>
      </c>
      <c r="B14" s="30">
        <f>HYPERLINK("https://secure.freee.co.jp/reports/general_ledgers/show?name=%E4%BA%A4%E9%9A%9B%E8%B2%BB&amp;start_date=2024-08-01&amp;end_date=2024-08-31&amp;fiscal_year_id=11960512",72691)</f>
        <v>72691</v>
      </c>
      <c r="C14" s="31">
        <f>HYPERLINK("https://secure.freee.co.jp/reports/general_ledgers/show?name=%E4%BA%A4%E9%9A%9B%E8%B2%BB&amp;start_date=2024-09-01&amp;end_date=2024-09-30&amp;fiscal_year_id=11960512",7418)</f>
        <v>7418</v>
      </c>
      <c r="D14" s="44">
        <v>0</v>
      </c>
      <c r="E14" s="30">
        <f>HYPERLINK("https://secure.freee.co.jp/reports/general_ledgers/show?name=%E4%BA%A4%E9%9A%9B%E8%B2%BB&amp;start_date=2024-11-01&amp;end_date=2024-11-30&amp;fiscal_year_id=11960512",10182)</f>
        <v>10182</v>
      </c>
      <c r="F14" s="44">
        <v>0</v>
      </c>
      <c r="G14" s="43">
        <v>0</v>
      </c>
      <c r="H14" s="30">
        <f>HYPERLINK("https://secure.freee.co.jp/reports/general_ledgers/show?name=%E4%BA%A4%E9%9A%9B%E8%B2%BB&amp;start_date=2025-02-01&amp;end_date=2025-02-28&amp;fiscal_year_id=11960512",21000)</f>
        <v>21000</v>
      </c>
      <c r="I14" s="44">
        <v>0</v>
      </c>
      <c r="J14" s="30">
        <f>HYPERLINK("https://secure.freee.co.jp/reports/general_ledgers/show?name=%E4%BA%A4%E9%9A%9B%E8%B2%BB&amp;start_date=2025-04-01&amp;end_date=2025-04-30&amp;fiscal_year_id=11960512",49072)</f>
        <v>49072</v>
      </c>
      <c r="K14" s="44">
        <v>0</v>
      </c>
      <c r="L14" s="43">
        <v>0</v>
      </c>
      <c r="M14" s="37">
        <f>HYPERLINK("https://secure.freee.co.jp/reports/general_ledgers/show?name=%E4%BA%A4%E9%9A%9B%E8%B2%BB&amp;start_date=2025-07-01&amp;end_date=2025-07-31&amp;fiscal_year_id=11960512",39988)</f>
        <v>39988</v>
      </c>
      <c r="N14" s="38">
        <f>SUM(B14:M14)</f>
        <v>200351</v>
      </c>
      <c r="O14" s="33" t="s">
        <v>284</v>
      </c>
    </row>
    <row r="15" spans="1:15" x14ac:dyDescent="0.25">
      <c r="A15" s="10" t="s">
        <v>361</v>
      </c>
      <c r="B15" s="30">
        <f>HYPERLINK("https://secure.freee.co.jp/reports/general_ledgers/show?name=%E4%BC%9A%E8%AD%B0%E8%B2%BB&amp;start_date=2024-08-01&amp;end_date=2024-08-31&amp;fiscal_year_id=11960512",72479)</f>
        <v>72479</v>
      </c>
      <c r="C15" s="30">
        <f>HYPERLINK("https://secure.freee.co.jp/reports/general_ledgers/show?name=%E4%BC%9A%E8%AD%B0%E8%B2%BB&amp;start_date=2024-09-01&amp;end_date=2024-09-30&amp;fiscal_year_id=11960512",106878)</f>
        <v>106878</v>
      </c>
      <c r="D15" s="30">
        <f>HYPERLINK("https://secure.freee.co.jp/reports/general_ledgers/show?name=%E4%BC%9A%E8%AD%B0%E8%B2%BB&amp;start_date=2024-10-01&amp;end_date=2024-10-31&amp;fiscal_year_id=11960512",80944)</f>
        <v>80944</v>
      </c>
      <c r="E15" s="30">
        <f>HYPERLINK("https://secure.freee.co.jp/reports/general_ledgers/show?name=%E4%BC%9A%E8%AD%B0%E8%B2%BB&amp;start_date=2024-11-01&amp;end_date=2024-11-30&amp;fiscal_year_id=11960512",94118)</f>
        <v>94118</v>
      </c>
      <c r="F15" s="31">
        <f>HYPERLINK("https://secure.freee.co.jp/reports/general_ledgers/show?name=%E4%BC%9A%E8%AD%B0%E8%B2%BB&amp;start_date=2024-12-01&amp;end_date=2024-12-31&amp;fiscal_year_id=11960512",191917)</f>
        <v>191917</v>
      </c>
      <c r="G15" s="31">
        <f>HYPERLINK("https://secure.freee.co.jp/reports/general_ledgers/show?name=%E4%BC%9A%E8%AD%B0%E8%B2%BB&amp;start_date=2025-01-01&amp;end_date=2025-01-31&amp;fiscal_year_id=11960512",91699)</f>
        <v>91699</v>
      </c>
      <c r="H15" s="31">
        <f>HYPERLINK("https://secure.freee.co.jp/reports/general_ledgers/show?name=%E4%BC%9A%E8%AD%B0%E8%B2%BB&amp;start_date=2025-02-01&amp;end_date=2025-02-28&amp;fiscal_year_id=11960512",40285)</f>
        <v>40285</v>
      </c>
      <c r="I15" s="31">
        <f>HYPERLINK("https://secure.freee.co.jp/reports/general_ledgers/show?name=%E4%BC%9A%E8%AD%B0%E8%B2%BB&amp;start_date=2025-03-01&amp;end_date=2025-03-31&amp;fiscal_year_id=11960512",122440)</f>
        <v>122440</v>
      </c>
      <c r="J15" s="30">
        <f>HYPERLINK("https://secure.freee.co.jp/reports/general_ledgers/show?name=%E4%BC%9A%E8%AD%B0%E8%B2%BB&amp;start_date=2025-04-01&amp;end_date=2025-04-30&amp;fiscal_year_id=11960512",131455)</f>
        <v>131455</v>
      </c>
      <c r="K15" s="30">
        <f>HYPERLINK("https://secure.freee.co.jp/reports/general_ledgers/show?name=%E4%BC%9A%E8%AD%B0%E8%B2%BB&amp;start_date=2025-05-01&amp;end_date=2025-05-31&amp;fiscal_year_id=11960512",71207)</f>
        <v>71207</v>
      </c>
      <c r="L15" s="31">
        <f>HYPERLINK("https://secure.freee.co.jp/reports/general_ledgers/show?name=%E4%BC%9A%E8%AD%B0%E8%B2%BB&amp;start_date=2025-06-01&amp;end_date=2025-06-30&amp;fiscal_year_id=11960512",155763)</f>
        <v>155763</v>
      </c>
      <c r="M15" s="31">
        <f>HYPERLINK("https://secure.freee.co.jp/reports/general_ledgers/show?name=%E4%BC%9A%E8%AD%B0%E8%B2%BB&amp;start_date=2025-07-01&amp;end_date=2025-07-31&amp;fiscal_year_id=11960512",34010)</f>
        <v>34010</v>
      </c>
      <c r="N15" s="38">
        <f>SUM(B15:M15)</f>
        <v>1193195</v>
      </c>
      <c r="O15" s="33" t="s">
        <v>284</v>
      </c>
    </row>
    <row r="16" spans="1:15" x14ac:dyDescent="0.25">
      <c r="A16" s="10" t="s">
        <v>362</v>
      </c>
      <c r="B16" s="30">
        <f>HYPERLINK("https://secure.freee.co.jp/reports/general_ledgers/show?name=%E6%97%85%E8%B2%BB%E4%BA%A4%E9%80%9A%E8%B2%BB&amp;start_date=2024-08-01&amp;end_date=2024-08-31&amp;fiscal_year_id=11960512",218396)</f>
        <v>218396</v>
      </c>
      <c r="C16" s="30">
        <f>HYPERLINK("https://secure.freee.co.jp/reports/general_ledgers/show?name=%E6%97%85%E8%B2%BB%E4%BA%A4%E9%80%9A%E8%B2%BB&amp;start_date=2024-09-01&amp;end_date=2024-09-30&amp;fiscal_year_id=11960512",205639)</f>
        <v>205639</v>
      </c>
      <c r="D16" s="30">
        <f>HYPERLINK("https://secure.freee.co.jp/reports/general_ledgers/show?name=%E6%97%85%E8%B2%BB%E4%BA%A4%E9%80%9A%E8%B2%BB&amp;start_date=2024-10-01&amp;end_date=2024-10-31&amp;fiscal_year_id=11960512",235157)</f>
        <v>235157</v>
      </c>
      <c r="E16" s="30">
        <f>HYPERLINK("https://secure.freee.co.jp/reports/general_ledgers/show?name=%E6%97%85%E8%B2%BB%E4%BA%A4%E9%80%9A%E8%B2%BB&amp;start_date=2024-11-01&amp;end_date=2024-11-30&amp;fiscal_year_id=11960512",234640)</f>
        <v>234640</v>
      </c>
      <c r="F16" s="30">
        <f>HYPERLINK("https://secure.freee.co.jp/reports/general_ledgers/show?name=%E6%97%85%E8%B2%BB%E4%BA%A4%E9%80%9A%E8%B2%BB&amp;start_date=2024-12-01&amp;end_date=2024-12-31&amp;fiscal_year_id=11960512",202919)</f>
        <v>202919</v>
      </c>
      <c r="G16" s="30">
        <f>HYPERLINK("https://secure.freee.co.jp/reports/general_ledgers/show?name=%E6%97%85%E8%B2%BB%E4%BA%A4%E9%80%9A%E8%B2%BB&amp;start_date=2025-01-01&amp;end_date=2025-01-31&amp;fiscal_year_id=11960512",208982)</f>
        <v>208982</v>
      </c>
      <c r="H16" s="30">
        <f>HYPERLINK("https://secure.freee.co.jp/reports/general_ledgers/show?name=%E6%97%85%E8%B2%BB%E4%BA%A4%E9%80%9A%E8%B2%BB&amp;start_date=2025-02-01&amp;end_date=2025-02-28&amp;fiscal_year_id=11960512",195680)</f>
        <v>195680</v>
      </c>
      <c r="I16" s="30">
        <f>HYPERLINK("https://secure.freee.co.jp/reports/general_ledgers/show?name=%E6%97%85%E8%B2%BB%E4%BA%A4%E9%80%9A%E8%B2%BB&amp;start_date=2025-03-01&amp;end_date=2025-03-31&amp;fiscal_year_id=11960512",161413)</f>
        <v>161413</v>
      </c>
      <c r="J16" s="30">
        <f>HYPERLINK("https://secure.freee.co.jp/reports/general_ledgers/show?name=%E6%97%85%E8%B2%BB%E4%BA%A4%E9%80%9A%E8%B2%BB&amp;start_date=2025-04-01&amp;end_date=2025-04-30&amp;fiscal_year_id=11960512",219088)</f>
        <v>219088</v>
      </c>
      <c r="K16" s="30">
        <f>HYPERLINK("https://secure.freee.co.jp/reports/general_ledgers/show?name=%E6%97%85%E8%B2%BB%E4%BA%A4%E9%80%9A%E8%B2%BB&amp;start_date=2025-05-01&amp;end_date=2025-05-31&amp;fiscal_year_id=11960512",153034)</f>
        <v>153034</v>
      </c>
      <c r="L16" s="30">
        <f>HYPERLINK("https://secure.freee.co.jp/reports/general_ledgers/show?name=%E6%97%85%E8%B2%BB%E4%BA%A4%E9%80%9A%E8%B2%BB&amp;start_date=2025-06-01&amp;end_date=2025-06-30&amp;fiscal_year_id=11960512",150684)</f>
        <v>150684</v>
      </c>
      <c r="M16" s="37">
        <f>HYPERLINK("https://secure.freee.co.jp/reports/general_ledgers/show?name=%E6%97%85%E8%B2%BB%E4%BA%A4%E9%80%9A%E8%B2%BB&amp;start_date=2025-07-01&amp;end_date=2025-07-31&amp;fiscal_year_id=11960512",150674)</f>
        <v>150674</v>
      </c>
      <c r="N16" s="38">
        <f>SUM(B16:M16)</f>
        <v>2336306</v>
      </c>
      <c r="O16" s="33" t="s">
        <v>284</v>
      </c>
    </row>
    <row r="17" spans="1:15" x14ac:dyDescent="0.25">
      <c r="A17" s="10" t="s">
        <v>363</v>
      </c>
      <c r="B17" s="30">
        <f>HYPERLINK("https://secure.freee.co.jp/reports/general_ledgers/show?name=%E9%80%9A%E4%BF%A1%E8%B2%BB&amp;start_date=2024-08-01&amp;end_date=2024-08-31&amp;fiscal_year_id=11960512",49404)</f>
        <v>49404</v>
      </c>
      <c r="C17" s="31">
        <f>HYPERLINK("https://secure.freee.co.jp/reports/general_ledgers/show?name=%E9%80%9A%E4%BF%A1%E8%B2%BB&amp;start_date=2024-09-01&amp;end_date=2024-09-30&amp;fiscal_year_id=11960512",115192)</f>
        <v>115192</v>
      </c>
      <c r="D17" s="30">
        <f>HYPERLINK("https://secure.freee.co.jp/reports/general_ledgers/show?name=%E9%80%9A%E4%BF%A1%E8%B2%BB&amp;start_date=2024-10-01&amp;end_date=2024-10-31&amp;fiscal_year_id=11960512",92015)</f>
        <v>92015</v>
      </c>
      <c r="E17" s="30">
        <f>HYPERLINK("https://secure.freee.co.jp/reports/general_ledgers/show?name=%E9%80%9A%E4%BF%A1%E8%B2%BB&amp;start_date=2024-11-01&amp;end_date=2024-11-30&amp;fiscal_year_id=11960512",67040)</f>
        <v>67040</v>
      </c>
      <c r="F17" s="31">
        <f>HYPERLINK("https://secure.freee.co.jp/reports/general_ledgers/show?name=%E9%80%9A%E4%BF%A1%E8%B2%BB&amp;start_date=2024-12-01&amp;end_date=2024-12-31&amp;fiscal_year_id=11960512",141346)</f>
        <v>141346</v>
      </c>
      <c r="G17" s="30">
        <f>HYPERLINK("https://secure.freee.co.jp/reports/general_ledgers/show?name=%E9%80%9A%E4%BF%A1%E8%B2%BB&amp;start_date=2025-01-01&amp;end_date=2025-01-31&amp;fiscal_year_id=11960512",71034)</f>
        <v>71034</v>
      </c>
      <c r="H17" s="31">
        <f>HYPERLINK("https://secure.freee.co.jp/reports/general_ledgers/show?name=%E9%80%9A%E4%BF%A1%E8%B2%BB&amp;start_date=2025-02-01&amp;end_date=2025-02-28&amp;fiscal_year_id=11960512",129878)</f>
        <v>129878</v>
      </c>
      <c r="I17" s="30">
        <f>HYPERLINK("https://secure.freee.co.jp/reports/general_ledgers/show?name=%E9%80%9A%E4%BF%A1%E8%B2%BB&amp;start_date=2025-03-01&amp;end_date=2025-03-31&amp;fiscal_year_id=11960512",112833)</f>
        <v>112833</v>
      </c>
      <c r="J17" s="31">
        <f>HYPERLINK("https://secure.freee.co.jp/reports/general_ledgers/show?name=%E9%80%9A%E4%BF%A1%E8%B2%BB&amp;start_date=2025-04-01&amp;end_date=2025-04-30&amp;fiscal_year_id=11960512",181418)</f>
        <v>181418</v>
      </c>
      <c r="K17" s="30">
        <f>HYPERLINK("https://secure.freee.co.jp/reports/general_ledgers/show?name=%E9%80%9A%E4%BF%A1%E8%B2%BB&amp;start_date=2025-05-01&amp;end_date=2025-05-31&amp;fiscal_year_id=11960512",168790)</f>
        <v>168790</v>
      </c>
      <c r="L17" s="30">
        <f>HYPERLINK("https://secure.freee.co.jp/reports/general_ledgers/show?name=%E9%80%9A%E4%BF%A1%E8%B2%BB&amp;start_date=2025-06-01&amp;end_date=2025-06-30&amp;fiscal_year_id=11960512",132940)</f>
        <v>132940</v>
      </c>
      <c r="M17" s="31">
        <f>HYPERLINK("https://secure.freee.co.jp/reports/general_ledgers/show?name=%E9%80%9A%E4%BF%A1%E8%B2%BB&amp;start_date=2025-07-01&amp;end_date=2025-07-31&amp;fiscal_year_id=11960512",35759)</f>
        <v>35759</v>
      </c>
      <c r="N17" s="38">
        <f>SUM(B17:M17)</f>
        <v>1297649</v>
      </c>
      <c r="O17" s="33" t="s">
        <v>284</v>
      </c>
    </row>
    <row r="18" spans="1:15" x14ac:dyDescent="0.25">
      <c r="A18" s="10" t="s">
        <v>364</v>
      </c>
      <c r="B18" s="30">
        <f>HYPERLINK("https://secure.freee.co.jp/reports/general_ledgers/show?name=%E6%B6%88%E8%80%97%E5%93%81%E8%B2%BB&amp;start_date=2024-08-01&amp;end_date=2024-08-31&amp;fiscal_year_id=11960512",93489)</f>
        <v>93489</v>
      </c>
      <c r="C18" s="30">
        <f>HYPERLINK("https://secure.freee.co.jp/reports/general_ledgers/show?name=%E6%B6%88%E8%80%97%E5%93%81%E8%B2%BB&amp;start_date=2024-09-01&amp;end_date=2024-09-30&amp;fiscal_year_id=11960512",100492)</f>
        <v>100492</v>
      </c>
      <c r="D18" s="30">
        <f>HYPERLINK("https://secure.freee.co.jp/reports/general_ledgers/show?name=%E6%B6%88%E8%80%97%E5%93%81%E8%B2%BB&amp;start_date=2024-10-01&amp;end_date=2024-10-31&amp;fiscal_year_id=11960512",103655)</f>
        <v>103655</v>
      </c>
      <c r="E18" s="31">
        <f>HYPERLINK("https://secure.freee.co.jp/reports/general_ledgers/show?name=%E6%B6%88%E8%80%97%E5%93%81%E8%B2%BB&amp;start_date=2024-11-01&amp;end_date=2024-11-30&amp;fiscal_year_id=11960512",22047)</f>
        <v>22047</v>
      </c>
      <c r="F18" s="31">
        <f>HYPERLINK("https://secure.freee.co.jp/reports/general_ledgers/show?name=%E6%B6%88%E8%80%97%E5%93%81%E8%B2%BB&amp;start_date=2024-12-01&amp;end_date=2024-12-31&amp;fiscal_year_id=11960512",34963)</f>
        <v>34963</v>
      </c>
      <c r="G18" s="31">
        <f>HYPERLINK("https://secure.freee.co.jp/reports/general_ledgers/show?name=%E6%B6%88%E8%80%97%E5%93%81%E8%B2%BB&amp;start_date=2025-01-01&amp;end_date=2025-01-31&amp;fiscal_year_id=11960512",68229)</f>
        <v>68229</v>
      </c>
      <c r="H18" s="30">
        <f>HYPERLINK("https://secure.freee.co.jp/reports/general_ledgers/show?name=%E6%B6%88%E8%80%97%E5%93%81%E8%B2%BB&amp;start_date=2025-02-01&amp;end_date=2025-02-28&amp;fiscal_year_id=11960512",34864)</f>
        <v>34864</v>
      </c>
      <c r="I18" s="31">
        <f>HYPERLINK("https://secure.freee.co.jp/reports/general_ledgers/show?name=%E6%B6%88%E8%80%97%E5%93%81%E8%B2%BB&amp;start_date=2025-03-01&amp;end_date=2025-03-31&amp;fiscal_year_id=11960512",98901)</f>
        <v>98901</v>
      </c>
      <c r="J18" s="30">
        <f>HYPERLINK("https://secure.freee.co.jp/reports/general_ledgers/show?name=%E6%B6%88%E8%80%97%E5%93%81%E8%B2%BB&amp;start_date=2025-04-01&amp;end_date=2025-04-30&amp;fiscal_year_id=11960512",73910)</f>
        <v>73910</v>
      </c>
      <c r="K18" s="30">
        <f>HYPERLINK("https://secure.freee.co.jp/reports/general_ledgers/show?name=%E6%B6%88%E8%80%97%E5%93%81%E8%B2%BB&amp;start_date=2025-05-01&amp;end_date=2025-05-31&amp;fiscal_year_id=11960512",41153)</f>
        <v>41153</v>
      </c>
      <c r="L18" s="30">
        <f>HYPERLINK("https://secure.freee.co.jp/reports/general_ledgers/show?name=%E6%B6%88%E8%80%97%E5%93%81%E8%B2%BB&amp;start_date=2025-06-01&amp;end_date=2025-06-30&amp;fiscal_year_id=11960512",30935)</f>
        <v>30935</v>
      </c>
      <c r="M18" s="37">
        <f>HYPERLINK("https://secure.freee.co.jp/reports/general_ledgers/show?name=%E6%B6%88%E8%80%97%E5%93%81%E8%B2%BB&amp;start_date=2025-07-01&amp;end_date=2025-07-31&amp;fiscal_year_id=11960512",27951)</f>
        <v>27951</v>
      </c>
      <c r="N18" s="38">
        <f>SUM(B18:M18)</f>
        <v>730589</v>
      </c>
      <c r="O18" s="33" t="s">
        <v>284</v>
      </c>
    </row>
    <row r="19" spans="1:15" x14ac:dyDescent="0.25">
      <c r="A19" s="10" t="s">
        <v>365</v>
      </c>
      <c r="B19" s="43">
        <v>0</v>
      </c>
      <c r="C19" s="30">
        <f>HYPERLINK("https://secure.freee.co.jp/reports/general_ledgers/show?name=%E4%BF%AE%E7%B9%95%E8%B2%BB&amp;start_date=2024-09-01&amp;end_date=2024-09-30&amp;fiscal_year_id=11960512",121819)</f>
        <v>121819</v>
      </c>
      <c r="D19" s="44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30">
        <f>HYPERLINK("https://secure.freee.co.jp/reports/general_ledgers/show?name=%E4%BF%AE%E7%B9%95%E8%B2%BB&amp;start_date=2025-04-01&amp;end_date=2025-04-30&amp;fiscal_year_id=11960512",151890)</f>
        <v>151890</v>
      </c>
      <c r="K19" s="31">
        <f>HYPERLINK("https://secure.freee.co.jp/reports/general_ledgers/show?name=%E4%BF%AE%E7%B9%95%E8%B2%BB&amp;start_date=2025-05-01&amp;end_date=2025-05-31&amp;fiscal_year_id=11960512",44546)</f>
        <v>44546</v>
      </c>
      <c r="L19" s="44">
        <v>0</v>
      </c>
      <c r="M19" s="45">
        <v>0</v>
      </c>
      <c r="N19" s="38">
        <f>SUM(B19:M19)</f>
        <v>318255</v>
      </c>
      <c r="O19" s="33" t="s">
        <v>284</v>
      </c>
    </row>
    <row r="20" spans="1:15" x14ac:dyDescent="0.25">
      <c r="A20" s="10" t="s">
        <v>366</v>
      </c>
      <c r="B20" s="30">
        <f>HYPERLINK("https://secure.freee.co.jp/reports/general_ledgers/show?name=%E6%B0%B4%E9%81%93%E5%85%89%E7%86%B1%E8%B2%BB&amp;start_date=2024-08-01&amp;end_date=2024-08-31&amp;fiscal_year_id=11960512",64010)</f>
        <v>64010</v>
      </c>
      <c r="C20" s="30">
        <f>HYPERLINK("https://secure.freee.co.jp/reports/general_ledgers/show?name=%E6%B0%B4%E9%81%93%E5%85%89%E7%86%B1%E8%B2%BB&amp;start_date=2024-09-01&amp;end_date=2024-09-30&amp;fiscal_year_id=11960512",89905)</f>
        <v>89905</v>
      </c>
      <c r="D20" s="30">
        <f>HYPERLINK("https://secure.freee.co.jp/reports/general_ledgers/show?name=%E6%B0%B4%E9%81%93%E5%85%89%E7%86%B1%E8%B2%BB&amp;start_date=2024-10-01&amp;end_date=2024-10-31&amp;fiscal_year_id=11960512",86192)</f>
        <v>86192</v>
      </c>
      <c r="E20" s="30">
        <f>HYPERLINK("https://secure.freee.co.jp/reports/general_ledgers/show?name=%E6%B0%B4%E9%81%93%E5%85%89%E7%86%B1%E8%B2%BB&amp;start_date=2024-11-01&amp;end_date=2024-11-30&amp;fiscal_year_id=11960512",66407)</f>
        <v>66407</v>
      </c>
      <c r="F20" s="30">
        <f>HYPERLINK("https://secure.freee.co.jp/reports/general_ledgers/show?name=%E6%B0%B4%E9%81%93%E5%85%89%E7%86%B1%E8%B2%BB&amp;start_date=2024-12-01&amp;end_date=2024-12-31&amp;fiscal_year_id=11960512",64248)</f>
        <v>64248</v>
      </c>
      <c r="G20" s="30">
        <f>HYPERLINK("https://secure.freee.co.jp/reports/general_ledgers/show?name=%E6%B0%B4%E9%81%93%E5%85%89%E7%86%B1%E8%B2%BB&amp;start_date=2025-01-01&amp;end_date=2025-01-31&amp;fiscal_year_id=11960512",84256)</f>
        <v>84256</v>
      </c>
      <c r="H20" s="30">
        <f>HYPERLINK("https://secure.freee.co.jp/reports/general_ledgers/show?name=%E6%B0%B4%E9%81%93%E5%85%89%E7%86%B1%E8%B2%BB&amp;start_date=2025-02-01&amp;end_date=2025-02-28&amp;fiscal_year_id=11960512",64220)</f>
        <v>64220</v>
      </c>
      <c r="I20" s="30">
        <f>HYPERLINK("https://secure.freee.co.jp/reports/general_ledgers/show?name=%E6%B0%B4%E9%81%93%E5%85%89%E7%86%B1%E8%B2%BB&amp;start_date=2025-03-01&amp;end_date=2025-03-31&amp;fiscal_year_id=11960512",74985)</f>
        <v>74985</v>
      </c>
      <c r="J20" s="30">
        <f>HYPERLINK("https://secure.freee.co.jp/reports/general_ledgers/show?name=%E6%B0%B4%E9%81%93%E5%85%89%E7%86%B1%E8%B2%BB&amp;start_date=2025-04-01&amp;end_date=2025-04-30&amp;fiscal_year_id=11960512",73033)</f>
        <v>73033</v>
      </c>
      <c r="K20" s="30">
        <f>HYPERLINK("https://secure.freee.co.jp/reports/general_ledgers/show?name=%E6%B0%B4%E9%81%93%E5%85%89%E7%86%B1%E8%B2%BB&amp;start_date=2025-05-01&amp;end_date=2025-05-31&amp;fiscal_year_id=11960512",75211)</f>
        <v>75211</v>
      </c>
      <c r="L20" s="30">
        <f>HYPERLINK("https://secure.freee.co.jp/reports/general_ledgers/show?name=%E6%B0%B4%E9%81%93%E5%85%89%E7%86%B1%E8%B2%BB&amp;start_date=2025-06-01&amp;end_date=2025-06-30&amp;fiscal_year_id=11960512",52673)</f>
        <v>52673</v>
      </c>
      <c r="M20" s="44">
        <v>0</v>
      </c>
      <c r="N20" s="38">
        <f>SUM(B20:M20)</f>
        <v>795140</v>
      </c>
      <c r="O20" s="33" t="s">
        <v>284</v>
      </c>
    </row>
    <row r="21" spans="1:15" x14ac:dyDescent="0.25">
      <c r="A21" s="10" t="s">
        <v>367</v>
      </c>
      <c r="B21" s="30">
        <f>HYPERLINK("https://secure.freee.co.jp/reports/general_ledgers/show?name=%E6%96%B0%E8%81%9E%E5%9B%B3%E6%9B%B8%E8%B2%BB&amp;start_date=2024-08-01&amp;end_date=2024-08-31&amp;fiscal_year_id=11960512",500)</f>
        <v>500</v>
      </c>
      <c r="C21" s="31">
        <f>HYPERLINK("https://secure.freee.co.jp/reports/general_ledgers/show?name=%E6%96%B0%E8%81%9E%E5%9B%B3%E6%9B%B8%E8%B2%BB&amp;start_date=2024-09-01&amp;end_date=2024-09-30&amp;fiscal_year_id=11960512",2000)</f>
        <v>2000</v>
      </c>
      <c r="D21" s="31">
        <f>HYPERLINK("https://secure.freee.co.jp/reports/general_ledgers/show?name=%E6%96%B0%E8%81%9E%E5%9B%B3%E6%9B%B8%E8%B2%BB&amp;start_date=2024-10-01&amp;end_date=2024-10-31&amp;fiscal_year_id=11960512",500)</f>
        <v>500</v>
      </c>
      <c r="E21" s="30">
        <f>HYPERLINK("https://secure.freee.co.jp/reports/general_ledgers/show?name=%E6%96%B0%E8%81%9E%E5%9B%B3%E6%9B%B8%E8%B2%BB&amp;start_date=2024-11-01&amp;end_date=2024-11-30&amp;fiscal_year_id=11960512",500)</f>
        <v>500</v>
      </c>
      <c r="F21" s="30">
        <f>HYPERLINK("https://secure.freee.co.jp/reports/general_ledgers/show?name=%E6%96%B0%E8%81%9E%E5%9B%B3%E6%9B%B8%E8%B2%BB&amp;start_date=2024-12-01&amp;end_date=2024-12-31&amp;fiscal_year_id=11960512",500)</f>
        <v>500</v>
      </c>
      <c r="G21" s="31">
        <f>HYPERLINK("https://secure.freee.co.jp/reports/general_ledgers/show?name=%E6%96%B0%E8%81%9E%E5%9B%B3%E6%9B%B8%E8%B2%BB&amp;start_date=2025-01-01&amp;end_date=2025-01-31&amp;fiscal_year_id=11960512",2864)</f>
        <v>2864</v>
      </c>
      <c r="H21" s="30">
        <f>HYPERLINK("https://secure.freee.co.jp/reports/general_ledgers/show?name=%E6%96%B0%E8%81%9E%E5%9B%B3%E6%9B%B8%E8%B2%BB&amp;start_date=2025-02-01&amp;end_date=2025-02-28&amp;fiscal_year_id=11960512",1682)</f>
        <v>1682</v>
      </c>
      <c r="I21" s="31">
        <f>HYPERLINK("https://secure.freee.co.jp/reports/general_ledgers/show?name=%E6%96%B0%E8%81%9E%E5%9B%B3%E6%9B%B8%E8%B2%BB&amp;start_date=2025-03-01&amp;end_date=2025-03-31&amp;fiscal_year_id=11960512",2773)</f>
        <v>2773</v>
      </c>
      <c r="J21" s="31">
        <f>HYPERLINK("https://secure.freee.co.jp/reports/general_ledgers/show?name=%E6%96%B0%E8%81%9E%E5%9B%B3%E6%9B%B8%E8%B2%BB&amp;start_date=2025-04-01&amp;end_date=2025-04-30&amp;fiscal_year_id=11960512",1364)</f>
        <v>1364</v>
      </c>
      <c r="K21" s="31">
        <f>HYPERLINK("https://secure.freee.co.jp/reports/general_ledgers/show?name=%E6%96%B0%E8%81%9E%E5%9B%B3%E6%9B%B8%E8%B2%BB&amp;start_date=2025-05-01&amp;end_date=2025-05-31&amp;fiscal_year_id=11960512",24143)</f>
        <v>24143</v>
      </c>
      <c r="L21" s="30">
        <f>HYPERLINK("https://secure.freee.co.jp/reports/general_ledgers/show?name=%E6%96%B0%E8%81%9E%E5%9B%B3%E6%9B%B8%E8%B2%BB&amp;start_date=2025-06-01&amp;end_date=2025-06-30&amp;fiscal_year_id=11960512",13337)</f>
        <v>13337</v>
      </c>
      <c r="M21" s="37">
        <f>HYPERLINK("https://secure.freee.co.jp/reports/general_ledgers/show?name=%E6%96%B0%E8%81%9E%E5%9B%B3%E6%9B%B8%E8%B2%BB&amp;start_date=2025-07-01&amp;end_date=2025-07-31&amp;fiscal_year_id=11960512",8455)</f>
        <v>8455</v>
      </c>
      <c r="N21" s="38">
        <f>SUM(B21:M21)</f>
        <v>58618</v>
      </c>
      <c r="O21" s="33" t="s">
        <v>284</v>
      </c>
    </row>
    <row r="22" spans="1:15" x14ac:dyDescent="0.25">
      <c r="A22" s="10" t="s">
        <v>368</v>
      </c>
      <c r="B22" s="43">
        <v>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30">
        <f>HYPERLINK("https://secure.freee.co.jp/reports/general_ledgers/show?name=%E8%AB%B8%E4%BC%9A%E8%B2%BB&amp;start_date=2025-05-01&amp;end_date=2025-05-31&amp;fiscal_year_id=11960512",30000)</f>
        <v>30000</v>
      </c>
      <c r="L22" s="30">
        <f>HYPERLINK("https://secure.freee.co.jp/reports/general_ledgers/show?name=%E8%AB%B8%E4%BC%9A%E8%B2%BB&amp;start_date=2025-06-01&amp;end_date=2025-06-30&amp;fiscal_year_id=11960512",30001)</f>
        <v>30001</v>
      </c>
      <c r="M22" s="31">
        <f>HYPERLINK("https://secure.freee.co.jp/reports/general_ledgers/show?name=%E8%AB%B8%E4%BC%9A%E8%B2%BB&amp;start_date=2025-07-01&amp;end_date=2025-07-31&amp;fiscal_year_id=11960512",10000)</f>
        <v>10000</v>
      </c>
      <c r="N22" s="38">
        <f>SUM(B22:M22)</f>
        <v>70001</v>
      </c>
      <c r="O22" s="33" t="s">
        <v>284</v>
      </c>
    </row>
    <row r="23" spans="1:15" x14ac:dyDescent="0.25">
      <c r="A23" s="10" t="s">
        <v>369</v>
      </c>
      <c r="B23" s="30">
        <f>HYPERLINK("https://secure.freee.co.jp/reports/general_ledgers/show?name=%E6%94%AF%E6%89%95%E6%89%8B%E6%95%B0%E6%96%99&amp;start_date=2024-08-01&amp;end_date=2024-08-31&amp;fiscal_year_id=11960512",8630)</f>
        <v>8630</v>
      </c>
      <c r="C23" s="30">
        <f>HYPERLINK("https://secure.freee.co.jp/reports/general_ledgers/show?name=%E6%94%AF%E6%89%95%E6%89%8B%E6%95%B0%E6%96%99&amp;start_date=2024-09-01&amp;end_date=2024-09-30&amp;fiscal_year_id=11960512",8596)</f>
        <v>8596</v>
      </c>
      <c r="D23" s="30">
        <f>HYPERLINK("https://secure.freee.co.jp/reports/general_ledgers/show?name=%E6%94%AF%E6%89%95%E6%89%8B%E6%95%B0%E6%96%99&amp;start_date=2024-10-01&amp;end_date=2024-10-31&amp;fiscal_year_id=11960512",10916)</f>
        <v>10916</v>
      </c>
      <c r="E23" s="31">
        <f>HYPERLINK("https://secure.freee.co.jp/reports/general_ledgers/show?name=%E6%94%AF%E6%89%95%E6%89%8B%E6%95%B0%E6%96%99&amp;start_date=2024-11-01&amp;end_date=2024-11-30&amp;fiscal_year_id=11960512",150760)</f>
        <v>150760</v>
      </c>
      <c r="F23" s="31">
        <f>HYPERLINK("https://secure.freee.co.jp/reports/general_ledgers/show?name=%E6%94%AF%E6%89%95%E6%89%8B%E6%95%B0%E6%96%99&amp;start_date=2024-12-01&amp;end_date=2024-12-31&amp;fiscal_year_id=11960512",12896)</f>
        <v>12896</v>
      </c>
      <c r="G23" s="31">
        <f>HYPERLINK("https://secure.freee.co.jp/reports/general_ledgers/show?name=%E6%94%AF%E6%89%95%E6%89%8B%E6%95%B0%E6%96%99&amp;start_date=2025-01-01&amp;end_date=2025-01-31&amp;fiscal_year_id=11960512",215747)</f>
        <v>215747</v>
      </c>
      <c r="H23" s="31">
        <f>HYPERLINK("https://secure.freee.co.jp/reports/general_ledgers/show?name=%E6%94%AF%E6%89%95%E6%89%8B%E6%95%B0%E6%96%99&amp;start_date=2025-02-01&amp;end_date=2025-02-28&amp;fiscal_year_id=11960512",13714)</f>
        <v>13714</v>
      </c>
      <c r="I23" s="30">
        <f>HYPERLINK("https://secure.freee.co.jp/reports/general_ledgers/show?name=%E6%94%AF%E6%89%95%E6%89%8B%E6%95%B0%E6%96%99&amp;start_date=2025-03-01&amp;end_date=2025-03-31&amp;fiscal_year_id=11960512",13149)</f>
        <v>13149</v>
      </c>
      <c r="J23" s="30">
        <f>HYPERLINK("https://secure.freee.co.jp/reports/general_ledgers/show?name=%E6%94%AF%E6%89%95%E6%89%8B%E6%95%B0%E6%96%99&amp;start_date=2025-04-01&amp;end_date=2025-04-30&amp;fiscal_year_id=11960512",14659)</f>
        <v>14659</v>
      </c>
      <c r="K23" s="30">
        <f>HYPERLINK("https://secure.freee.co.jp/reports/general_ledgers/show?name=%E6%94%AF%E6%89%95%E6%89%8B%E6%95%B0%E6%96%99&amp;start_date=2025-05-01&amp;end_date=2025-05-31&amp;fiscal_year_id=11960512",10017)</f>
        <v>10017</v>
      </c>
      <c r="L23" s="30">
        <f>HYPERLINK("https://secure.freee.co.jp/reports/general_ledgers/show?name=%E6%94%AF%E6%89%95%E6%89%8B%E6%95%B0%E6%96%99&amp;start_date=2025-06-01&amp;end_date=2025-06-30&amp;fiscal_year_id=11960512",10540)</f>
        <v>10540</v>
      </c>
      <c r="M23" s="31">
        <f>HYPERLINK("https://secure.freee.co.jp/reports/general_ledgers/show?name=%E6%94%AF%E6%89%95%E6%89%8B%E6%95%B0%E6%96%99&amp;start_date=2025-07-01&amp;end_date=2025-07-31&amp;fiscal_year_id=11960512",570009)</f>
        <v>570009</v>
      </c>
      <c r="N23" s="38">
        <f>SUM(B23:M23)</f>
        <v>1039633</v>
      </c>
      <c r="O23" s="33" t="s">
        <v>284</v>
      </c>
    </row>
    <row r="24" spans="1:15" x14ac:dyDescent="0.25">
      <c r="A24" s="10" t="s">
        <v>370</v>
      </c>
      <c r="B24" s="30">
        <f>HYPERLINK("https://secure.freee.co.jp/reports/general_ledgers/show?name=%E5%9C%B0%E4%BB%A3%E5%AE%B6%E8%B3%83&amp;start_date=2024-08-01&amp;end_date=2024-08-31&amp;fiscal_year_id=11960512",519445)</f>
        <v>519445</v>
      </c>
      <c r="C24" s="30">
        <f>HYPERLINK("https://secure.freee.co.jp/reports/general_ledgers/show?name=%E5%9C%B0%E4%BB%A3%E5%AE%B6%E8%B3%83&amp;start_date=2024-09-01&amp;end_date=2024-09-30&amp;fiscal_year_id=11960512",519445)</f>
        <v>519445</v>
      </c>
      <c r="D24" s="30">
        <f>HYPERLINK("https://secure.freee.co.jp/reports/general_ledgers/show?name=%E5%9C%B0%E4%BB%A3%E5%AE%B6%E8%B3%83&amp;start_date=2024-10-01&amp;end_date=2024-10-31&amp;fiscal_year_id=11960512",519445)</f>
        <v>519445</v>
      </c>
      <c r="E24" s="30">
        <f>HYPERLINK("https://secure.freee.co.jp/reports/general_ledgers/show?name=%E5%9C%B0%E4%BB%A3%E5%AE%B6%E8%B3%83&amp;start_date=2024-11-01&amp;end_date=2024-11-30&amp;fiscal_year_id=11960512",519445)</f>
        <v>519445</v>
      </c>
      <c r="F24" s="30">
        <f>HYPERLINK("https://secure.freee.co.jp/reports/general_ledgers/show?name=%E5%9C%B0%E4%BB%A3%E5%AE%B6%E8%B3%83&amp;start_date=2024-12-01&amp;end_date=2024-12-31&amp;fiscal_year_id=11960512",519445)</f>
        <v>519445</v>
      </c>
      <c r="G24" s="30">
        <f>HYPERLINK("https://secure.freee.co.jp/reports/general_ledgers/show?name=%E5%9C%B0%E4%BB%A3%E5%AE%B6%E8%B3%83&amp;start_date=2025-01-01&amp;end_date=2025-01-31&amp;fiscal_year_id=11960512",519445)</f>
        <v>519445</v>
      </c>
      <c r="H24" s="30">
        <f>HYPERLINK("https://secure.freee.co.jp/reports/general_ledgers/show?name=%E5%9C%B0%E4%BB%A3%E5%AE%B6%E8%B3%83&amp;start_date=2025-02-01&amp;end_date=2025-02-28&amp;fiscal_year_id=11960512",519445)</f>
        <v>519445</v>
      </c>
      <c r="I24" s="30">
        <f>HYPERLINK("https://secure.freee.co.jp/reports/general_ledgers/show?name=%E5%9C%B0%E4%BB%A3%E5%AE%B6%E8%B3%83&amp;start_date=2025-03-01&amp;end_date=2025-03-31&amp;fiscal_year_id=11960512",519445)</f>
        <v>519445</v>
      </c>
      <c r="J24" s="30">
        <f>HYPERLINK("https://secure.freee.co.jp/reports/general_ledgers/show?name=%E5%9C%B0%E4%BB%A3%E5%AE%B6%E8%B3%83&amp;start_date=2025-04-01&amp;end_date=2025-04-30&amp;fiscal_year_id=11960512",519445)</f>
        <v>519445</v>
      </c>
      <c r="K24" s="30">
        <f>HYPERLINK("https://secure.freee.co.jp/reports/general_ledgers/show?name=%E5%9C%B0%E4%BB%A3%E5%AE%B6%E8%B3%83&amp;start_date=2025-05-01&amp;end_date=2025-05-31&amp;fiscal_year_id=11960512",519445)</f>
        <v>519445</v>
      </c>
      <c r="L24" s="30">
        <f>HYPERLINK("https://secure.freee.co.jp/reports/general_ledgers/show?name=%E5%9C%B0%E4%BB%A3%E5%AE%B6%E8%B3%83&amp;start_date=2025-06-01&amp;end_date=2025-06-30&amp;fiscal_year_id=11960512",519445)</f>
        <v>519445</v>
      </c>
      <c r="M24" s="37">
        <f>HYPERLINK("https://secure.freee.co.jp/reports/general_ledgers/show?name=%E5%9C%B0%E4%BB%A3%E5%AE%B6%E8%B3%83&amp;start_date=2025-07-01&amp;end_date=2025-07-31&amp;fiscal_year_id=11960512",519445)</f>
        <v>519445</v>
      </c>
      <c r="N24" s="38">
        <f>SUM(B24:M24)</f>
        <v>6233340</v>
      </c>
      <c r="O24" s="33" t="s">
        <v>284</v>
      </c>
    </row>
    <row r="25" spans="1:15" x14ac:dyDescent="0.25">
      <c r="A25" s="10" t="s">
        <v>371</v>
      </c>
      <c r="B25" s="30">
        <f>HYPERLINK("https://secure.freee.co.jp/reports/general_ledgers/show?name=%E8%B3%83%E5%80%9F%E6%96%99&amp;start_date=2024-08-01&amp;end_date=2024-08-31&amp;fiscal_year_id=11960512",152050)</f>
        <v>152050</v>
      </c>
      <c r="C25" s="30">
        <f>HYPERLINK("https://secure.freee.co.jp/reports/general_ledgers/show?name=%E8%B3%83%E5%80%9F%E6%96%99&amp;start_date=2024-09-01&amp;end_date=2024-09-30&amp;fiscal_year_id=11960512",152050)</f>
        <v>152050</v>
      </c>
      <c r="D25" s="30">
        <f>HYPERLINK("https://secure.freee.co.jp/reports/general_ledgers/show?name=%E8%B3%83%E5%80%9F%E6%96%99&amp;start_date=2024-10-01&amp;end_date=2024-10-31&amp;fiscal_year_id=11960512",152050)</f>
        <v>152050</v>
      </c>
      <c r="E25" s="30">
        <f>HYPERLINK("https://secure.freee.co.jp/reports/general_ledgers/show?name=%E8%B3%83%E5%80%9F%E6%96%99&amp;start_date=2024-11-01&amp;end_date=2024-11-30&amp;fiscal_year_id=11960512",152050)</f>
        <v>152050</v>
      </c>
      <c r="F25" s="30">
        <f>HYPERLINK("https://secure.freee.co.jp/reports/general_ledgers/show?name=%E8%B3%83%E5%80%9F%E6%96%99&amp;start_date=2024-12-01&amp;end_date=2024-12-31&amp;fiscal_year_id=11960512",152050)</f>
        <v>152050</v>
      </c>
      <c r="G25" s="30">
        <f>HYPERLINK("https://secure.freee.co.jp/reports/general_ledgers/show?name=%E8%B3%83%E5%80%9F%E6%96%99&amp;start_date=2025-01-01&amp;end_date=2025-01-31&amp;fiscal_year_id=11960512",216450)</f>
        <v>216450</v>
      </c>
      <c r="H25" s="30">
        <f>HYPERLINK("https://secure.freee.co.jp/reports/general_ledgers/show?name=%E8%B3%83%E5%80%9F%E6%96%99&amp;start_date=2025-02-01&amp;end_date=2025-02-28&amp;fiscal_year_id=11960512",152050)</f>
        <v>152050</v>
      </c>
      <c r="I25" s="30">
        <f>HYPERLINK("https://secure.freee.co.jp/reports/general_ledgers/show?name=%E8%B3%83%E5%80%9F%E6%96%99&amp;start_date=2025-03-01&amp;end_date=2025-03-31&amp;fiscal_year_id=11960512",152050)</f>
        <v>152050</v>
      </c>
      <c r="J25" s="30">
        <f>HYPERLINK("https://secure.freee.co.jp/reports/general_ledgers/show?name=%E8%B3%83%E5%80%9F%E6%96%99&amp;start_date=2025-04-01&amp;end_date=2025-04-30&amp;fiscal_year_id=11960512",114250)</f>
        <v>114250</v>
      </c>
      <c r="K25" s="31">
        <f>HYPERLINK("https://secure.freee.co.jp/reports/general_ledgers/show?name=%E8%B3%83%E5%80%9F%E6%96%99&amp;start_date=2025-05-01&amp;end_date=2025-05-31&amp;fiscal_year_id=11960512",189850)</f>
        <v>189850</v>
      </c>
      <c r="L25" s="30">
        <f>HYPERLINK("https://secure.freee.co.jp/reports/general_ledgers/show?name=%E8%B3%83%E5%80%9F%E6%96%99&amp;start_date=2025-06-01&amp;end_date=2025-06-30&amp;fiscal_year_id=11960512",114900)</f>
        <v>114900</v>
      </c>
      <c r="M25" s="37">
        <f>HYPERLINK("https://secure.freee.co.jp/reports/general_ledgers/show?name=%E8%B3%83%E5%80%9F%E6%96%99&amp;start_date=2025-07-01&amp;end_date=2025-07-31&amp;fiscal_year_id=11960512",122318)</f>
        <v>122318</v>
      </c>
      <c r="N25" s="38">
        <f>SUM(B25:M25)</f>
        <v>1822118</v>
      </c>
      <c r="O25" s="33" t="s">
        <v>284</v>
      </c>
    </row>
    <row r="26" spans="1:15" x14ac:dyDescent="0.25">
      <c r="A26" s="10" t="s">
        <v>372</v>
      </c>
      <c r="B26" s="30">
        <f>HYPERLINK("https://secure.freee.co.jp/reports/general_ledgers/show?name=%E4%BF%9D%E9%99%BA%E6%96%99&amp;start_date=2024-08-01&amp;end_date=2024-08-31&amp;fiscal_year_id=11960512",51470)</f>
        <v>51470</v>
      </c>
      <c r="C26" s="30">
        <f>HYPERLINK("https://secure.freee.co.jp/reports/general_ledgers/show?name=%E4%BF%9D%E9%99%BA%E6%96%99&amp;start_date=2024-09-01&amp;end_date=2024-09-30&amp;fiscal_year_id=11960512",45330)</f>
        <v>45330</v>
      </c>
      <c r="D26" s="30">
        <f>HYPERLINK("https://secure.freee.co.jp/reports/general_ledgers/show?name=%E4%BF%9D%E9%99%BA%E6%96%99&amp;start_date=2024-10-01&amp;end_date=2024-10-31&amp;fiscal_year_id=11960512",45330)</f>
        <v>45330</v>
      </c>
      <c r="E26" s="30">
        <f>HYPERLINK("https://secure.freee.co.jp/reports/general_ledgers/show?name=%E4%BF%9D%E9%99%BA%E6%96%99&amp;start_date=2024-11-01&amp;end_date=2024-11-30&amp;fiscal_year_id=11960512",45570)</f>
        <v>45570</v>
      </c>
      <c r="F26" s="30">
        <f>HYPERLINK("https://secure.freee.co.jp/reports/general_ledgers/show?name=%E4%BF%9D%E9%99%BA%E6%96%99&amp;start_date=2024-12-01&amp;end_date=2024-12-31&amp;fiscal_year_id=11960512",45570)</f>
        <v>45570</v>
      </c>
      <c r="G26" s="30">
        <f>HYPERLINK("https://secure.freee.co.jp/reports/general_ledgers/show?name=%E4%BF%9D%E9%99%BA%E6%96%99&amp;start_date=2025-01-01&amp;end_date=2025-01-31&amp;fiscal_year_id=11960512",45570)</f>
        <v>45570</v>
      </c>
      <c r="H26" s="30">
        <f>HYPERLINK("https://secure.freee.co.jp/reports/general_ledgers/show?name=%E4%BF%9D%E9%99%BA%E6%96%99&amp;start_date=2025-02-01&amp;end_date=2025-02-28&amp;fiscal_year_id=11960512",45570)</f>
        <v>45570</v>
      </c>
      <c r="I26" s="30">
        <f>HYPERLINK("https://secure.freee.co.jp/reports/general_ledgers/show?name=%E4%BF%9D%E9%99%BA%E6%96%99&amp;start_date=2025-03-01&amp;end_date=2025-03-31&amp;fiscal_year_id=11960512",45570)</f>
        <v>45570</v>
      </c>
      <c r="J26" s="30">
        <f>HYPERLINK("https://secure.freee.co.jp/reports/general_ledgers/show?name=%E4%BF%9D%E9%99%BA%E6%96%99&amp;start_date=2025-04-01&amp;end_date=2025-04-30&amp;fiscal_year_id=11960512",45570)</f>
        <v>45570</v>
      </c>
      <c r="K26" s="31">
        <f>HYPERLINK("https://secure.freee.co.jp/reports/general_ledgers/show?name=%E4%BF%9D%E9%99%BA%E6%96%99&amp;start_date=2025-05-01&amp;end_date=2025-05-31&amp;fiscal_year_id=11960512",113500)</f>
        <v>113500</v>
      </c>
      <c r="L26" s="31">
        <f>HYPERLINK("https://secure.freee.co.jp/reports/general_ledgers/show?name=%E4%BF%9D%E9%99%BA%E6%96%99&amp;start_date=2025-06-01&amp;end_date=2025-06-30&amp;fiscal_year_id=11960512",5610)</f>
        <v>5610</v>
      </c>
      <c r="M26" s="31">
        <f>HYPERLINK("https://secure.freee.co.jp/reports/general_ledgers/show?name=%E4%BF%9D%E9%99%BA%E6%96%99&amp;start_date=2025-07-01&amp;end_date=2025-07-31&amp;fiscal_year_id=11960512",73350)</f>
        <v>73350</v>
      </c>
      <c r="N26" s="38">
        <f>SUM(B26:M26)</f>
        <v>608010</v>
      </c>
      <c r="O26" s="33" t="s">
        <v>284</v>
      </c>
    </row>
    <row r="27" spans="1:15" x14ac:dyDescent="0.25">
      <c r="A27" s="10" t="s">
        <v>373</v>
      </c>
      <c r="B27" s="43">
        <v>0</v>
      </c>
      <c r="C27" s="30">
        <f>HYPERLINK("https://secure.freee.co.jp/reports/general_ledgers/show?name=%E7%A7%9F%E7%A8%8E%E5%85%AC%E8%AA%B2&amp;start_date=2024-09-01&amp;end_date=2024-09-30&amp;fiscal_year_id=11960512",8400)</f>
        <v>8400</v>
      </c>
      <c r="D27" s="31">
        <f>HYPERLINK("https://secure.freee.co.jp/reports/general_ledgers/show?name=%E7%A7%9F%E7%A8%8E%E5%85%AC%E8%AA%B2&amp;start_date=2024-10-01&amp;end_date=2024-10-31&amp;fiscal_year_id=11960512",3000)</f>
        <v>3000</v>
      </c>
      <c r="E27" s="44">
        <v>0</v>
      </c>
      <c r="F27" s="30">
        <f>HYPERLINK("https://secure.freee.co.jp/reports/general_ledgers/show?name=%E7%A7%9F%E7%A8%8E%E5%85%AC%E8%AA%B2&amp;start_date=2024-12-01&amp;end_date=2024-12-31&amp;fiscal_year_id=11960512",6200)</f>
        <v>6200</v>
      </c>
      <c r="G27" s="30">
        <f>HYPERLINK("https://secure.freee.co.jp/reports/general_ledgers/show?name=%E7%A7%9F%E7%A8%8E%E5%85%AC%E8%AA%B2&amp;start_date=2025-01-01&amp;end_date=2025-01-31&amp;fiscal_year_id=11960512",5450)</f>
        <v>5450</v>
      </c>
      <c r="H27" s="30">
        <f>HYPERLINK("https://secure.freee.co.jp/reports/general_ledgers/show?name=%E7%A7%9F%E7%A8%8E%E5%85%AC%E8%AA%B2&amp;start_date=2025-02-01&amp;end_date=2025-02-28&amp;fiscal_year_id=11960512",6000)</f>
        <v>6000</v>
      </c>
      <c r="I27" s="31">
        <f>HYPERLINK("https://secure.freee.co.jp/reports/general_ledgers/show?name=%E7%A7%9F%E7%A8%8E%E5%85%AC%E8%AA%B2&amp;start_date=2025-03-01&amp;end_date=2025-03-31&amp;fiscal_year_id=11960512",200)</f>
        <v>200</v>
      </c>
      <c r="J27" s="31">
        <f>HYPERLINK("https://secure.freee.co.jp/reports/general_ledgers/show?name=%E7%A7%9F%E7%A8%8E%E5%85%AC%E8%AA%B2&amp;start_date=2025-04-01&amp;end_date=2025-04-30&amp;fiscal_year_id=11960512",4900)</f>
        <v>4900</v>
      </c>
      <c r="K27" s="31">
        <f>HYPERLINK("https://secure.freee.co.jp/reports/general_ledgers/show?name=%E7%A7%9F%E7%A8%8E%E5%85%AC%E8%AA%B2&amp;start_date=2025-05-01&amp;end_date=2025-05-31&amp;fiscal_year_id=11960512",800)</f>
        <v>800</v>
      </c>
      <c r="L27" s="31">
        <f>HYPERLINK("https://secure.freee.co.jp/reports/general_ledgers/show?name=%E7%A7%9F%E7%A8%8E%E5%85%AC%E8%AA%B2&amp;start_date=2025-06-01&amp;end_date=2025-06-30&amp;fiscal_year_id=11960512",1700)</f>
        <v>1700</v>
      </c>
      <c r="M27" s="31">
        <f>HYPERLINK("https://secure.freee.co.jp/reports/general_ledgers/show?name=%E7%A7%9F%E7%A8%8E%E5%85%AC%E8%AA%B2&amp;start_date=2025-07-01&amp;end_date=2025-07-31&amp;fiscal_year_id=11960512",11500)</f>
        <v>11500</v>
      </c>
      <c r="N27" s="38">
        <f>SUM(B27:M27)</f>
        <v>48150</v>
      </c>
      <c r="O27" s="33" t="s">
        <v>284</v>
      </c>
    </row>
    <row r="28" spans="1:15" x14ac:dyDescent="0.25">
      <c r="A28" s="10" t="s">
        <v>374</v>
      </c>
      <c r="B28" s="43">
        <v>0</v>
      </c>
      <c r="C28" s="43">
        <v>0</v>
      </c>
      <c r="D28" s="43">
        <v>0</v>
      </c>
      <c r="E28" s="43">
        <v>0</v>
      </c>
      <c r="F28" s="30">
        <f>HYPERLINK("https://secure.freee.co.jp/reports/general_ledgers/show?name=%E6%94%AF%E6%89%95%E5%A0%B1%E9%85%AC%E6%96%99&amp;start_date=2024-12-01&amp;end_date=2024-12-31&amp;fiscal_year_id=11960512",280000)</f>
        <v>280000</v>
      </c>
      <c r="G28" s="44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5">
        <v>0</v>
      </c>
      <c r="N28" s="38">
        <f>SUM(B28:M28)</f>
        <v>280000</v>
      </c>
      <c r="O28" s="33" t="s">
        <v>284</v>
      </c>
    </row>
    <row r="29" spans="1:15" x14ac:dyDescent="0.25">
      <c r="A29" s="10" t="s">
        <v>375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37">
        <f>HYPERLINK("https://secure.freee.co.jp/reports/general_ledgers/show?name=%E6%B8%9B%E4%BE%A1%E5%84%9F%E5%8D%B4%E8%B2%BB&amp;start_date=2025-07-01&amp;end_date=2025-07-31&amp;fiscal_year_id=11960512",2378189)</f>
        <v>2378189</v>
      </c>
      <c r="N29" s="38">
        <f>SUM(B29:M29)</f>
        <v>2378189</v>
      </c>
      <c r="O29" s="33" t="s">
        <v>284</v>
      </c>
    </row>
    <row r="30" spans="1:15" x14ac:dyDescent="0.25">
      <c r="A30" s="10" t="s">
        <v>376</v>
      </c>
      <c r="B30" s="30">
        <f>HYPERLINK("https://secure.freee.co.jp/reports/general_ledgers/show?name=%E9%9B%91%E8%B2%BB&amp;start_date=2024-08-01&amp;end_date=2024-08-31&amp;fiscal_year_id=11960512",105626)</f>
        <v>105626</v>
      </c>
      <c r="C30" s="30">
        <f>HYPERLINK("https://secure.freee.co.jp/reports/general_ledgers/show?name=%E9%9B%91%E8%B2%BB&amp;start_date=2024-09-01&amp;end_date=2024-09-30&amp;fiscal_year_id=11960512",108735)</f>
        <v>108735</v>
      </c>
      <c r="D30" s="30">
        <f>HYPERLINK("https://secure.freee.co.jp/reports/general_ledgers/show?name=%E9%9B%91%E8%B2%BB&amp;start_date=2024-10-01&amp;end_date=2024-10-31&amp;fiscal_year_id=11960512",111517)</f>
        <v>111517</v>
      </c>
      <c r="E30" s="30">
        <f>HYPERLINK("https://secure.freee.co.jp/reports/general_ledgers/show?name=%E9%9B%91%E8%B2%BB&amp;start_date=2024-11-01&amp;end_date=2024-11-30&amp;fiscal_year_id=11960512",109670)</f>
        <v>109670</v>
      </c>
      <c r="F30" s="30">
        <f>HYPERLINK("https://secure.freee.co.jp/reports/general_ledgers/show?name=%E9%9B%91%E8%B2%BB&amp;start_date=2024-12-01&amp;end_date=2024-12-31&amp;fiscal_year_id=11960512",114362)</f>
        <v>114362</v>
      </c>
      <c r="G30" s="30">
        <f>HYPERLINK("https://secure.freee.co.jp/reports/general_ledgers/show?name=%E9%9B%91%E8%B2%BB&amp;start_date=2025-01-01&amp;end_date=2025-01-31&amp;fiscal_year_id=11960512",114762)</f>
        <v>114762</v>
      </c>
      <c r="H30" s="30">
        <f>HYPERLINK("https://secure.freee.co.jp/reports/general_ledgers/show?name=%E9%9B%91%E8%B2%BB&amp;start_date=2025-02-01&amp;end_date=2025-02-28&amp;fiscal_year_id=11960512",105817)</f>
        <v>105817</v>
      </c>
      <c r="I30" s="30">
        <f>HYPERLINK("https://secure.freee.co.jp/reports/general_ledgers/show?name=%E9%9B%91%E8%B2%BB&amp;start_date=2025-03-01&amp;end_date=2025-03-31&amp;fiscal_year_id=11960512",130680)</f>
        <v>130680</v>
      </c>
      <c r="J30" s="30">
        <f>HYPERLINK("https://secure.freee.co.jp/reports/general_ledgers/show?name=%E9%9B%91%E8%B2%BB&amp;start_date=2025-04-01&amp;end_date=2025-04-30&amp;fiscal_year_id=11960512",123860)</f>
        <v>123860</v>
      </c>
      <c r="K30" s="31">
        <f>HYPERLINK("https://secure.freee.co.jp/reports/general_ledgers/show?name=%E9%9B%91%E8%B2%BB&amp;start_date=2025-05-01&amp;end_date=2025-05-31&amp;fiscal_year_id=11960512",250319)</f>
        <v>250319</v>
      </c>
      <c r="L30" s="31">
        <f>HYPERLINK("https://secure.freee.co.jp/reports/general_ledgers/show?name=%E9%9B%91%E8%B2%BB&amp;start_date=2025-06-01&amp;end_date=2025-06-30&amp;fiscal_year_id=11960512",55873)</f>
        <v>55873</v>
      </c>
      <c r="M30" s="31">
        <f>HYPERLINK("https://secure.freee.co.jp/reports/general_ledgers/show?name=%E9%9B%91%E8%B2%BB&amp;start_date=2025-07-01&amp;end_date=2025-07-31&amp;fiscal_year_id=11960512",171447)</f>
        <v>171447</v>
      </c>
      <c r="N30" s="38">
        <f>SUM(B30:M30)</f>
        <v>1502668</v>
      </c>
      <c r="O30" s="33" t="s">
        <v>284</v>
      </c>
    </row>
    <row r="31" spans="1:15" x14ac:dyDescent="0.25">
      <c r="A31" s="40" t="s">
        <v>377</v>
      </c>
      <c r="B31" s="41">
        <v>5470741</v>
      </c>
      <c r="C31" s="41">
        <v>7967836</v>
      </c>
      <c r="D31" s="41">
        <v>7114726</v>
      </c>
      <c r="E31" s="41">
        <v>4866492</v>
      </c>
      <c r="F31" s="41">
        <v>6709752</v>
      </c>
      <c r="G31" s="41">
        <v>7981232</v>
      </c>
      <c r="H31" s="41">
        <v>5912265</v>
      </c>
      <c r="I31" s="41">
        <v>12072880</v>
      </c>
      <c r="J31" s="41">
        <v>8310522</v>
      </c>
      <c r="K31" s="41">
        <v>5309045</v>
      </c>
      <c r="L31" s="41">
        <v>4388484</v>
      </c>
      <c r="M31" s="41">
        <v>7019171</v>
      </c>
      <c r="N31" s="41">
        <f>SUM(B31:M31)</f>
        <v>83123146</v>
      </c>
      <c r="O31" s="42"/>
    </row>
    <row r="32" spans="1:15" x14ac:dyDescent="0.25">
      <c r="A32" s="40" t="s">
        <v>378</v>
      </c>
      <c r="B32" s="41">
        <v>-6383070</v>
      </c>
      <c r="C32" s="41">
        <v>-2930040</v>
      </c>
      <c r="D32" s="41">
        <v>-724719</v>
      </c>
      <c r="E32" s="41">
        <v>2793554</v>
      </c>
      <c r="F32" s="41">
        <v>-2284925</v>
      </c>
      <c r="G32" s="41">
        <v>-3519318</v>
      </c>
      <c r="H32" s="41">
        <v>-2976991</v>
      </c>
      <c r="I32" s="41">
        <v>110868</v>
      </c>
      <c r="J32" s="41">
        <v>-2787577</v>
      </c>
      <c r="K32" s="41">
        <v>-2333854</v>
      </c>
      <c r="L32" s="41">
        <v>736636</v>
      </c>
      <c r="M32" s="41">
        <v>-2030414</v>
      </c>
      <c r="N32" s="41">
        <f>SUM(B32:M32)</f>
        <v>-22329850</v>
      </c>
      <c r="O32" s="42"/>
    </row>
    <row r="33" spans="1:15" x14ac:dyDescent="0.25">
      <c r="A33" s="10" t="s">
        <v>379</v>
      </c>
      <c r="B33" s="30">
        <f>HYPERLINK("https://secure.freee.co.jp/reports/general_ledgers/show?name=%E5%8F%97%E5%8F%96%E5%88%A9%E6%81%AF&amp;start_date=2024-08-01&amp;end_date=2024-08-31&amp;fiscal_year_id=11960512",184)</f>
        <v>184</v>
      </c>
      <c r="C33" s="31">
        <f>HYPERLINK("https://secure.freee.co.jp/reports/general_ledgers/show?name=%E5%8F%97%E5%8F%96%E5%88%A9%E6%81%AF&amp;start_date=2024-09-01&amp;end_date=2024-09-30&amp;fiscal_year_id=11960512",12)</f>
        <v>12</v>
      </c>
      <c r="D33" s="31">
        <f>HYPERLINK("https://secure.freee.co.jp/reports/general_ledgers/show?name=%E5%8F%97%E5%8F%96%E5%88%A9%E6%81%AF&amp;start_date=2024-10-01&amp;end_date=2024-10-31&amp;fiscal_year_id=11960512",1)</f>
        <v>1</v>
      </c>
      <c r="E33" s="31">
        <f>HYPERLINK("https://secure.freee.co.jp/reports/general_ledgers/show?name=%E5%8F%97%E5%8F%96%E5%88%A9%E6%81%AF&amp;start_date=2024-11-01&amp;end_date=2024-11-30&amp;fiscal_year_id=11960512",7)</f>
        <v>7</v>
      </c>
      <c r="F33" s="31">
        <f>HYPERLINK("https://secure.freee.co.jp/reports/general_ledgers/show?name=%E5%8F%97%E5%8F%96%E5%88%A9%E6%81%AF&amp;start_date=2024-12-01&amp;end_date=2024-12-31&amp;fiscal_year_id=11960512",27)</f>
        <v>27</v>
      </c>
      <c r="G33" s="31">
        <f>HYPERLINK("https://secure.freee.co.jp/reports/general_ledgers/show?name=%E5%8F%97%E5%8F%96%E5%88%A9%E6%81%AF&amp;start_date=2025-01-01&amp;end_date=2025-01-31&amp;fiscal_year_id=11960512",7)</f>
        <v>7</v>
      </c>
      <c r="H33" s="31">
        <f>HYPERLINK("https://secure.freee.co.jp/reports/general_ledgers/show?name=%E5%8F%97%E5%8F%96%E5%88%A9%E6%81%AF&amp;start_date=2025-02-01&amp;end_date=2025-02-28&amp;fiscal_year_id=11960512",170)</f>
        <v>170</v>
      </c>
      <c r="I33" s="31">
        <f>HYPERLINK("https://secure.freee.co.jp/reports/general_ledgers/show?name=%E5%8F%97%E5%8F%96%E5%88%A9%E6%81%AF&amp;start_date=2025-03-01&amp;end_date=2025-03-31&amp;fiscal_year_id=11960512",22)</f>
        <v>22</v>
      </c>
      <c r="J33" s="31">
        <f>HYPERLINK("https://secure.freee.co.jp/reports/general_ledgers/show?name=%E5%8F%97%E5%8F%96%E5%88%A9%E6%81%AF&amp;start_date=2025-04-01&amp;end_date=2025-04-30&amp;fiscal_year_id=11960512",39)</f>
        <v>39</v>
      </c>
      <c r="K33" s="31">
        <f>HYPERLINK("https://secure.freee.co.jp/reports/general_ledgers/show?name=%E5%8F%97%E5%8F%96%E5%88%A9%E6%81%AF&amp;start_date=2025-05-01&amp;end_date=2025-05-31&amp;fiscal_year_id=11960512",189)</f>
        <v>189</v>
      </c>
      <c r="L33" s="30">
        <f>HYPERLINK("https://secure.freee.co.jp/reports/general_ledgers/show?name=%E5%8F%97%E5%8F%96%E5%88%A9%E6%81%AF&amp;start_date=2025-06-01&amp;end_date=2025-06-30&amp;fiscal_year_id=11960512",210)</f>
        <v>210</v>
      </c>
      <c r="M33" s="31">
        <f>HYPERLINK("https://secure.freee.co.jp/reports/general_ledgers/show?name=%E5%8F%97%E5%8F%96%E5%88%A9%E6%81%AF&amp;start_date=2025-07-01&amp;end_date=2025-07-31&amp;fiscal_year_id=11960512",808)</f>
        <v>808</v>
      </c>
      <c r="N33" s="38">
        <f>SUM(B33:M33)</f>
        <v>1676</v>
      </c>
      <c r="O33" s="33" t="s">
        <v>284</v>
      </c>
    </row>
    <row r="34" spans="1:15" x14ac:dyDescent="0.25">
      <c r="A34" s="10" t="s">
        <v>380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30">
        <f>HYPERLINK("https://secure.freee.co.jp/reports/general_ledgers/show?name=%E5%8F%97%E5%8F%96%E9%85%8D%E5%BD%93%E9%87%91&amp;start_date=2025-06-01&amp;end_date=2025-06-30&amp;fiscal_year_id=11960512",3000)</f>
        <v>3000</v>
      </c>
      <c r="M34" s="44">
        <v>0</v>
      </c>
      <c r="N34" s="38">
        <f>SUM(B34:M34)</f>
        <v>3000</v>
      </c>
      <c r="O34" s="33" t="s">
        <v>284</v>
      </c>
    </row>
    <row r="35" spans="1:15" x14ac:dyDescent="0.25">
      <c r="A35" s="10" t="s">
        <v>381</v>
      </c>
      <c r="B35" s="43">
        <v>0</v>
      </c>
      <c r="C35" s="30">
        <f>HYPERLINK("https://secure.freee.co.jp/reports/general_ledgers/show?name=%E9%9B%91%E5%8F%8E%E5%85%A5&amp;start_date=2024-09-01&amp;end_date=2024-09-30&amp;fiscal_year_id=11960512",3360)</f>
        <v>3360</v>
      </c>
      <c r="D35" s="31">
        <f>HYPERLINK("https://secure.freee.co.jp/reports/general_ledgers/show?name=%E9%9B%91%E5%8F%8E%E5%85%A5&amp;start_date=2024-10-01&amp;end_date=2024-10-31&amp;fiscal_year_id=11960512",200000)</f>
        <v>200000</v>
      </c>
      <c r="E35" s="44">
        <v>0</v>
      </c>
      <c r="F35" s="43">
        <v>0</v>
      </c>
      <c r="G35" s="43">
        <v>0</v>
      </c>
      <c r="H35" s="43">
        <v>0</v>
      </c>
      <c r="I35" s="30">
        <f>HYPERLINK("https://secure.freee.co.jp/reports/general_ledgers/show?name=%E9%9B%91%E5%8F%8E%E5%85%A5&amp;start_date=2025-03-01&amp;end_date=2025-03-31&amp;fiscal_year_id=11960512",160660)</f>
        <v>160660</v>
      </c>
      <c r="J35" s="44">
        <v>0</v>
      </c>
      <c r="K35" s="30">
        <f>HYPERLINK("https://secure.freee.co.jp/reports/general_ledgers/show?name=%E9%9B%91%E5%8F%8E%E5%85%A5&amp;start_date=2025-05-01&amp;end_date=2025-05-31&amp;fiscal_year_id=11960512",98355)</f>
        <v>98355</v>
      </c>
      <c r="L35" s="44">
        <v>0</v>
      </c>
      <c r="M35" s="45">
        <v>0</v>
      </c>
      <c r="N35" s="38">
        <f>SUM(B35:M35)</f>
        <v>462375</v>
      </c>
      <c r="O35" s="33" t="s">
        <v>284</v>
      </c>
    </row>
    <row r="36" spans="1:15" x14ac:dyDescent="0.25">
      <c r="A36" s="10" t="s">
        <v>382</v>
      </c>
      <c r="B36" s="30">
        <v>184</v>
      </c>
      <c r="C36" s="30">
        <v>3372</v>
      </c>
      <c r="D36" s="30">
        <v>200001</v>
      </c>
      <c r="E36" s="30">
        <v>7</v>
      </c>
      <c r="F36" s="30">
        <v>27</v>
      </c>
      <c r="G36" s="30">
        <v>7</v>
      </c>
      <c r="H36" s="30">
        <v>170</v>
      </c>
      <c r="I36" s="30">
        <v>160682</v>
      </c>
      <c r="J36" s="30">
        <v>39</v>
      </c>
      <c r="K36" s="30">
        <v>98544</v>
      </c>
      <c r="L36" s="30">
        <v>3210</v>
      </c>
      <c r="M36" s="37">
        <v>808</v>
      </c>
      <c r="N36" s="38">
        <f>SUM(B36:M36)</f>
        <v>467051</v>
      </c>
      <c r="O36" s="39"/>
    </row>
    <row r="37" spans="1:15" x14ac:dyDescent="0.25">
      <c r="A37" s="10" t="s">
        <v>383</v>
      </c>
      <c r="B37" s="30">
        <f>HYPERLINK("https://secure.freee.co.jp/reports/general_ledgers/show?name=%E6%94%AF%E6%89%95%E5%88%A9%E6%81%AF&amp;start_date=2024-08-01&amp;end_date=2024-08-31&amp;fiscal_year_id=11960512",299433)</f>
        <v>299433</v>
      </c>
      <c r="C37" s="31">
        <f>HYPERLINK("https://secure.freee.co.jp/reports/general_ledgers/show?name=%E6%94%AF%E6%89%95%E5%88%A9%E6%81%AF&amp;start_date=2024-09-01&amp;end_date=2024-09-30&amp;fiscal_year_id=11960512",147335)</f>
        <v>147335</v>
      </c>
      <c r="D37" s="30">
        <f>HYPERLINK("https://secure.freee.co.jp/reports/general_ledgers/show?name=%E6%94%AF%E6%89%95%E5%88%A9%E6%81%AF&amp;start_date=2024-10-01&amp;end_date=2024-10-31&amp;fiscal_year_id=11960512",180459)</f>
        <v>180459</v>
      </c>
      <c r="E37" s="30">
        <f>HYPERLINK("https://secure.freee.co.jp/reports/general_ledgers/show?name=%E6%94%AF%E6%89%95%E5%88%A9%E6%81%AF&amp;start_date=2024-11-01&amp;end_date=2024-11-30&amp;fiscal_year_id=11960512",180505)</f>
        <v>180505</v>
      </c>
      <c r="F37" s="30">
        <f>HYPERLINK("https://secure.freee.co.jp/reports/general_ledgers/show?name=%E6%94%AF%E6%89%95%E5%88%A9%E6%81%AF&amp;start_date=2024-12-01&amp;end_date=2024-12-31&amp;fiscal_year_id=11960512",133673)</f>
        <v>133673</v>
      </c>
      <c r="G37" s="30">
        <f>HYPERLINK("https://secure.freee.co.jp/reports/general_ledgers/show?name=%E6%94%AF%E6%89%95%E5%88%A9%E6%81%AF&amp;start_date=2025-01-01&amp;end_date=2025-01-31&amp;fiscal_year_id=11960512",121610)</f>
        <v>121610</v>
      </c>
      <c r="H37" s="31">
        <f>HYPERLINK("https://secure.freee.co.jp/reports/general_ledgers/show?name=%E6%94%AF%E6%89%95%E5%88%A9%E6%81%AF&amp;start_date=2025-02-01&amp;end_date=2025-02-28&amp;fiscal_year_id=11960512",210549)</f>
        <v>210549</v>
      </c>
      <c r="I37" s="30">
        <f>HYPERLINK("https://secure.freee.co.jp/reports/general_ledgers/show?name=%E6%94%AF%E6%89%95%E5%88%A9%E6%81%AF&amp;start_date=2025-03-01&amp;end_date=2025-03-31&amp;fiscal_year_id=11960512",120078)</f>
        <v>120078</v>
      </c>
      <c r="J37" s="31">
        <f>HYPERLINK("https://secure.freee.co.jp/reports/general_ledgers/show?name=%E6%94%AF%E6%89%95%E5%88%A9%E6%81%AF&amp;start_date=2025-04-01&amp;end_date=2025-04-30&amp;fiscal_year_id=11960512",184807)</f>
        <v>184807</v>
      </c>
      <c r="K37" s="30">
        <f>HYPERLINK("https://secure.freee.co.jp/reports/general_ledgers/show?name=%E6%94%AF%E6%89%95%E5%88%A9%E6%81%AF&amp;start_date=2025-05-01&amp;end_date=2025-05-31&amp;fiscal_year_id=11960512",110770)</f>
        <v>110770</v>
      </c>
      <c r="L37" s="30">
        <f>HYPERLINK("https://secure.freee.co.jp/reports/general_ledgers/show?name=%E6%94%AF%E6%89%95%E5%88%A9%E6%81%AF&amp;start_date=2025-06-01&amp;end_date=2025-06-30&amp;fiscal_year_id=11960512",83432)</f>
        <v>83432</v>
      </c>
      <c r="M37" s="37">
        <f>HYPERLINK("https://secure.freee.co.jp/reports/general_ledgers/show?name=%E6%94%AF%E6%89%95%E5%88%A9%E6%81%AF&amp;start_date=2025-07-01&amp;end_date=2025-07-31&amp;fiscal_year_id=11960512",53421)</f>
        <v>53421</v>
      </c>
      <c r="N37" s="38">
        <f>SUM(B37:M37)</f>
        <v>1826072</v>
      </c>
      <c r="O37" s="33" t="s">
        <v>284</v>
      </c>
    </row>
    <row r="38" spans="1:15" x14ac:dyDescent="0.25">
      <c r="A38" s="10" t="s">
        <v>384</v>
      </c>
      <c r="B38" s="43">
        <v>0</v>
      </c>
      <c r="C38" s="43">
        <v>0</v>
      </c>
      <c r="D38" s="43">
        <v>0</v>
      </c>
      <c r="E38" s="30">
        <f>HYPERLINK("https://secure.freee.co.jp/reports/general_ledgers/show?name=%E5%A3%B2%E4%B8%8A%E5%82%B5%E6%A8%A9%E5%A3%B2%E5%8D%B4%E6%90%8D&amp;start_date=2024-11-01&amp;end_date=2024-11-30&amp;fiscal_year_id=11960512",500000)</f>
        <v>500000</v>
      </c>
      <c r="F38" s="30">
        <f>HYPERLINK("https://secure.freee.co.jp/reports/general_ledgers/show?name=%E5%A3%B2%E4%B8%8A%E5%82%B5%E6%A8%A9%E5%A3%B2%E5%8D%B4%E6%90%8D&amp;start_date=2024-12-01&amp;end_date=2024-12-31&amp;fiscal_year_id=11960512",570000)</f>
        <v>570000</v>
      </c>
      <c r="G38" s="30">
        <f>HYPERLINK("https://secure.freee.co.jp/reports/general_ledgers/show?name=%E5%A3%B2%E4%B8%8A%E5%82%B5%E6%A8%A9%E5%A3%B2%E5%8D%B4%E6%90%8D&amp;start_date=2025-01-01&amp;end_date=2025-01-31&amp;fiscal_year_id=11960512",465000)</f>
        <v>465000</v>
      </c>
      <c r="H38" s="31">
        <f>HYPERLINK("https://secure.freee.co.jp/reports/general_ledgers/show?name=%E5%A3%B2%E4%B8%8A%E5%82%B5%E6%A8%A9%E5%A3%B2%E5%8D%B4%E6%90%8D&amp;start_date=2025-02-01&amp;end_date=2025-02-28&amp;fiscal_year_id=11960512",1795000)</f>
        <v>1795000</v>
      </c>
      <c r="I38" s="31">
        <f>HYPERLINK("https://secure.freee.co.jp/reports/general_ledgers/show?name=%E5%A3%B2%E4%B8%8A%E5%82%B5%E6%A8%A9%E5%A3%B2%E5%8D%B4%E6%90%8D&amp;start_date=2025-03-01&amp;end_date=2025-03-31&amp;fiscal_year_id=11960512",180000)</f>
        <v>180000</v>
      </c>
      <c r="J38" s="30">
        <f>HYPERLINK("https://secure.freee.co.jp/reports/general_ledgers/show?name=%E5%A3%B2%E4%B8%8A%E5%82%B5%E6%A8%A9%E5%A3%B2%E5%8D%B4%E6%90%8D&amp;start_date=2025-04-01&amp;end_date=2025-04-30&amp;fiscal_year_id=11960512",120000)</f>
        <v>120000</v>
      </c>
      <c r="K38" s="44">
        <v>0</v>
      </c>
      <c r="L38" s="30">
        <f>HYPERLINK("https://secure.freee.co.jp/reports/general_ledgers/show?name=%E5%A3%B2%E4%B8%8A%E5%82%B5%E6%A8%A9%E5%A3%B2%E5%8D%B4%E6%90%8D&amp;start_date=2025-06-01&amp;end_date=2025-06-30&amp;fiscal_year_id=11960512",160000)</f>
        <v>160000</v>
      </c>
      <c r="M38" s="31">
        <f>HYPERLINK("https://secure.freee.co.jp/reports/general_ledgers/show?name=%E5%A3%B2%E4%B8%8A%E5%82%B5%E6%A8%A9%E5%A3%B2%E5%8D%B4%E6%90%8D&amp;start_date=2025-07-01&amp;end_date=2025-07-31&amp;fiscal_year_id=11960512",655660)</f>
        <v>655660</v>
      </c>
      <c r="N38" s="38">
        <f>SUM(B38:M38)</f>
        <v>4445660</v>
      </c>
      <c r="O38" s="33" t="s">
        <v>284</v>
      </c>
    </row>
    <row r="39" spans="1:15" x14ac:dyDescent="0.25">
      <c r="A39" s="10" t="s">
        <v>385</v>
      </c>
      <c r="B39" s="30">
        <v>299433</v>
      </c>
      <c r="C39" s="30">
        <v>147335</v>
      </c>
      <c r="D39" s="30">
        <v>180459</v>
      </c>
      <c r="E39" s="30">
        <v>680505</v>
      </c>
      <c r="F39" s="30">
        <v>703673</v>
      </c>
      <c r="G39" s="30">
        <v>586610</v>
      </c>
      <c r="H39" s="30">
        <v>2005549</v>
      </c>
      <c r="I39" s="30">
        <v>300078</v>
      </c>
      <c r="J39" s="30">
        <v>304807</v>
      </c>
      <c r="K39" s="30">
        <v>110770</v>
      </c>
      <c r="L39" s="30">
        <v>243432</v>
      </c>
      <c r="M39" s="37">
        <v>709081</v>
      </c>
      <c r="N39" s="38">
        <f>SUM(B39:M39)</f>
        <v>6271732</v>
      </c>
      <c r="O39" s="39"/>
    </row>
    <row r="40" spans="1:15" x14ac:dyDescent="0.25">
      <c r="A40" s="40" t="s">
        <v>386</v>
      </c>
      <c r="B40" s="41">
        <v>-6682319</v>
      </c>
      <c r="C40" s="41">
        <v>-3074003</v>
      </c>
      <c r="D40" s="41">
        <v>-705177</v>
      </c>
      <c r="E40" s="41">
        <v>2113056</v>
      </c>
      <c r="F40" s="41">
        <v>-2988571</v>
      </c>
      <c r="G40" s="41">
        <v>-4105921</v>
      </c>
      <c r="H40" s="41">
        <v>-4982370</v>
      </c>
      <c r="I40" s="41">
        <v>-28528</v>
      </c>
      <c r="J40" s="41">
        <v>-3092345</v>
      </c>
      <c r="K40" s="41">
        <v>-2346080</v>
      </c>
      <c r="L40" s="41">
        <v>496414</v>
      </c>
      <c r="M40" s="41">
        <v>-2738687</v>
      </c>
      <c r="N40" s="41">
        <f>SUM(B40:M40)</f>
        <v>-28134531</v>
      </c>
      <c r="O40" s="42"/>
    </row>
    <row r="41" spans="1:15" x14ac:dyDescent="0.25">
      <c r="A41" s="10" t="s">
        <v>387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5">
        <v>0</v>
      </c>
      <c r="N41" s="38">
        <f>SUM(B41:M41)</f>
        <v>0</v>
      </c>
      <c r="O41" s="39"/>
    </row>
    <row r="42" spans="1:15" x14ac:dyDescent="0.25">
      <c r="A42" s="10" t="s">
        <v>388</v>
      </c>
      <c r="B42" s="43">
        <v>0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5">
        <v>0</v>
      </c>
      <c r="N42" s="38">
        <f>SUM(B42:M42)</f>
        <v>0</v>
      </c>
      <c r="O42" s="39"/>
    </row>
    <row r="43" spans="1:15" x14ac:dyDescent="0.25">
      <c r="A43" s="40" t="s">
        <v>389</v>
      </c>
      <c r="B43" s="41">
        <v>-6682319</v>
      </c>
      <c r="C43" s="41">
        <v>-3074003</v>
      </c>
      <c r="D43" s="41">
        <v>-705177</v>
      </c>
      <c r="E43" s="41">
        <v>2113056</v>
      </c>
      <c r="F43" s="41">
        <v>-2988571</v>
      </c>
      <c r="G43" s="41">
        <v>-4105921</v>
      </c>
      <c r="H43" s="41">
        <v>-4982370</v>
      </c>
      <c r="I43" s="41">
        <v>-28528</v>
      </c>
      <c r="J43" s="41">
        <v>-3092345</v>
      </c>
      <c r="K43" s="41">
        <v>-2346080</v>
      </c>
      <c r="L43" s="41">
        <v>496414</v>
      </c>
      <c r="M43" s="41">
        <v>-2738687</v>
      </c>
      <c r="N43" s="41">
        <f>SUM(B43:M43)</f>
        <v>-28134531</v>
      </c>
      <c r="O43" s="42"/>
    </row>
    <row r="44" spans="1:15" x14ac:dyDescent="0.25">
      <c r="A44" s="10" t="s">
        <v>390</v>
      </c>
      <c r="B44" s="43">
        <v>0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30">
        <f>HYPERLINK("https://secure.freee.co.jp/reports/general_ledgers/show?name=%E6%B3%95%E4%BA%BA%E7%A8%8E%E7%AD%89&amp;start_date=2025-03-01&amp;end_date=2025-03-31&amp;fiscal_year_id=11960512",983)</f>
        <v>983</v>
      </c>
      <c r="J44" s="44">
        <v>0</v>
      </c>
      <c r="K44" s="43">
        <v>0</v>
      </c>
      <c r="L44" s="30">
        <f>HYPERLINK("https://secure.freee.co.jp/reports/general_ledgers/show?name=%E6%B3%95%E4%BA%BA%E7%A8%8E%E7%AD%89&amp;start_date=2025-06-01&amp;end_date=2025-06-30&amp;fiscal_year_id=11960512",612)</f>
        <v>612</v>
      </c>
      <c r="M44" s="31">
        <f>HYPERLINK("https://secure.freee.co.jp/reports/general_ledgers/show?name=%E6%B3%95%E4%BA%BA%E7%A8%8E%E7%AD%89&amp;start_date=2025-07-01&amp;end_date=2025-07-31&amp;fiscal_year_id=11960512",256)</f>
        <v>256</v>
      </c>
      <c r="N44" s="38">
        <f>SUM(B44:M44)</f>
        <v>1851</v>
      </c>
      <c r="O44" s="33" t="s">
        <v>284</v>
      </c>
    </row>
    <row r="45" spans="1:15" x14ac:dyDescent="0.25">
      <c r="A45" s="10" t="s">
        <v>391</v>
      </c>
      <c r="B45" s="43">
        <v>0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30">
        <v>983</v>
      </c>
      <c r="J45" s="43">
        <v>0</v>
      </c>
      <c r="K45" s="43">
        <v>0</v>
      </c>
      <c r="L45" s="30">
        <v>612</v>
      </c>
      <c r="M45" s="37">
        <v>256</v>
      </c>
      <c r="N45" s="38">
        <f>SUM(B45:M45)</f>
        <v>1851</v>
      </c>
      <c r="O45" s="39"/>
    </row>
    <row r="46" spans="1:15" x14ac:dyDescent="0.25">
      <c r="A46" s="40" t="s">
        <v>392</v>
      </c>
      <c r="B46" s="41">
        <v>-6682319</v>
      </c>
      <c r="C46" s="41">
        <v>-3074003</v>
      </c>
      <c r="D46" s="41">
        <v>-705177</v>
      </c>
      <c r="E46" s="41">
        <v>2113056</v>
      </c>
      <c r="F46" s="41">
        <v>-2988571</v>
      </c>
      <c r="G46" s="41">
        <v>-4105921</v>
      </c>
      <c r="H46" s="41">
        <v>-4982370</v>
      </c>
      <c r="I46" s="41">
        <v>-29511</v>
      </c>
      <c r="J46" s="41">
        <v>-3092345</v>
      </c>
      <c r="K46" s="41">
        <v>-2346080</v>
      </c>
      <c r="L46" s="41">
        <v>495802</v>
      </c>
      <c r="M46" s="41">
        <v>-2738943</v>
      </c>
      <c r="N46" s="41">
        <f>SUM(B46:M46)</f>
        <v>-28136382</v>
      </c>
      <c r="O46" s="42"/>
    </row>
    <row r="47" spans="1:15" x14ac:dyDescent="0.25">
      <c r="A47" s="10" t="s">
        <v>393</v>
      </c>
      <c r="B47" s="30">
        <f>HYPERLINK("https://secure.freee.co.jp/reports/general_ledgers/show?name=%E5%88%B6%E4%BD%9C%E5%A3%B2%E4%B8%8A%E9%AB%98&amp;start_date=2024-08-01&amp;end_date=2024-08-31&amp;fiscal_year_id=11960512",2975840)</f>
        <v>2975840</v>
      </c>
      <c r="C47" s="31">
        <f>HYPERLINK("https://secure.freee.co.jp/reports/general_ledgers/show?name=%E5%88%B6%E4%BD%9C%E5%A3%B2%E4%B8%8A%E9%AB%98&amp;start_date=2024-09-01&amp;end_date=2024-09-30&amp;fiscal_year_id=11960512",5110433)</f>
        <v>5110433</v>
      </c>
      <c r="D47" s="30">
        <f>HYPERLINK("https://secure.freee.co.jp/reports/general_ledgers/show?name=%E5%88%B6%E4%BD%9C%E5%A3%B2%E4%B8%8A%E9%AB%98&amp;start_date=2024-10-01&amp;end_date=2024-10-31&amp;fiscal_year_id=11960512",6436660)</f>
        <v>6436660</v>
      </c>
      <c r="E47" s="30">
        <f>HYPERLINK("https://secure.freee.co.jp/reports/general_ledgers/show?name=%E5%88%B6%E4%BD%9C%E5%A3%B2%E4%B8%8A%E9%AB%98&amp;start_date=2024-11-01&amp;end_date=2024-11-30&amp;fiscal_year_id=11960512",7939276)</f>
        <v>7939276</v>
      </c>
      <c r="F47" s="30">
        <f>HYPERLINK("https://secure.freee.co.jp/reports/general_ledgers/show?name=%E5%88%B6%E4%BD%9C%E5%A3%B2%E4%B8%8A%E9%AB%98&amp;start_date=2024-12-01&amp;end_date=2024-12-31&amp;fiscal_year_id=11960512",4599000)</f>
        <v>4599000</v>
      </c>
      <c r="G47" s="30">
        <f>HYPERLINK("https://secure.freee.co.jp/reports/general_ledgers/show?name=%E5%88%B6%E4%BD%9C%E5%A3%B2%E4%B8%8A%E9%AB%98&amp;start_date=2025-01-01&amp;end_date=2025-01-31&amp;fiscal_year_id=11960512",4500000)</f>
        <v>4500000</v>
      </c>
      <c r="H47" s="30">
        <f>HYPERLINK("https://secure.freee.co.jp/reports/general_ledgers/show?name=%E5%88%B6%E4%BD%9C%E5%A3%B2%E4%B8%8A%E9%AB%98&amp;start_date=2025-02-01&amp;end_date=2025-02-28&amp;fiscal_year_id=11960512",3036000)</f>
        <v>3036000</v>
      </c>
      <c r="I47" s="31">
        <f>HYPERLINK("https://secure.freee.co.jp/reports/general_ledgers/show?name=%E5%88%B6%E4%BD%9C%E5%A3%B2%E4%B8%8A%E9%AB%98&amp;start_date=2025-03-01&amp;end_date=2025-03-31&amp;fiscal_year_id=11960512",12250000)</f>
        <v>12250000</v>
      </c>
      <c r="J47" s="31">
        <f>HYPERLINK("https://secure.freee.co.jp/reports/general_ledgers/show?name=%E5%88%B6%E4%BD%9C%E5%A3%B2%E4%B8%8A%E9%AB%98&amp;start_date=2025-04-01&amp;end_date=2025-04-30&amp;fiscal_year_id=11960512",5551750)</f>
        <v>5551750</v>
      </c>
      <c r="K47" s="30">
        <f>HYPERLINK("https://secure.freee.co.jp/reports/general_ledgers/show?name=%E5%88%B6%E4%BD%9C%E5%A3%B2%E4%B8%8A%E9%AB%98&amp;start_date=2025-05-01&amp;end_date=2025-05-31&amp;fiscal_year_id=11960512",3000000)</f>
        <v>3000000</v>
      </c>
      <c r="L47" s="31">
        <f>HYPERLINK("https://secure.freee.co.jp/reports/general_ledgers/show?name=%E5%88%B6%E4%BD%9C%E5%A3%B2%E4%B8%8A%E9%AB%98&amp;start_date=2025-06-01&amp;end_date=2025-06-30&amp;fiscal_year_id=11960512",5132000)</f>
        <v>5132000</v>
      </c>
      <c r="M47" s="37">
        <f>HYPERLINK("https://secure.freee.co.jp/reports/general_ledgers/show?name=%E5%88%B6%E4%BD%9C%E5%A3%B2%E4%B8%8A%E9%AB%98&amp;start_date=2025-07-01&amp;end_date=2025-07-31&amp;fiscal_year_id=11960512",4400000)</f>
        <v>4400000</v>
      </c>
      <c r="N47" s="38">
        <f>SUM(B47:M47)</f>
        <v>64930959</v>
      </c>
      <c r="O47" s="33" t="s">
        <v>284</v>
      </c>
    </row>
    <row r="48" spans="1:15" x14ac:dyDescent="0.25">
      <c r="A48" s="10" t="s">
        <v>394</v>
      </c>
      <c r="B48" s="30">
        <f>HYPERLINK("https://secure.freee.co.jp/reports/general_ledgers/show?name=%E6%9C%9F%E9%A6%96%E4%BB%95%E6%8E%9B%E5%8E%9F%E4%BE%A1&amp;start_date=2024-08-01&amp;end_date=2024-08-31&amp;fiscal_year_id=11960512",3265398)</f>
        <v>3265398</v>
      </c>
      <c r="C48" s="44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5">
        <v>0</v>
      </c>
      <c r="N48" s="38">
        <f>SUM(B48:M48)</f>
        <v>3265398</v>
      </c>
      <c r="O48" s="33" t="s">
        <v>284</v>
      </c>
    </row>
    <row r="49" spans="1:15" x14ac:dyDescent="0.25">
      <c r="A49" s="10" t="s">
        <v>395</v>
      </c>
      <c r="B49" s="30">
        <f>HYPERLINK("https://secure.freee.co.jp/reports/general_ledgers/show?name=%E6%9C%9F%E9%A6%96%E5%95%86%E5%93%81%E6%A3%9A%E5%8D%B8%E9%AB%98&amp;start_date=2024-08-01&amp;end_date=2024-08-31&amp;fiscal_year_id=11960512",599527)</f>
        <v>599527</v>
      </c>
      <c r="C49" s="44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5">
        <v>0</v>
      </c>
      <c r="N49" s="38">
        <f>SUM(B49:M49)</f>
        <v>599527</v>
      </c>
      <c r="O49" s="33" t="s">
        <v>284</v>
      </c>
    </row>
    <row r="50" spans="1:15" x14ac:dyDescent="0.25">
      <c r="A50" s="10" t="s">
        <v>396</v>
      </c>
      <c r="B50" s="30">
        <f>HYPERLINK("https://secure.freee.co.jp/reports/general_ledgers/show?name=%E4%BB%95%E5%85%A5%E9%AB%98&amp;start_date=2024-08-01&amp;end_date=2024-08-31&amp;fiscal_year_id=11960512",23244)</f>
        <v>23244</v>
      </c>
      <c r="C50" s="31">
        <f>HYPERLINK("https://secure.freee.co.jp/reports/general_ledgers/show?name=%E4%BB%95%E5%85%A5%E9%AB%98&amp;start_date=2024-09-01&amp;end_date=2024-09-30&amp;fiscal_year_id=11960512",72637)</f>
        <v>72637</v>
      </c>
      <c r="D50" s="30">
        <f>HYPERLINK("https://secure.freee.co.jp/reports/general_ledgers/show?name=%E4%BB%95%E5%85%A5%E9%AB%98&amp;start_date=2024-10-01&amp;end_date=2024-10-31&amp;fiscal_year_id=11960512",46653)</f>
        <v>46653</v>
      </c>
      <c r="E50" s="31">
        <f>HYPERLINK("https://secure.freee.co.jp/reports/general_ledgers/show?name=%E4%BB%95%E5%85%A5%E9%AB%98&amp;start_date=2024-11-01&amp;end_date=2024-11-30&amp;fiscal_year_id=11960512",279230)</f>
        <v>279230</v>
      </c>
      <c r="F50" s="30">
        <f>HYPERLINK("https://secure.freee.co.jp/reports/general_ledgers/show?name=%E4%BB%95%E5%85%A5%E9%AB%98&amp;start_date=2024-12-01&amp;end_date=2024-12-31&amp;fiscal_year_id=11960512",174173)</f>
        <v>174173</v>
      </c>
      <c r="G50" s="31">
        <f>HYPERLINK("https://secure.freee.co.jp/reports/general_ledgers/show?name=%E4%BB%95%E5%85%A5%E9%AB%98&amp;start_date=2025-01-01&amp;end_date=2025-01-31&amp;fiscal_year_id=11960512",38086)</f>
        <v>38086</v>
      </c>
      <c r="H50" s="31">
        <f>HYPERLINK("https://secure.freee.co.jp/reports/general_ledgers/show?name=%E4%BB%95%E5%85%A5%E9%AB%98&amp;start_date=2025-02-01&amp;end_date=2025-02-28&amp;fiscal_year_id=11960512",100726)</f>
        <v>100726</v>
      </c>
      <c r="I50" s="30">
        <f>HYPERLINK("https://secure.freee.co.jp/reports/general_ledgers/show?name=%E4%BB%95%E5%85%A5%E9%AB%98&amp;start_date=2025-03-01&amp;end_date=2025-03-31&amp;fiscal_year_id=11960512",66252)</f>
        <v>66252</v>
      </c>
      <c r="J50" s="31">
        <f>HYPERLINK("https://secure.freee.co.jp/reports/general_ledgers/show?name=%E4%BB%95%E5%85%A5%E9%AB%98&amp;start_date=2025-04-01&amp;end_date=2025-04-30&amp;fiscal_year_id=11960512",28805)</f>
        <v>28805</v>
      </c>
      <c r="K50" s="30">
        <f>HYPERLINK("https://secure.freee.co.jp/reports/general_ledgers/show?name=%E4%BB%95%E5%85%A5%E9%AB%98&amp;start_date=2025-05-01&amp;end_date=2025-05-31&amp;fiscal_year_id=11960512",24809)</f>
        <v>24809</v>
      </c>
      <c r="L50" s="31">
        <f>HYPERLINK("https://secure.freee.co.jp/reports/general_ledgers/show?name=%E4%BB%95%E5%85%A5%E9%AB%98&amp;start_date=2025-06-01&amp;end_date=2025-06-30&amp;fiscal_year_id=11960512",6880)</f>
        <v>6880</v>
      </c>
      <c r="M50" s="31">
        <f>HYPERLINK("https://secure.freee.co.jp/reports/general_ledgers/show?name=%E4%BB%95%E5%85%A5%E9%AB%98&amp;start_date=2025-07-01&amp;end_date=2025-07-31&amp;fiscal_year_id=11960512",10770)</f>
        <v>10770</v>
      </c>
      <c r="N50" s="38">
        <f>SUM(B50:M50)</f>
        <v>872265</v>
      </c>
      <c r="O50" s="33" t="s">
        <v>284</v>
      </c>
    </row>
    <row r="51" spans="1:15" x14ac:dyDescent="0.25">
      <c r="A51" s="10" t="s">
        <v>397</v>
      </c>
      <c r="B51" s="43">
        <v>0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37">
        <f>HYPERLINK("https://secure.freee.co.jp/reports/general_ledgers/show?name=%E6%9C%9F%E6%9C%AB%E5%95%86%E5%93%81%E6%A3%9A%E5%8D%B8%E9%AB%98&amp;start_date=2025-07-01&amp;end_date=2025-07-31&amp;fiscal_year_id=11960512",599527)</f>
        <v>599527</v>
      </c>
      <c r="N51" s="38">
        <f>SUM(B51:M51)</f>
        <v>599527</v>
      </c>
      <c r="O51" s="33" t="s">
        <v>284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3" r:id="rId25"/>
    <hyperlink ref="O34" r:id="rId26"/>
    <hyperlink ref="O35" r:id="rId27"/>
    <hyperlink ref="O37" r:id="rId28"/>
    <hyperlink ref="O38" r:id="rId29"/>
    <hyperlink ref="O44" r:id="rId30"/>
    <hyperlink ref="O47" r:id="rId31"/>
    <hyperlink ref="O48" r:id="rId32"/>
    <hyperlink ref="O49" r:id="rId33"/>
    <hyperlink ref="O50" r:id="rId34"/>
    <hyperlink ref="O51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278</v>
      </c>
      <c r="B1" s="5" t="s">
        <v>398</v>
      </c>
      <c r="C1" s="5" t="s">
        <v>399</v>
      </c>
      <c r="D1" s="5" t="s">
        <v>400</v>
      </c>
    </row>
    <row r="2" spans="1:4" x14ac:dyDescent="0.25">
      <c r="A2" s="10" t="s">
        <v>303</v>
      </c>
      <c r="B2" s="10" t="s">
        <v>401</v>
      </c>
      <c r="C2" s="30">
        <v>3850000</v>
      </c>
      <c r="D2" s="10" t="s">
        <v>6</v>
      </c>
    </row>
    <row r="3" spans="1:4" x14ac:dyDescent="0.25">
      <c r="A3" s="10" t="s">
        <v>303</v>
      </c>
      <c r="B3" s="10" t="s">
        <v>402</v>
      </c>
      <c r="C3" s="30">
        <v>2750000</v>
      </c>
      <c r="D3" s="10" t="s">
        <v>6</v>
      </c>
    </row>
    <row r="4" spans="1:4" x14ac:dyDescent="0.25">
      <c r="A4" s="10" t="s">
        <v>323</v>
      </c>
      <c r="B4" s="10" t="s">
        <v>403</v>
      </c>
      <c r="C4" s="30">
        <v>2450452</v>
      </c>
      <c r="D4" s="10" t="s">
        <v>6</v>
      </c>
    </row>
    <row r="5" spans="1:4" x14ac:dyDescent="0.25">
      <c r="A5" s="10" t="s">
        <v>323</v>
      </c>
      <c r="B5" s="10" t="s">
        <v>404</v>
      </c>
      <c r="C5" s="30">
        <v>2240744</v>
      </c>
      <c r="D5" s="10" t="s">
        <v>6</v>
      </c>
    </row>
    <row r="6" spans="1:4" x14ac:dyDescent="0.25">
      <c r="A6" s="10" t="s">
        <v>321</v>
      </c>
      <c r="B6" s="10" t="s">
        <v>405</v>
      </c>
      <c r="C6" s="30">
        <v>775500</v>
      </c>
      <c r="D6" s="10" t="s">
        <v>6</v>
      </c>
    </row>
    <row r="7" spans="1:4" x14ac:dyDescent="0.25">
      <c r="A7" s="10" t="s">
        <v>321</v>
      </c>
      <c r="B7" s="10" t="s">
        <v>406</v>
      </c>
      <c r="C7" s="30">
        <v>660000</v>
      </c>
      <c r="D7" s="14" t="s">
        <v>407</v>
      </c>
    </row>
    <row r="8" spans="1:4" x14ac:dyDescent="0.25">
      <c r="A8" s="10" t="s">
        <v>321</v>
      </c>
      <c r="B8" s="10" t="s">
        <v>408</v>
      </c>
      <c r="C8" s="30">
        <v>660000</v>
      </c>
      <c r="D8" s="10" t="s">
        <v>6</v>
      </c>
    </row>
    <row r="9" spans="1:4" x14ac:dyDescent="0.25">
      <c r="A9" s="10" t="s">
        <v>321</v>
      </c>
      <c r="B9" s="10" t="s">
        <v>409</v>
      </c>
      <c r="C9" s="30">
        <v>644930</v>
      </c>
      <c r="D9" s="10" t="s">
        <v>6</v>
      </c>
    </row>
    <row r="10" spans="1:4" x14ac:dyDescent="0.25">
      <c r="A10" s="10" t="s">
        <v>321</v>
      </c>
      <c r="B10" s="10" t="s">
        <v>410</v>
      </c>
      <c r="C10" s="30">
        <v>560000</v>
      </c>
      <c r="D10" s="10" t="s">
        <v>6</v>
      </c>
    </row>
    <row r="11" spans="1:4" x14ac:dyDescent="0.25">
      <c r="A11" s="10" t="s">
        <v>303</v>
      </c>
      <c r="B11" s="10" t="s">
        <v>411</v>
      </c>
      <c r="C11" s="30">
        <v>550000</v>
      </c>
      <c r="D11" s="10" t="s">
        <v>6</v>
      </c>
    </row>
    <row r="12" spans="1:4" x14ac:dyDescent="0.25">
      <c r="A12" s="10" t="s">
        <v>321</v>
      </c>
      <c r="B12" s="10" t="s">
        <v>412</v>
      </c>
      <c r="C12" s="30">
        <v>500000</v>
      </c>
      <c r="D12" s="10" t="s">
        <v>6</v>
      </c>
    </row>
    <row r="13" spans="1:4" x14ac:dyDescent="0.25">
      <c r="A13" s="10" t="s">
        <v>321</v>
      </c>
      <c r="B13" s="10" t="s">
        <v>413</v>
      </c>
      <c r="C13" s="30">
        <v>500000</v>
      </c>
      <c r="D13" s="10" t="s">
        <v>6</v>
      </c>
    </row>
    <row r="14" spans="1:4" x14ac:dyDescent="0.25">
      <c r="A14" s="10" t="s">
        <v>303</v>
      </c>
      <c r="B14" s="10" t="s">
        <v>414</v>
      </c>
      <c r="C14" s="30">
        <v>440000</v>
      </c>
      <c r="D14" s="10" t="s">
        <v>6</v>
      </c>
    </row>
    <row r="15" spans="1:4" x14ac:dyDescent="0.25">
      <c r="A15" s="10" t="s">
        <v>321</v>
      </c>
      <c r="B15" s="10" t="s">
        <v>415</v>
      </c>
      <c r="C15" s="30">
        <v>261000</v>
      </c>
      <c r="D15" s="10" t="s">
        <v>6</v>
      </c>
    </row>
    <row r="16" spans="1:4" x14ac:dyDescent="0.25">
      <c r="A16" s="10" t="s">
        <v>321</v>
      </c>
      <c r="B16" s="10" t="s">
        <v>416</v>
      </c>
      <c r="C16" s="30">
        <v>255800</v>
      </c>
      <c r="D16" s="10" t="s">
        <v>6</v>
      </c>
    </row>
    <row r="17" spans="1:4" x14ac:dyDescent="0.25">
      <c r="A17" s="10" t="s">
        <v>323</v>
      </c>
      <c r="B17" s="10" t="s">
        <v>417</v>
      </c>
      <c r="C17" s="30">
        <v>160060</v>
      </c>
      <c r="D17" s="10" t="s">
        <v>6</v>
      </c>
    </row>
    <row r="18" spans="1:4" x14ac:dyDescent="0.25">
      <c r="A18" s="10" t="s">
        <v>321</v>
      </c>
      <c r="B18" s="10" t="s">
        <v>418</v>
      </c>
      <c r="C18" s="30">
        <v>150000</v>
      </c>
      <c r="D18" s="10" t="s">
        <v>6</v>
      </c>
    </row>
    <row r="19" spans="1:4" x14ac:dyDescent="0.25">
      <c r="A19" s="10" t="s">
        <v>321</v>
      </c>
      <c r="B19" s="10" t="s">
        <v>419</v>
      </c>
      <c r="C19" s="30">
        <v>150000</v>
      </c>
      <c r="D19" s="10" t="s">
        <v>6</v>
      </c>
    </row>
    <row r="20" spans="1:4" x14ac:dyDescent="0.25">
      <c r="A20" s="10" t="s">
        <v>323</v>
      </c>
      <c r="B20" s="10" t="s">
        <v>420</v>
      </c>
      <c r="C20" s="30">
        <v>150000</v>
      </c>
      <c r="D20" s="10" t="s">
        <v>6</v>
      </c>
    </row>
    <row r="21" spans="1:4" x14ac:dyDescent="0.25">
      <c r="A21" s="10" t="s">
        <v>303</v>
      </c>
      <c r="B21" s="10" t="s">
        <v>421</v>
      </c>
      <c r="C21" s="30">
        <v>145200</v>
      </c>
      <c r="D21" s="10" t="s">
        <v>6</v>
      </c>
    </row>
    <row r="22" spans="1:4" x14ac:dyDescent="0.25">
      <c r="A22" s="10" t="s">
        <v>321</v>
      </c>
      <c r="B22" s="10" t="s">
        <v>422</v>
      </c>
      <c r="C22" s="30">
        <v>118750</v>
      </c>
      <c r="D22" s="10" t="s">
        <v>6</v>
      </c>
    </row>
    <row r="23" spans="1:4" x14ac:dyDescent="0.25">
      <c r="A23" s="10" t="s">
        <v>321</v>
      </c>
      <c r="B23" s="10" t="s">
        <v>423</v>
      </c>
      <c r="C23" s="30">
        <v>110000</v>
      </c>
      <c r="D23" s="10" t="s">
        <v>6</v>
      </c>
    </row>
    <row r="24" spans="1:4" x14ac:dyDescent="0.25">
      <c r="A24" s="10" t="s">
        <v>321</v>
      </c>
      <c r="B24" s="10" t="s">
        <v>424</v>
      </c>
      <c r="C24" s="30">
        <v>90000</v>
      </c>
      <c r="D24" s="10" t="s">
        <v>6</v>
      </c>
    </row>
    <row r="25" spans="1:4" x14ac:dyDescent="0.25">
      <c r="A25" s="10" t="s">
        <v>321</v>
      </c>
      <c r="B25" s="10" t="s">
        <v>425</v>
      </c>
      <c r="C25" s="30">
        <v>77000</v>
      </c>
      <c r="D25" s="10" t="s">
        <v>6</v>
      </c>
    </row>
    <row r="26" spans="1:4" x14ac:dyDescent="0.25">
      <c r="A26" s="10" t="s">
        <v>321</v>
      </c>
      <c r="B26" s="10" t="s">
        <v>426</v>
      </c>
      <c r="C26" s="30">
        <v>58500</v>
      </c>
      <c r="D26" s="10" t="s">
        <v>6</v>
      </c>
    </row>
    <row r="27" spans="1:4" x14ac:dyDescent="0.25">
      <c r="A27" s="10" t="s">
        <v>321</v>
      </c>
      <c r="B27" s="10" t="s">
        <v>427</v>
      </c>
      <c r="C27" s="30">
        <v>31000</v>
      </c>
      <c r="D27" s="10" t="s">
        <v>6</v>
      </c>
    </row>
    <row r="28" spans="1:4" x14ac:dyDescent="0.25">
      <c r="A28" s="10" t="s">
        <v>321</v>
      </c>
      <c r="B28" s="10" t="s">
        <v>428</v>
      </c>
      <c r="C28" s="30">
        <v>26961</v>
      </c>
      <c r="D28" s="10" t="s">
        <v>6</v>
      </c>
    </row>
    <row r="29" spans="1:4" x14ac:dyDescent="0.25">
      <c r="A29" s="10" t="s">
        <v>303</v>
      </c>
      <c r="B29" s="10" t="s">
        <v>429</v>
      </c>
      <c r="C29" s="30">
        <v>0</v>
      </c>
      <c r="D29" s="10" t="s">
        <v>6</v>
      </c>
    </row>
    <row r="30" spans="1:4" x14ac:dyDescent="0.25">
      <c r="A30" s="10" t="s">
        <v>303</v>
      </c>
      <c r="B30" s="10" t="s">
        <v>430</v>
      </c>
      <c r="C30" s="30">
        <v>0</v>
      </c>
      <c r="D30" s="10" t="s">
        <v>6</v>
      </c>
    </row>
    <row r="31" spans="1:4" x14ac:dyDescent="0.25">
      <c r="A31" s="10" t="s">
        <v>303</v>
      </c>
      <c r="B31" s="10" t="s">
        <v>431</v>
      </c>
      <c r="C31" s="30">
        <v>0</v>
      </c>
      <c r="D31" s="10" t="s">
        <v>6</v>
      </c>
    </row>
    <row r="32" spans="1:4" x14ac:dyDescent="0.25">
      <c r="A32" s="10" t="s">
        <v>303</v>
      </c>
      <c r="B32" s="10" t="s">
        <v>432</v>
      </c>
      <c r="C32" s="30">
        <v>0</v>
      </c>
      <c r="D32" s="10" t="s">
        <v>6</v>
      </c>
    </row>
    <row r="33" spans="1:4" x14ac:dyDescent="0.25">
      <c r="A33" s="10" t="s">
        <v>303</v>
      </c>
      <c r="B33" s="10" t="s">
        <v>433</v>
      </c>
      <c r="C33" s="30">
        <v>0</v>
      </c>
      <c r="D33" s="10" t="s">
        <v>6</v>
      </c>
    </row>
    <row r="34" spans="1:4" x14ac:dyDescent="0.25">
      <c r="A34" s="10" t="s">
        <v>303</v>
      </c>
      <c r="B34" s="10" t="s">
        <v>434</v>
      </c>
      <c r="C34" s="30">
        <v>0</v>
      </c>
      <c r="D34" s="10" t="s">
        <v>6</v>
      </c>
    </row>
    <row r="35" spans="1:4" x14ac:dyDescent="0.25">
      <c r="A35" s="10" t="s">
        <v>321</v>
      </c>
      <c r="B35" s="10" t="s">
        <v>429</v>
      </c>
      <c r="C35" s="30">
        <v>0</v>
      </c>
      <c r="D35" s="10" t="s">
        <v>6</v>
      </c>
    </row>
    <row r="36" spans="1:4" x14ac:dyDescent="0.25">
      <c r="A36" s="10" t="s">
        <v>321</v>
      </c>
      <c r="B36" s="10" t="s">
        <v>435</v>
      </c>
      <c r="C36" s="30">
        <v>0</v>
      </c>
      <c r="D36" s="10" t="s">
        <v>6</v>
      </c>
    </row>
    <row r="37" spans="1:4" x14ac:dyDescent="0.25">
      <c r="A37" s="10" t="s">
        <v>321</v>
      </c>
      <c r="B37" s="10" t="s">
        <v>436</v>
      </c>
      <c r="C37" s="30">
        <v>0</v>
      </c>
      <c r="D37" s="10" t="s">
        <v>6</v>
      </c>
    </row>
    <row r="38" spans="1:4" x14ac:dyDescent="0.25">
      <c r="A38" s="10" t="s">
        <v>321</v>
      </c>
      <c r="B38" s="10" t="s">
        <v>437</v>
      </c>
      <c r="C38" s="30">
        <v>0</v>
      </c>
      <c r="D38" s="10" t="s">
        <v>6</v>
      </c>
    </row>
    <row r="39" spans="1:4" x14ac:dyDescent="0.25">
      <c r="A39" s="10" t="s">
        <v>321</v>
      </c>
      <c r="B39" s="10" t="s">
        <v>438</v>
      </c>
      <c r="C39" s="30">
        <v>0</v>
      </c>
      <c r="D39" s="10" t="s">
        <v>6</v>
      </c>
    </row>
    <row r="40" spans="1:4" x14ac:dyDescent="0.25">
      <c r="A40" s="10" t="s">
        <v>321</v>
      </c>
      <c r="B40" s="10" t="s">
        <v>439</v>
      </c>
      <c r="C40" s="30">
        <v>0</v>
      </c>
      <c r="D40" s="10" t="s">
        <v>6</v>
      </c>
    </row>
    <row r="41" spans="1:4" x14ac:dyDescent="0.25">
      <c r="A41" s="10" t="s">
        <v>321</v>
      </c>
      <c r="B41" s="10" t="s">
        <v>440</v>
      </c>
      <c r="C41" s="30">
        <v>0</v>
      </c>
      <c r="D41" s="10" t="s">
        <v>6</v>
      </c>
    </row>
    <row r="42" spans="1:4" x14ac:dyDescent="0.25">
      <c r="A42" s="10" t="s">
        <v>323</v>
      </c>
      <c r="B42" s="10" t="s">
        <v>429</v>
      </c>
      <c r="C42" s="30">
        <v>0</v>
      </c>
      <c r="D42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2026-04-07T08:03:11Z</dcterms:created>
  <dcterms:modified xsi:type="dcterms:W3CDTF">2026-04-07T08:03:11Z</dcterms:modified>
</cp:coreProperties>
</file>