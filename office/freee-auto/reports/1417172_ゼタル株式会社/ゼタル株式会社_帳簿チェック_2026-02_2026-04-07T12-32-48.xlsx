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<sst xmlns="http://schemas.openxmlformats.org/spreadsheetml/2006/main" count="920" uniqueCount="403">
  <si>
    <t>ゼタル株式会社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</si>
  <si>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</si>
  <si>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</si>
  <si>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</si>
  <si>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</si>
  <si>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</si>
  <si>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</si>
  <si>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</si>
  <si>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</si>
  <si>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</si>
  <si>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</si>
  <si>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</si>
  <si>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</si>
  <si>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</si>
  <si>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</si>
  <si>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</si>
  <si>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</si>
  <si>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</si>
  <si>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</si>
  <si>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</si>
  <si>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</si>
  <si>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</si>
  <si>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</si>
  <si>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</si>
  <si>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</si>
  <si>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</si>
  <si>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</si>
  <si>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</si>
  <si>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</si>
  <si>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</si>
  <si>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</si>
  <si>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</si>
  <si>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</si>
  <si>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</si>
  <si>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</si>
  <si>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</si>
  <si>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</si>
  <si>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</si>
  <si>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</si>
  <si>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</si>
  <si>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</si>
  <si>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</si>
  <si>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</si>
  <si>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</si>
  <si>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</si>
  <si>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</si>
  <si>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</si>
  <si>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</si>
  <si>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</si>
  <si>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</si>
  <si>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</si>
  <si>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</si>
  <si>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</si>
  <si>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</si>
  <si>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</si>
  <si>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</si>
  <si>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</si>
  <si>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</si>
  <si>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</si>
  <si>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</si>
  <si>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</si>
  <si>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</si>
  <si>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</si>
  <si>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</si>
  <si>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</si>
  <si>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</si>
  <si>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</si>
  <si>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</si>
  <si>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</si>
  <si>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</si>
  <si>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</si>
  <si>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</si>
  <si>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</si>
  <si>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</si>
  <si>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</si>
  <si>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</si>
  <si>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</si>
  <si>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</si>
  <si>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</si>
  <si>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</si>
  <si>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</si>
  <si>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</si>
  <si>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</si>
  <si>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</si>
  <si>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</si>
  <si>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</si>
  <si>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</si>
  <si>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</si>
  <si>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</si>
  <si>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</si>
  <si>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</si>
  <si>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</si>
  <si>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</si>
  <si>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</si>
  <si>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</si>
  <si>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</si>
  <si>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</si>
  <si>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</si>
  <si>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</si>
  <si>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</si>
  <si>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</si>
  <si>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</si>
  <si>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</si>
  <si>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</si>
  <si>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</si>
  <si>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</si>
  <si>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</si>
  <si>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</si>
  <si>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</si>
  <si>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</si>
  <si>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</si>
  <si>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</si>
  <si>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</si>
  <si>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</si>
  <si>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</si>
  <si>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</si>
  <si>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</si>
  <si>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</si>
  <si>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</si>
  <si>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</si>
  <si>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</si>
  <si>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</si>
  <si>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</si>
  <si>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</si>
  <si>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</si>
  <si>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</si>
  <si>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</si>
  <si>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</si>
  <si>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</si>
  <si>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</si>
  <si>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</si>
  <si>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</si>
  <si>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</si>
  <si>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</si>
  <si>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</si>
  <si>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</si>
  <si>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</si>
  <si>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</si>
  <si>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</si>
  <si>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</si>
  <si>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</si>
  <si>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</si>
  <si>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</si>
  <si>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</si>
  <si>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</si>
  <si>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</si>
  <si>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</si>
  <si>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</si>
  <si>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</si>
  <si>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</si>
  <si>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</si>
  <si>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</si>
  <si>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</si>
  <si>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</si>
  <si>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</si>
  <si>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</si>
  <si>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</si>
  <si>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</si>
  <si>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</si>
  <si>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</si>
  <si>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</si>
  <si>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</si>
  <si>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</si>
  <si>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</si>
  <si>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</si>
  <si>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</si>
  <si>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</si>
  <si>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</si>
  <si>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</si>
  <si>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</si>
  <si>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</si>
  <si>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</si>
  <si>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</si>
  <si>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</si>
  <si>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</si>
  <si>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</si>
  <si>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残高異常</t>
  </si>
  <si>
    <t>「繰越利益剰余金」にマイナス残高 -39,339,394円があります。 取引先「未選択」: -35,581,851円、取引先「その他（開始残高ウィザード）」: -3,757,543円 ※当月取引からは原因を特定できません。期首からの累積の可能性があります。</t>
  </si>
  <si>
    <t>-39,339,394円</t>
  </si>
  <si>
    <t>記帳漏れまたは過大計上を確認してください</t>
  </si>
  <si>
    <t>freeeで確認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</si>
  <si>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</si>
  <si>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</si>
  <si>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</si>
  <si>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</si>
  <si>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現金・預金</t>
  </si>
  <si>
    <t>「店舗現金」の残高が前月比155%増加しています（前月: 278,245円 → 当月: 710,779円）。</t>
  </si>
  <si>
    <t>710,779円</t>
  </si>
  <si>
    <t>大型入出金の内容を確認してください</t>
  </si>
  <si>
    <t>人件費</t>
  </si>
  <si>
    <t>法定福利費の比率が低すぎます。給与合計 1,769,235円 に対し 法定福利費 103,978円（5.9%）。正常値は概ね14〜15%です。</t>
  </si>
  <si>
    <t>5.9%（給与合計: 1,769,235円、法定福利費: 103,978円）</t>
  </si>
  <si>
    <t>法定福利費は社会保険対象の給与合計の14〜15%程度が正常です</t>
  </si>
  <si>
    <t>外注費</t>
  </si>
  <si>
    <t>「支払手数料」で士業取引先「あしたの会計事務所」への支払 126,500円があります。「預り金（源泉所得税（士業））」に残高（5,104円）あり。源泉徴収（推定 12,915円 / 10.21%）の計上・納付を確認してください。</t>
  </si>
  <si>
    <t>支払額: 126,500円</t>
  </si>
  <si>
    <t>源泉所得税 約12,915円 を「預り金（源泉所得税（士業））」として計上し、翌月10日までに納付してください</t>
  </si>
  <si>
    <t>「支払手数料」で士業取引先「小峯社会保険労務士事務所」への支払 27,500円があります。「預り金（源泉所得税（士業））」に残高（5,104円）あり。源泉徴収（推定 2,807円 / 10.21%）の計上・納付を確認してください。</t>
  </si>
  <si>
    <t>支払額: 27,500円</t>
  </si>
  <si>
    <t>源泉所得税 約2,807円 を「預り金（源泉所得税（士業））」として計上し、翌月10日までに納付してください</t>
  </si>
  <si>
    <t>仕入・買掛金</t>
  </si>
  <si>
    <t>「売上原価」が前月平均比 101%増加しています（当月: 2,119,243円、前月平均: 1,053,016円）。</t>
  </si>
  <si>
    <t>当月: 2,119,243円</t>
  </si>
  <si>
    <t>季節変動・大口発注以外の原因がなければ、計上漏れや二重計上を確認してください</t>
  </si>
  <si>
    <t>「未払金」の「金子俊介」残高が2ヶ月連続で同額（291,380円）です。支払が滞留している可能性があります。</t>
  </si>
  <si>
    <t>291,380円（前月比変動なし）</t>
  </si>
  <si>
    <t>支払期日を確認し、消込処理または支払を実施してください</t>
  </si>
  <si>
    <t>「預託金」の残高 18,400円が前月から変動ありません（滞留の可能性）。</t>
  </si>
  <si>
    <t>18,400円（前月同額）</t>
  </si>
  <si>
    <t>回収・支払状況を確認し、必要に応じて貸倒処理や振替を検討してください</t>
  </si>
  <si>
    <t xml:space="preserve">　　取引先「未選択」で滞留</t>
  </si>
  <si>
    <t>18,400円</t>
  </si>
  <si>
    <t>明細を開く</t>
  </si>
  <si>
    <t>「仮払金」が前月比 100% 変動（300,000円 → 0円）。</t>
  </si>
  <si>
    <t>0円（前月: 300,000円、変動率: 100%）</t>
  </si>
  <si>
    <t>変動原因を確認してください</t>
  </si>
  <si>
    <t>「（新方式）アメリカン・エキスプレス - ビジネス・カード（API）」が前月比 79% 変動（4,220,777円 → 884,211円）。</t>
  </si>
  <si>
    <t>884,211円（前月: 4,220,777円、変動率: 79%）</t>
  </si>
  <si>
    <t>期間配分</t>
  </si>
  <si>
    <t>「支払手数料」で以下の取引先への計上が当月ありません。計上漏れの可能性があります: 「㈱リクルート」（前月平均: 17,501円/月）、「株式会社Revarc」（前月平均: 10,600円/月）</t>
  </si>
  <si>
    <t>当月 計上なし</t>
  </si>
  <si>
    <t>㈱リクルート: 約17,501円、株式会社Revarc: 約10,600円</t>
  </si>
  <si>
    <t>「通信費」で以下の取引先への計上が当月ありません。計上漏れの可能性があります: 「IWG/Regus」（前月平均: 10,854円/月）、「PlayStation Network」（前月平均: 7,468円/月）</t>
  </si>
  <si>
    <t>IWG/Regus: 約10,854円、PlayStation Network: 約7,468円</t>
  </si>
  <si>
    <t>源泉所得税</t>
  </si>
  <si>
    <t>預り金の残高が前月比で大幅に増加しています（2,645円 → 273,317円、増加270,672円）。源泉税の納付漏れの可能性があります。</t>
  </si>
  <si>
    <t>273,317円（前月: 2,645円）</t>
  </si>
  <si>
    <t>源泉所得税の納付状況を確認してください</t>
  </si>
  <si>
    <t>営業外・税金</t>
  </si>
  <si>
    <t>「雑収入」に6,289,322円が計上されています。内容を確認し、適切な科目で記録されているか確認してください。</t>
  </si>
  <si>
    <t>6,289,322円</t>
  </si>
  <si>
    <t>受取手数料・受取保険金等、適切な科目への振替を検討してください</t>
  </si>
  <si>
    <t>「雑損失」に216,100円が計上されています。内容を確認し、適切な科目で記録されているか確認してください。</t>
  </si>
  <si>
    <t>216,100円</t>
  </si>
  <si>
    <t>受取利息17,425円に対する源泉所得税（15.315%）の計上を確認してください。</t>
  </si>
  <si>
    <t>受取利息: 17,425円</t>
  </si>
  <si>
    <t>源泉税 約2,668円を「法人税・住民税及び事業税」または「仮払法人税等」で処理してください</t>
  </si>
  <si>
    <t>給料手当が前月平均比 52%減少しています（当月: 1,445,235円、前月平均: 3,009,359円）。</t>
  </si>
  <si>
    <t>当月: 1,445,235円</t>
  </si>
  <si>
    <t>入退社・昇給・賞与月などの理由がなければ内容を確認してください</t>
  </si>
  <si>
    <t>売上・売掛金</t>
  </si>
  <si>
    <t>売上高に取引先タグなしの計上（73,644,444円）があります。どの顧客からの売上か不明です。</t>
  </si>
  <si>
    <t>未選択: 73,644,444円</t>
  </si>
  <si>
    <t>全ての売上取引に取引先タグを設定し、顧客別売上管理ができるようにしてください</t>
  </si>
  <si>
    <t>「新聞図書費」が前月平均比 590%変動しています（当月: 44,917円、前月平均: 6,514円）。</t>
  </si>
  <si>
    <t>当月: 44,917円</t>
  </si>
  <si>
    <t>計上内容と金額の妥当性を確認してください</t>
  </si>
  <si>
    <t>「会議費」が前月平均比 156%変動しています（当月: 295,085円、前月平均: 115,323円）。</t>
  </si>
  <si>
    <t>当月: 295,085円</t>
  </si>
  <si>
    <t>「租税公課」が前月平均比 87%変動しています（当月: 22,000円、前月平均: 172,250円）。</t>
  </si>
  <si>
    <t>当月: 22,000円</t>
  </si>
  <si>
    <t>「支払手数料」の取引先「あしたの会計事務所」が前月平均比 164% 変動しています（前月平均: 47,920円 → 当月: 126,500円）。期間配分の観点から確認を推奨します。</t>
  </si>
  <si>
    <t>当月: 126,500円（前月平均: 47,920円）</t>
  </si>
  <si>
    <t>一時的な金額増減か、契約変更等によるものか確認してください</t>
  </si>
  <si>
    <t>「通信費」の取引先「NTTドコモ」が前月平均比 73% 変動しています（前月平均: 35,493円 → 当月: 9,513円）。期間配分の観点から確認を推奨します。</t>
  </si>
  <si>
    <t>当月: 9,513円（前月平均: 35,493円）</t>
  </si>
  <si>
    <t>「通信費」の取引先「Google」が前月平均比 79% 変動しています（前月平均: 27,877円 → 当月: 5,733円）。期間配分の観点から確認を推奨します。</t>
  </si>
  <si>
    <t>当月: 5,733円（前月平均: 27,877円）</t>
  </si>
  <si>
    <t>「水道光熱費」の取引先「東京電力」が前月平均比 52% 変動しています（前月平均: 76,830円 → 当月: 37,116円）。期間配分の観点から確認を推奨します。</t>
  </si>
  <si>
    <t>当月: 37,116円（前月平均: 76,830円）</t>
  </si>
  <si>
    <t>「水道光熱費」の取引先「大成ビル管理・LANDPOOL㈱」が前月平均比 77% 変動しています（前月平均: 23,917円 → 当月: 5,500円）。期間配分の観点から確認を推奨します。</t>
  </si>
  <si>
    <t>当月: 5,500円（前月平均: 23,917円）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</si>
  <si>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</si>
  <si>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</si>
  <si>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</si>
  <si>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</si>
  <si>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</si>
  <si>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</si>
  <si>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</si>
  <si>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</si>
  <si>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</si>
  <si>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</si>
  <si>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</si>
  <si>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</si>
  <si>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</si>
  <si>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</si>
  <si>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</si>
  <si>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元帳を開く</t>
  </si>
  <si>
    <t>店舗現金</t>
  </si>
  <si>
    <t>155.5%</t>
  </si>
  <si>
    <t>△</t>
  </si>
  <si>
    <t>楽天（法人）</t>
  </si>
  <si>
    <t>17.6%</t>
  </si>
  <si>
    <t>興産信金</t>
  </si>
  <si>
    <t>興産信金（法人） 032 秋葉原支店 普通預金 ***6733</t>
  </si>
  <si>
    <t>-29.8%</t>
  </si>
  <si>
    <t>売掛金</t>
  </si>
  <si>
    <t>Airレジ</t>
  </si>
  <si>
    <t>-8.7%</t>
  </si>
  <si>
    <t>商品</t>
  </si>
  <si>
    <t>-29.4%</t>
  </si>
  <si>
    <t>未収入金</t>
  </si>
  <si>
    <t>16.9%</t>
  </si>
  <si>
    <t>仮払金</t>
  </si>
  <si>
    <t>-100.0%</t>
  </si>
  <si>
    <t>リース資産</t>
  </si>
  <si>
    <t>-2.9%</t>
  </si>
  <si>
    <t>附属設備</t>
  </si>
  <si>
    <t>-0.9%</t>
  </si>
  <si>
    <t>車両運搬具</t>
  </si>
  <si>
    <t>0.0%</t>
  </si>
  <si>
    <t>工具器具備品</t>
  </si>
  <si>
    <t>-36.2%</t>
  </si>
  <si>
    <t>ソフトウェア</t>
  </si>
  <si>
    <t>-2.7%</t>
  </si>
  <si>
    <t>差入保証金</t>
  </si>
  <si>
    <t>長期前払費用</t>
  </si>
  <si>
    <t>-1.2%</t>
  </si>
  <si>
    <t>預託金</t>
  </si>
  <si>
    <t>権利金</t>
  </si>
  <si>
    <t>-21.6%</t>
  </si>
  <si>
    <t>買掛金</t>
  </si>
  <si>
    <t>4.1%</t>
  </si>
  <si>
    <t>未払金</t>
  </si>
  <si>
    <t>-39.2%</t>
  </si>
  <si>
    <t>立替経費（金子）</t>
  </si>
  <si>
    <t>-7.4%</t>
  </si>
  <si>
    <t>（新方式）アメリカン・エキスプレス - ビジネス・カード（API）</t>
  </si>
  <si>
    <t>-79.1%</t>
  </si>
  <si>
    <t>未払法人税等</t>
  </si>
  <si>
    <t>未払消費税等</t>
  </si>
  <si>
    <t>預り金</t>
  </si>
  <si>
    <t>10233.3%</t>
  </si>
  <si>
    <t>預り保証金</t>
  </si>
  <si>
    <t>リース債務</t>
  </si>
  <si>
    <t>長期借入金</t>
  </si>
  <si>
    <t>-1.7%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</si>
  <si>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</si>
  <si>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</si>
  <si>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</si>
  <si>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</si>
  <si>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</si>
  <si>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</si>
  <si>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</si>
  <si>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</si>
  <si>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</si>
  <si>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</si>
  <si>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</si>
  <si>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</si>
  <si>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</si>
  <si>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</si>
  <si>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</si>
  <si>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</si>
  <si>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</si>
  <si>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</si>
  <si>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</si>
  <si>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</si>
  <si>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</si>
  <si>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</si>
  <si>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</si>
  <si>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</si>
  <si>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</si>
  <si>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</si>
  <si>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</si>
  <si>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</si>
  <si>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</si>
  <si>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販売促進費</t>
  </si>
  <si>
    <t xml:space="preserve">  消耗品費</t>
  </si>
  <si>
    <t xml:space="preserve">  修繕費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</si>
  <si>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</si>
  <si>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</si>
  <si>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</si>
  <si>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</si>
  <si>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</si>
  <si>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</si>
  <si>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</si>
  <si>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</si>
  <si>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</si>
  <si>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繰延資産償却(販)</t>
  </si>
  <si>
    <t xml:space="preserve">  雑費</t>
  </si>
  <si>
    <t>販売管理費 計</t>
  </si>
  <si>
    <t>営業利益</t>
  </si>
  <si>
    <t xml:space="preserve">  受取利息</t>
  </si>
  <si>
    <t xml:space="preserve">  受取配当金</t>
  </si>
  <si>
    <t xml:space="preserve">  雑収入</t>
  </si>
  <si>
    <t>営業外収益 計</t>
  </si>
  <si>
    <t xml:space="preserve">  支払利息</t>
  </si>
  <si>
    <t xml:space="preserve">  雑損失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</si>
  <si>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</si>
  <si>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</si>
  <si>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</si>
  <si>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</si>
  <si>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</si>
  <si>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</si>
  <si>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</si>
  <si>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</si>
  <si>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売上戻り高</t>
  </si>
  <si>
    <t xml:space="preserve">  期首商品棚卸高</t>
  </si>
  <si>
    <t xml:space="preserve">  仕入高</t>
  </si>
  <si>
    <t xml:space="preserve">  期末商品棚卸高</t>
  </si>
  <si>
    <t>取引先名</t>
  </si>
  <si>
    <t>残高</t>
  </si>
  <si>
    <t>滞留判定</t>
  </si>
  <si>
    <t>アルバイト従業員（worldend）</t>
  </si>
  <si>
    <t>社員</t>
  </si>
  <si>
    <t>年金事務所</t>
  </si>
  <si>
    <t>さかい屋</t>
  </si>
  <si>
    <t>従業員年末調整還付金</t>
  </si>
  <si>
    <t>金子俊介</t>
  </si>
  <si>
    <t>滞留</t>
  </si>
  <si>
    <t>あしたの会計事務所</t>
  </si>
  <si>
    <t>オリエントコーポレーション</t>
  </si>
  <si>
    <t>アルバイト従業員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</si>
</sst>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0" borderId="1" xfId="0" applyNumberFormat="1" applyFont="1" applyBorder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2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3" Type="http://schemas.openxmlformats.org/officeDocument/2006/relationships/hyperlink" Target="https://secure.freee.co.jp/reports/general_ledgers/show?name=%E5%BA%97%E8%88%97%E7%8F%BE%E9%87%91&amp;start_date=2026-02-01&amp;end_date=2026-02-28" TargetMode="External"/><Relationship Id="rId4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5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7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8" Type="http://schemas.openxmlformats.org/officeDocument/2006/relationships/hyperlink" Target="https://secure.freee.co.jp/reports/general_ledgers/show?name=%E6%9C%AA%E6%89%95%E9%87%91&amp;start_date=2026-02-01&amp;end_date=2026-02-28" TargetMode="External"/><Relationship Id="rId9" Type="http://schemas.openxmlformats.org/officeDocument/2006/relationships/hyperlink" Target="https://secure.freee.co.jp/reports/journals?start_date=2020-03-01&amp;end_date=2026-02-28&amp;name=%E9%A0%90%E8%A8%97%E9%87%91" TargetMode="External"/><Relationship Id="rId10" Type="http://schemas.openxmlformats.org/officeDocument/2006/relationships/hyperlink" Target="https://secure.freee.co.jp/reports/journals?start_date=2020-03-01&amp;end_date=2026-02-28&amp;name=%E9%A0%90%E8%A8%97%E9%87%91" TargetMode="External"/><Relationship Id="rId11" Type="http://schemas.openxmlformats.org/officeDocument/2006/relationships/hyperlink" Target="https://secure.freee.co.jp/reports/general_ledgers/show?name=%E4%BB%AE%E6%89%95%E9%87%91&amp;start_date=2026-02-01&amp;end_date=2026-02-28&amp;fiscal_year_id=9737061" TargetMode="External"/><Relationship Id="rId12" Type="http://schemas.openxmlformats.org/officeDocument/2006/relationships/hyperlink" Target="https://secure.freee.co.jp/reports/general_ledgers/show?name=%EF%BC%88%E6%96%B0%E6%96%B9%E5%BC%8F%EF%BC%89%E3%82%A2%E3%83%A1%E3%83%AA%E3%82%AB%E3%83%B3%E3%83%BB%E3%82%A8%E3%82%AD%E3%82%B9%E3%83%97%E3%83%AC%E3%82%B9+-+%E3%83%93%E3%82%B8%E3%83%8D%E3%82%B9%E3%83%BB%E3%82%AB%E3%83%BC%E3%83%89%EF%BC%88API%EF%BC%89&amp;start_date=2026-02-01&amp;end_date=2026-02-28&amp;fiscal_year_id=9737061" TargetMode="External"/><Relationship Id="rId13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4" Type="http://schemas.openxmlformats.org/officeDocument/2006/relationships/hyperlink" Target="https://secure.freee.co.jp/reports/journals?start_date=2025-03-01&amp;end_date=2026-02-28&amp;name=%E9%80%9A%E4%BF%A1%E8%B2%BB" TargetMode="External"/><Relationship Id="rId15" Type="http://schemas.openxmlformats.org/officeDocument/2006/relationships/hyperlink" Target="https://secure.freee.co.jp/reports/general_ledgers/show?name=%E9%A0%90%E3%82%8A%E9%87%91&amp;start_date=2026-02-01&amp;end_date=2026-02-28&amp;fiscal_year_id=9737061" TargetMode="External"/><Relationship Id="rId1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17" Type="http://schemas.openxmlformats.org/officeDocument/2006/relationships/hyperlink" Target="https://secure.freee.co.jp/reports/general_ledgers/show?name=%E9%9B%91%E6%90%8D%E5%A4%B1&amp;start_date=2026-02-01&amp;end_date=2026-02-28" TargetMode="External"/><Relationship Id="rId18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19" Type="http://schemas.openxmlformats.org/officeDocument/2006/relationships/hyperlink" Target="https://secure.freee.co.jp/reports/general_ledgers/show?name=%E4%BC%9A%E8%AD%B0%E8%B2%BB&amp;start_date=2026-02-01&amp;end_date=2026-02-28" TargetMode="External"/><Relationship Id="rId20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2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2" Type="http://schemas.openxmlformats.org/officeDocument/2006/relationships/hyperlink" Target="https://secure.freee.co.jp/reports/journals?start_date=2025-03-01&amp;end_date=2026-02-28&amp;name=%E9%80%9A%E4%BF%A1%E8%B2%BB" TargetMode="External"/><Relationship Id="rId23" Type="http://schemas.openxmlformats.org/officeDocument/2006/relationships/hyperlink" Target="https://secure.freee.co.jp/reports/journals?start_date=2025-03-01&amp;end_date=2026-02-28&amp;name=%E9%80%9A%E4%BF%A1%E8%B2%BB" TargetMode="External"/><Relationship Id="rId24" Type="http://schemas.openxmlformats.org/officeDocument/2006/relationships/hyperlink" Target="https://secure.freee.co.jp/reports/journals?start_date=2025-03-01&amp;end_date=2026-02-28&amp;name=%E6%B0%B4%E9%81%93%E5%85%89%E7%86%B1%E8%B2%BB" TargetMode="External"/><Relationship Id="rId25" Type="http://schemas.openxmlformats.org/officeDocument/2006/relationships/hyperlink" Target="https://secure.freee.co.jp/reports/journals?start_date=2025-03-01&amp;end_date=2026-02-28&amp;name=%E6%B0%B4%E9%81%93%E5%85%89%E7%86%B1%E8%B2%BB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3706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2" Type="http://schemas.openxmlformats.org/officeDocument/2006/relationships/hyperlink" Target="https://secure.freee.co.jp/reports/general_ledgers/show?name=%E5%BA%97%E8%88%97%E7%8F%BE%E9%87%91&amp;start_date=2026-02-01&amp;end_date=2026-02-28" TargetMode="External"/><Relationship Id="rId3" Type="http://schemas.openxmlformats.org/officeDocument/2006/relationships/hyperlink" Target="https://secure.freee.co.jp/reports/journals?start_date=2020-03-01&amp;end_date=2026-02-28&amp;name=%E9%A0%90%E8%A8%97%E9%87%91" TargetMode="External"/><Relationship Id="rId4" Type="http://schemas.openxmlformats.org/officeDocument/2006/relationships/hyperlink" Target="https://secure.freee.co.jp/reports/journals?start_date=2020-03-01&amp;end_date=2026-02-28&amp;name=%E9%A0%90%E8%A8%97%E9%87%91" TargetMode="External"/><Relationship Id="rId5" Type="http://schemas.openxmlformats.org/officeDocument/2006/relationships/hyperlink" Target="https://secure.freee.co.jp/reports/general_ledgers/show?name=%E4%BB%AE%E6%89%95%E9%87%91&amp;start_date=2026-02-01&amp;end_date=2026-02-28&amp;fiscal_year_id=9737061" TargetMode="External"/><Relationship Id="rId6" Type="http://schemas.openxmlformats.org/officeDocument/2006/relationships/hyperlink" Target="https://secure.freee.co.jp/reports/general_ledgers/show?name=%EF%BC%88%E6%96%B0%E6%96%B9%E5%BC%8F%EF%BC%89%E3%82%A2%E3%83%A1%E3%83%AA%E3%82%AB%E3%83%B3%E3%83%BB%E3%82%A8%E3%82%AD%E3%82%B9%E3%83%97%E3%83%AC%E3%82%B9+-+%E3%83%93%E3%82%B8%E3%83%8D%E3%82%B9%E3%83%BB%E3%82%AB%E3%83%BC%E3%83%89%EF%BC%88API%EF%BC%89&amp;start_date=2026-02-01&amp;end_date=2026-02-28&amp;fiscal_year_id=973706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5" Type="http://schemas.openxmlformats.org/officeDocument/2006/relationships/hyperlink" Target="https://secure.freee.co.jp/reports/general_ledgers/show?name=%E6%9C%AA%E6%89%95%E9%87%91&amp;start_date=2026-02-01&amp;end_date=2026-02-28" TargetMode="External"/><Relationship Id="rId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" Type="http://schemas.openxmlformats.org/officeDocument/2006/relationships/hyperlink" Target="https://secure.freee.co.jp/reports/journals?start_date=2025-03-01&amp;end_date=2026-02-28&amp;name=%E9%80%9A%E4%BF%A1%E8%B2%BB" TargetMode="External"/><Relationship Id="rId8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9" Type="http://schemas.openxmlformats.org/officeDocument/2006/relationships/hyperlink" Target="https://secure.freee.co.jp/reports/general_ledgers/show?name=%E4%BC%9A%E8%AD%B0%E8%B2%BB&amp;start_date=2026-02-01&amp;end_date=2026-02-28" TargetMode="External"/><Relationship Id="rId10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2" Type="http://schemas.openxmlformats.org/officeDocument/2006/relationships/hyperlink" Target="https://secure.freee.co.jp/reports/journals?start_date=2025-03-01&amp;end_date=2026-02-28&amp;name=%E9%80%9A%E4%BF%A1%E8%B2%BB" TargetMode="External"/><Relationship Id="rId13" Type="http://schemas.openxmlformats.org/officeDocument/2006/relationships/hyperlink" Target="https://secure.freee.co.jp/reports/journals?start_date=2025-03-01&amp;end_date=2026-02-28&amp;name=%E9%80%9A%E4%BF%A1%E8%B2%BB" TargetMode="External"/><Relationship Id="rId14" Type="http://schemas.openxmlformats.org/officeDocument/2006/relationships/hyperlink" Target="https://secure.freee.co.jp/reports/journals?start_date=2025-03-01&amp;end_date=2026-02-28&amp;name=%E6%B0%B4%E9%81%93%E5%85%89%E7%86%B1%E8%B2%BB" TargetMode="External"/><Relationship Id="rId15" Type="http://schemas.openxmlformats.org/officeDocument/2006/relationships/hyperlink" Target="https://secure.freee.co.jp/reports/journals?start_date=2025-03-01&amp;end_date=2026-02-28&amp;name=%E6%B0%B4%E9%81%93%E5%85%89%E7%86%B1%E8%B2%BB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Relationship Id="rId3" Type="http://schemas.openxmlformats.org/officeDocument/2006/relationships/hyperlink" Target="https://secure.freee.co.jp/reports/general_ledgers/show?name=%E9%9B%91%E6%90%8D%E5%A4%B1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2-03-01&amp;end_date=2026-02-28&amp;name=%E7%8F%BE%E9%87%91" TargetMode="External"/><Relationship Id="rId2" Type="http://schemas.openxmlformats.org/officeDocument/2006/relationships/hyperlink" Target="https://secure.freee.co.jp/reports/general_ledgers/show?name=%E5%BA%97%E8%88%97%E7%8F%BE%E9%87%91&amp;start_date=2025-03-01&amp;end_date=2026-02-28&amp;fiscal_year_id=9737061" TargetMode="External"/><Relationship Id="rId3" Type="http://schemas.openxmlformats.org/officeDocument/2006/relationships/hyperlink" Target="https://secure.freee.co.jp/reports/general_ledgers/show?name=%E6%A5%BD%E5%A4%A9%EF%BC%88%E6%B3%95%E4%BA%BA%EF%BC%89&amp;start_date=2025-03-01&amp;end_date=2026-02-28&amp;fiscal_year_id=9737061" TargetMode="External"/><Relationship Id="rId4" Type="http://schemas.openxmlformats.org/officeDocument/2006/relationships/hyperlink" Target="https://secure.freee.co.jp/reports/journals?start_date=2024-03-01&amp;end_date=2026-02-28&amp;name=%E8%88%88%E7%94%A3%E4%BF%A1%E9%87%91" TargetMode="External"/><Relationship Id="rId5" Type="http://schemas.openxmlformats.org/officeDocument/2006/relationships/hyperlink" Target="https://secure.freee.co.jp/reports/general_ledgers/show?name=%E8%88%88%E7%94%A3%E4%BF%A1%E9%87%91%EF%BC%88%E6%B3%95%E4%BA%BA%EF%BC%89+032+%E7%A7%8B%E8%91%89%E5%8E%9F%E6%94%AF%E5%BA%97+%E6%99%AE%E9%80%9A%E9%A0%90%E9%87%91+***6733&amp;start_date=2025-03-01&amp;end_date=2026-02-28&amp;fiscal_year_id=9737061" TargetMode="External"/><Relationship Id="rId6" Type="http://schemas.openxmlformats.org/officeDocument/2006/relationships/hyperlink" Target="https://secure.freee.co.jp/reports/journals?start_date=2024-03-01&amp;end_date=2026-02-28&amp;name=%E5%A3%B2%E6%8E%9B%E9%87%91" TargetMode="External"/><Relationship Id="rId7" Type="http://schemas.openxmlformats.org/officeDocument/2006/relationships/hyperlink" Target="https://secure.freee.co.jp/reports/general_ledgers/show?name=Air%E3%83%AC%E3%82%B8&amp;start_date=2025-03-01&amp;end_date=2026-02-28&amp;fiscal_year_id=9737061" TargetMode="External"/><Relationship Id="rId8" Type="http://schemas.openxmlformats.org/officeDocument/2006/relationships/hyperlink" Target="https://secure.freee.co.jp/reports/general_ledgers/show?name=%E5%95%86%E5%93%81&amp;start_date=2025-03-01&amp;end_date=2026-02-28&amp;fiscal_year_id=9737061" TargetMode="External"/><Relationship Id="rId9" Type="http://schemas.openxmlformats.org/officeDocument/2006/relationships/hyperlink" Target="https://secure.freee.co.jp/reports/general_ledgers/show?name=%E6%9C%AA%E5%8F%8E%E5%85%A5%E9%87%91&amp;start_date=2025-03-01&amp;end_date=2026-02-28&amp;fiscal_year_id=9737061" TargetMode="External"/><Relationship Id="rId10" Type="http://schemas.openxmlformats.org/officeDocument/2006/relationships/hyperlink" Target="https://secure.freee.co.jp/reports/general_ledgers/show?name=%E4%BB%AE%E6%89%95%E9%87%91&amp;start_date=2025-03-01&amp;end_date=2026-02-28&amp;fiscal_year_id=9737061" TargetMode="External"/><Relationship Id="rId11" Type="http://schemas.openxmlformats.org/officeDocument/2006/relationships/hyperlink" Target="https://secure.freee.co.jp/reports/general_ledgers/show?name=%E3%83%AA%E3%83%BC%E3%82%B9%E8%B3%87%E7%94%A3&amp;start_date=2025-03-01&amp;end_date=2026-02-28&amp;fiscal_year_id=9737061" TargetMode="External"/><Relationship Id="rId12" Type="http://schemas.openxmlformats.org/officeDocument/2006/relationships/hyperlink" Target="https://secure.freee.co.jp/reports/general_ledgers/show?name=%E9%99%84%E5%B1%9E%E8%A8%AD%E5%82%99&amp;start_date=2025-03-01&amp;end_date=2026-02-28&amp;fiscal_year_id=9737061" TargetMode="External"/><Relationship Id="rId13" Type="http://schemas.openxmlformats.org/officeDocument/2006/relationships/hyperlink" Target="https://secure.freee.co.jp/reports/journals?start_date=2023-03-01&amp;end_date=2026-02-28&amp;name=%E8%BB%8A%E4%B8%A1%E9%81%8B%E6%90%AC%E5%85%B7" TargetMode="External"/><Relationship Id="rId14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37061" TargetMode="External"/><Relationship Id="rId15" Type="http://schemas.openxmlformats.org/officeDocument/2006/relationships/hyperlink" Target="https://secure.freee.co.jp/reports/general_ledgers/show?name=%E3%82%BD%E3%83%95%E3%83%88%E3%82%A6%E3%82%A7%E3%82%A2&amp;start_date=2025-03-01&amp;end_date=2026-02-28&amp;fiscal_year_id=9737061" TargetMode="External"/><Relationship Id="rId16" Type="http://schemas.openxmlformats.org/officeDocument/2006/relationships/hyperlink" Target="https://secure.freee.co.jp/reports/journals?start_date=2020-03-01&amp;end_date=2026-02-28&amp;name=%E5%B7%AE%E5%85%A5%E4%BF%9D%E8%A8%BC%E9%87%91" TargetMode="External"/><Relationship Id="rId17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37061" TargetMode="External"/><Relationship Id="rId18" Type="http://schemas.openxmlformats.org/officeDocument/2006/relationships/hyperlink" Target="https://secure.freee.co.jp/reports/journals?start_date=2020-03-01&amp;end_date=2026-02-28&amp;name=%E9%A0%90%E8%A8%97%E9%87%91" TargetMode="External"/><Relationship Id="rId19" Type="http://schemas.openxmlformats.org/officeDocument/2006/relationships/hyperlink" Target="https://secure.freee.co.jp/reports/general_ledgers/show?name=%E6%A8%A9%E5%88%A9%E9%87%91&amp;start_date=2025-03-01&amp;end_date=2026-02-28&amp;fiscal_year_id=9737061" TargetMode="External"/><Relationship Id="rId20" Type="http://schemas.openxmlformats.org/officeDocument/2006/relationships/hyperlink" Target="https://secure.freee.co.jp/reports/general_ledgers/show?name=%E8%B2%B7%E6%8E%9B%E9%87%91&amp;start_date=2025-03-01&amp;end_date=2026-02-28&amp;fiscal_year_id=9737061" TargetMode="External"/><Relationship Id="rId21" Type="http://schemas.openxmlformats.org/officeDocument/2006/relationships/hyperlink" Target="https://secure.freee.co.jp/reports/general_ledgers/show?name=%E6%9C%AA%E6%89%95%E9%87%91&amp;start_date=2025-03-01&amp;end_date=2026-02-28&amp;fiscal_year_id=9737061" TargetMode="External"/><Relationship Id="rId22" Type="http://schemas.openxmlformats.org/officeDocument/2006/relationships/hyperlink" Target="https://secure.freee.co.jp/reports/general_ledgers/show?name=%E7%AB%8B%E6%9B%BF%E7%B5%8C%E8%B2%BB%EF%BC%88%E9%87%91%E5%AD%90%EF%BC%89&amp;start_date=2025-03-01&amp;end_date=2026-02-28&amp;fiscal_year_id=9737061" TargetMode="External"/><Relationship Id="rId23" Type="http://schemas.openxmlformats.org/officeDocument/2006/relationships/hyperlink" Target="https://secure.freee.co.jp/reports/general_ledgers/show?name=%EF%BC%88%E6%96%B0%E6%96%B9%E5%BC%8F%EF%BC%89%E3%82%A2%E3%83%A1%E3%83%AA%E3%82%AB%E3%83%B3%E3%83%BB%E3%82%A8%E3%82%AD%E3%82%B9%E3%83%97%E3%83%AC%E3%82%B9+-+%E3%83%93%E3%82%B8%E3%83%8D%E3%82%B9%E3%83%BB%E3%82%AB%E3%83%BC%E3%83%89%EF%BC%88API%EF%BC%89&amp;start_date=2025-03-01&amp;end_date=2026-02-28&amp;fiscal_year_id=9737061" TargetMode="External"/><Relationship Id="rId24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5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6" Type="http://schemas.openxmlformats.org/officeDocument/2006/relationships/hyperlink" Target="https://secure.freee.co.jp/reports/general_ledgers/show?name=%E9%A0%90%E3%82%8A%E9%87%91&amp;start_date=2025-03-01&amp;end_date=2026-02-28&amp;fiscal_year_id=9737061" TargetMode="External"/><Relationship Id="rId27" Type="http://schemas.openxmlformats.org/officeDocument/2006/relationships/hyperlink" Target="https://secure.freee.co.jp/reports/journals?start_date=2020-03-01&amp;end_date=2026-02-28&amp;name=%E9%A0%90%E3%82%8A%E4%BF%9D%E8%A8%BC%E9%87%91" TargetMode="External"/><Relationship Id="rId28" Type="http://schemas.openxmlformats.org/officeDocument/2006/relationships/hyperlink" Target="https://secure.freee.co.jp/reports/general_ledgers/show?name=%E3%83%AA%E3%83%BC%E3%82%B9%E5%82%B5%E5%8B%99&amp;start_date=2025-03-01&amp;end_date=2026-02-28&amp;fiscal_year_id=9737061" TargetMode="External"/><Relationship Id="rId29" Type="http://schemas.openxmlformats.org/officeDocument/2006/relationships/hyperlink" Target="https://secure.freee.co.jp/reports/general_ledgers/show?name=%E9%95%B7%E6%9C%9F%E5%80%9F%E5%85%A5%E9%87%91&amp;start_date=2025-03-01&amp;end_date=2026-02-28&amp;fiscal_year_id=9737061" TargetMode="External"/><Relationship Id="rId30" Type="http://schemas.openxmlformats.org/officeDocument/2006/relationships/hyperlink" Target="https://secure.freee.co.jp/reports/journals?start_date=2020-03-01&amp;end_date=2026-02-28&amp;name=%E8%B3%87%E6%9C%AC%E9%87%91" TargetMode="External"/><Relationship Id="rId3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37061" TargetMode="External"/><Relationship Id="rId2" Type="http://schemas.openxmlformats.org/officeDocument/2006/relationships/hyperlink" Target="https://secure.freee.co.jp/reports/general_ledgers/show?name=%E7%B5%A6%E6%96%99%E6%89%8B%E5%BD%93&amp;start_date=2025-03-01&amp;end_date=2026-02-28&amp;fiscal_year_id=9737061" TargetMode="External"/><Relationship Id="rId3" Type="http://schemas.openxmlformats.org/officeDocument/2006/relationships/hyperlink" Target="https://secure.freee.co.jp/reports/general_ledgers/show?name=%E8%B3%9E%E4%B8%8E&amp;start_date=2025-03-01&amp;end_date=2026-02-28&amp;fiscal_year_id=9737061" TargetMode="External"/><Relationship Id="rId4" Type="http://schemas.openxmlformats.org/officeDocument/2006/relationships/hyperlink" Target="https://secure.freee.co.jp/reports/general_ledgers/show?name=%E6%B3%95%E5%AE%9A%E7%A6%8F%E5%88%A9%E8%B2%BB&amp;start_date=2025-03-01&amp;end_date=2026-02-28&amp;fiscal_year_id=9737061" TargetMode="External"/><Relationship Id="rId5" Type="http://schemas.openxmlformats.org/officeDocument/2006/relationships/hyperlink" Target="https://secure.freee.co.jp/reports/general_ledgers/show?name=%E7%A6%8F%E5%88%A9%E5%8E%9A%E7%94%9F%E8%B2%BB&amp;start_date=2025-03-01&amp;end_date=2026-02-28&amp;fiscal_year_id=9737061" TargetMode="External"/><Relationship Id="rId6" Type="http://schemas.openxmlformats.org/officeDocument/2006/relationships/hyperlink" Target="https://secure.freee.co.jp/reports/general_ledgers/show?name=%E5%BA%83%E5%91%8A%E5%AE%A3%E4%BC%9D%E8%B2%BB&amp;start_date=2025-03-01&amp;end_date=2026-02-28&amp;fiscal_year_id=9737061" TargetMode="External"/><Relationship Id="rId7" Type="http://schemas.openxmlformats.org/officeDocument/2006/relationships/hyperlink" Target="https://secure.freee.co.jp/reports/general_ledgers/show?name=%E4%BA%A4%E9%9A%9B%E8%B2%BB&amp;start_date=2025-03-01&amp;end_date=2026-02-28&amp;fiscal_year_id=9737061" TargetMode="External"/><Relationship Id="rId8" Type="http://schemas.openxmlformats.org/officeDocument/2006/relationships/hyperlink" Target="https://secure.freee.co.jp/reports/general_ledgers/show?name=%E4%BC%9A%E8%AD%B0%E8%B2%BB&amp;start_date=2025-03-01&amp;end_date=2026-02-28&amp;fiscal_year_id=9737061" TargetMode="External"/><Relationship Id="rId9" Type="http://schemas.openxmlformats.org/officeDocument/2006/relationships/hyperlink" Target="https://secure.freee.co.jp/reports/general_ledgers/show?name=%E6%97%85%E8%B2%BB%E4%BA%A4%E9%80%9A%E8%B2%BB&amp;start_date=2025-03-01&amp;end_date=2026-02-28&amp;fiscal_year_id=9737061" TargetMode="External"/><Relationship Id="rId10" Type="http://schemas.openxmlformats.org/officeDocument/2006/relationships/hyperlink" Target="https://secure.freee.co.jp/reports/general_ledgers/show?name=%E9%80%9A%E4%BF%A1%E8%B2%BB&amp;start_date=2025-03-01&amp;end_date=2026-02-28&amp;fiscal_year_id=9737061" TargetMode="External"/><Relationship Id="rId11" Type="http://schemas.openxmlformats.org/officeDocument/2006/relationships/hyperlink" Target="https://secure.freee.co.jp/reports/general_ledgers/show?name=%E8%B2%A9%E5%A3%B2%E4%BF%83%E9%80%B2%E8%B2%BB&amp;start_date=2025-03-01&amp;end_date=2026-02-28&amp;fiscal_year_id=9737061" TargetMode="External"/><Relationship Id="rId12" Type="http://schemas.openxmlformats.org/officeDocument/2006/relationships/hyperlink" Target="https://secure.freee.co.jp/reports/general_ledgers/show?name=%E6%B6%88%E8%80%97%E5%93%81%E8%B2%BB&amp;start_date=2025-03-01&amp;end_date=2026-02-28&amp;fiscal_year_id=9737061" TargetMode="External"/><Relationship Id="rId13" Type="http://schemas.openxmlformats.org/officeDocument/2006/relationships/hyperlink" Target="https://secure.freee.co.jp/reports/general_ledgers/show?name=%E4%BF%AE%E7%B9%95%E8%B2%BB&amp;start_date=2025-03-01&amp;end_date=2026-02-28&amp;fiscal_year_id=9737061" TargetMode="External"/><Relationship Id="rId14" Type="http://schemas.openxmlformats.org/officeDocument/2006/relationships/hyperlink" Target="https://secure.freee.co.jp/reports/general_ledgers/show?name=%E6%B0%B4%E9%81%93%E5%85%89%E7%86%B1%E8%B2%BB&amp;start_date=2025-03-01&amp;end_date=2026-02-28&amp;fiscal_year_id=9737061" TargetMode="External"/><Relationship Id="rId15" Type="http://schemas.openxmlformats.org/officeDocument/2006/relationships/hyperlink" Target="https://secure.freee.co.jp/reports/general_ledgers/show?name=%E6%96%B0%E8%81%9E%E5%9B%B3%E6%9B%B8%E8%B2%BB&amp;start_date=2025-03-01&amp;end_date=2026-02-28&amp;fiscal_year_id=9737061" TargetMode="External"/><Relationship Id="rId16" Type="http://schemas.openxmlformats.org/officeDocument/2006/relationships/hyperlink" Target="https://secure.freee.co.jp/reports/general_ledgers/show?name=%E8%AB%B8%E4%BC%9A%E8%B2%BB&amp;start_date=2025-03-01&amp;end_date=2026-02-28&amp;fiscal_year_id=9737061" TargetMode="External"/><Relationship Id="rId17" Type="http://schemas.openxmlformats.org/officeDocument/2006/relationships/hyperlink" Target="https://secure.freee.co.jp/reports/general_ledgers/show?name=%E6%94%AF%E6%89%95%E6%89%8B%E6%95%B0%E6%96%99&amp;start_date=2025-03-01&amp;end_date=2026-02-28&amp;fiscal_year_id=9737061" TargetMode="External"/><Relationship Id="rId18" Type="http://schemas.openxmlformats.org/officeDocument/2006/relationships/hyperlink" Target="https://secure.freee.co.jp/reports/general_ledgers/show?name=%E8%BB%8A%E4%B8%A1%E8%B2%BB&amp;start_date=2025-03-01&amp;end_date=2026-02-28&amp;fiscal_year_id=9737061" TargetMode="External"/><Relationship Id="rId19" Type="http://schemas.openxmlformats.org/officeDocument/2006/relationships/hyperlink" Target="https://secure.freee.co.jp/reports/general_ledgers/show?name=%E5%9C%B0%E4%BB%A3%E5%AE%B6%E8%B3%83&amp;start_date=2025-03-01&amp;end_date=2026-02-28&amp;fiscal_year_id=9737061" TargetMode="External"/><Relationship Id="rId20" Type="http://schemas.openxmlformats.org/officeDocument/2006/relationships/hyperlink" Target="https://secure.freee.co.jp/reports/general_ledgers/show?name=%E4%BF%9D%E9%99%BA%E6%96%99&amp;start_date=2025-03-01&amp;end_date=2026-02-28&amp;fiscal_year_id=9737061" TargetMode="External"/><Relationship Id="rId21" Type="http://schemas.openxmlformats.org/officeDocument/2006/relationships/hyperlink" Target="https://secure.freee.co.jp/reports/general_ledgers/show?name=%E7%A7%9F%E7%A8%8E%E5%85%AC%E8%AA%B2&amp;start_date=2025-03-01&amp;end_date=2026-02-28&amp;fiscal_year_id=9737061" TargetMode="External"/><Relationship Id="rId22" Type="http://schemas.openxmlformats.org/officeDocument/2006/relationships/hyperlink" Target="https://secure.freee.co.jp/reports/general_ledgers/show?name=%E6%B8%9B%E4%BE%A1%E5%84%9F%E5%8D%B4%E8%B2%BB&amp;start_date=2025-03-01&amp;end_date=2026-02-28&amp;fiscal_year_id=9737061" TargetMode="External"/><Relationship Id="rId23" Type="http://schemas.openxmlformats.org/officeDocument/2006/relationships/hyperlink" Target="https://secure.freee.co.jp/reports/general_ledgers/show?name=%E7%B9%B0%E5%BB%B6%E8%B3%87%E7%94%A3%E5%84%9F%E5%8D%B4%28%E8%B2%A9%29&amp;start_date=2025-03-01&amp;end_date=2026-02-28&amp;fiscal_year_id=9737061" TargetMode="External"/><Relationship Id="rId24" Type="http://schemas.openxmlformats.org/officeDocument/2006/relationships/hyperlink" Target="https://secure.freee.co.jp/reports/general_ledgers/show?name=%E9%9B%91%E8%B2%BB&amp;start_date=2025-03-01&amp;end_date=2026-02-28&amp;fiscal_year_id=9737061" TargetMode="External"/><Relationship Id="rId25" Type="http://schemas.openxmlformats.org/officeDocument/2006/relationships/hyperlink" Target="https://secure.freee.co.jp/reports/general_ledgers/show?name=%E5%8F%97%E5%8F%96%E5%88%A9%E6%81%AF&amp;start_date=2025-03-01&amp;end_date=2026-02-28&amp;fiscal_year_id=9737061" TargetMode="External"/><Relationship Id="rId26" Type="http://schemas.openxmlformats.org/officeDocument/2006/relationships/hyperlink" Target="https://secure.freee.co.jp/reports/general_ledgers/show?name=%E5%8F%97%E5%8F%96%E9%85%8D%E5%BD%93%E9%87%91&amp;start_date=2025-03-01&amp;end_date=2026-02-28&amp;fiscal_year_id=9737061" TargetMode="External"/><Relationship Id="rId27" Type="http://schemas.openxmlformats.org/officeDocument/2006/relationships/hyperlink" Target="https://secure.freee.co.jp/reports/general_ledgers/show?name=%E9%9B%91%E5%8F%8E%E5%85%A5&amp;start_date=2025-03-01&amp;end_date=2026-02-28&amp;fiscal_year_id=9737061" TargetMode="External"/><Relationship Id="rId28" Type="http://schemas.openxmlformats.org/officeDocument/2006/relationships/hyperlink" Target="https://secure.freee.co.jp/reports/general_ledgers/show?name=%E6%94%AF%E6%89%95%E5%88%A9%E6%81%AF&amp;start_date=2025-03-01&amp;end_date=2026-02-28&amp;fiscal_year_id=9737061" TargetMode="External"/><Relationship Id="rId29" Type="http://schemas.openxmlformats.org/officeDocument/2006/relationships/hyperlink" Target="https://secure.freee.co.jp/reports/general_ledgers/show?name=%E9%9B%91%E6%90%8D%E5%A4%B1&amp;start_date=2025-03-01&amp;end_date=2026-02-28&amp;fiscal_year_id=9737061" TargetMode="External"/><Relationship Id="rId30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37061" TargetMode="External"/><Relationship Id="rId31" Type="http://schemas.openxmlformats.org/officeDocument/2006/relationships/hyperlink" Target="https://secure.freee.co.jp/reports/general_ledgers/show?name=%E5%A3%B2%E4%B8%8A%E6%88%BB%E3%82%8A%E9%AB%98&amp;start_date=2025-03-01&amp;end_date=2026-02-28&amp;fiscal_year_id=9737061" TargetMode="External"/><Relationship Id="rId32" Type="http://schemas.openxmlformats.org/officeDocument/2006/relationships/hyperlink" Target="https://secure.freee.co.jp/reports/general_ledgers/show?name=%E6%9C%9F%E9%A6%96%E5%95%86%E5%93%81%E6%A3%9A%E5%8D%B8%E9%AB%98&amp;start_date=2025-03-01&amp;end_date=2026-02-28&amp;fiscal_year_id=9737061" TargetMode="External"/><Relationship Id="rId33" Type="http://schemas.openxmlformats.org/officeDocument/2006/relationships/hyperlink" Target="https://secure.freee.co.jp/reports/general_ledgers/show?name=%E4%BB%95%E5%85%A5%E9%AB%98&amp;start_date=2025-03-01&amp;end_date=2026-02-28&amp;fiscal_year_id=9737061" TargetMode="External"/><Relationship Id="rId34" Type="http://schemas.openxmlformats.org/officeDocument/2006/relationships/hyperlink" Target="https://secure.freee.co.jp/reports/general_ledgers/show?name=%E6%9C%9F%E6%9C%AB%E5%95%86%E5%93%81%E6%A3%9A%E5%8D%B8%E9%AB%98&amp;start_date=2025-03-01&amp;end_date=2026-02-28&amp;fiscal_year_id=9737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13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4</v>
      </c>
      <c r="D17" s="11" t="s">
        <v>18</v>
      </c>
      <c r="E17" s="11">
        <v>5</v>
      </c>
    </row>
    <row r="18" spans="1:5" x14ac:dyDescent="0.25">
      <c r="A18" s="10" t="s">
        <v>22</v>
      </c>
      <c r="B18" s="11" t="s">
        <v>18</v>
      </c>
      <c r="C18" s="11">
        <v>7</v>
      </c>
      <c r="D18" s="11">
        <v>10</v>
      </c>
      <c r="E18" s="11">
        <v>17</v>
      </c>
    </row>
    <row r="19" spans="1:5" x14ac:dyDescent="0.25">
      <c r="A19" s="10" t="s">
        <v>23</v>
      </c>
      <c r="B19" s="11" t="s">
        <v>18</v>
      </c>
      <c r="C19" s="11">
        <v>1</v>
      </c>
      <c r="D19" s="11">
        <v>3</v>
      </c>
      <c r="E19" s="11">
        <v>4</v>
      </c>
    </row>
    <row r="20" spans="1:5" x14ac:dyDescent="0.25">
      <c r="A20" s="12" t="s">
        <v>16</v>
      </c>
      <c r="B20" s="13">
        <v>1</v>
      </c>
      <c r="C20" s="13">
        <v>13</v>
      </c>
      <c r="D20" s="13">
        <v>13</v>
      </c>
      <c r="E20" s="13">
        <v>27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2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33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33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3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33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2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5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110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4" t="s">
        <v>14</v>
      </c>
      <c r="B3" s="14" t="s">
        <v>28</v>
      </c>
      <c r="C3" s="14" t="s">
        <v>181</v>
      </c>
      <c r="D3" s="19" t="s">
        <v>182</v>
      </c>
      <c r="E3" s="14" t="s">
        <v>183</v>
      </c>
      <c r="F3" s="19" t="s">
        <v>184</v>
      </c>
      <c r="G3" s="20" t="s">
        <v>180</v>
      </c>
    </row>
    <row r="4" spans="1:7" x14ac:dyDescent="0.25">
      <c r="A4" s="14" t="s">
        <v>14</v>
      </c>
      <c r="B4" s="14" t="s">
        <v>42</v>
      </c>
      <c r="C4" s="14" t="s">
        <v>185</v>
      </c>
      <c r="D4" s="19" t="s">
        <v>186</v>
      </c>
      <c r="E4" s="14" t="s">
        <v>187</v>
      </c>
      <c r="F4" s="19" t="s">
        <v>188</v>
      </c>
      <c r="G4" s="20" t="s">
        <v>180</v>
      </c>
    </row>
    <row r="5" spans="1:7" x14ac:dyDescent="0.25">
      <c r="A5" s="14" t="s">
        <v>14</v>
      </c>
      <c r="B5" s="14" t="s">
        <v>86</v>
      </c>
      <c r="C5" s="14" t="s">
        <v>189</v>
      </c>
      <c r="D5" s="19" t="s">
        <v>190</v>
      </c>
      <c r="E5" s="14" t="s">
        <v>191</v>
      </c>
      <c r="F5" s="19" t="s">
        <v>192</v>
      </c>
      <c r="G5" s="20" t="s">
        <v>180</v>
      </c>
    </row>
    <row r="6" spans="1:7" x14ac:dyDescent="0.25">
      <c r="A6" s="14" t="s">
        <v>14</v>
      </c>
      <c r="B6" s="14" t="s">
        <v>92</v>
      </c>
      <c r="C6" s="14" t="s">
        <v>193</v>
      </c>
      <c r="D6" s="19" t="s">
        <v>194</v>
      </c>
      <c r="E6" s="14" t="s">
        <v>195</v>
      </c>
      <c r="F6" s="19" t="s">
        <v>196</v>
      </c>
      <c r="G6" s="20" t="s">
        <v>180</v>
      </c>
    </row>
    <row r="7" spans="1:7" x14ac:dyDescent="0.25">
      <c r="A7" s="14" t="s">
        <v>14</v>
      </c>
      <c r="B7" s="14" t="s">
        <v>92</v>
      </c>
      <c r="C7" s="14" t="s">
        <v>193</v>
      </c>
      <c r="D7" s="19" t="s">
        <v>197</v>
      </c>
      <c r="E7" s="14" t="s">
        <v>198</v>
      </c>
      <c r="F7" s="19" t="s">
        <v>199</v>
      </c>
      <c r="G7" s="20" t="s">
        <v>180</v>
      </c>
    </row>
    <row r="8" spans="1:7" x14ac:dyDescent="0.25">
      <c r="A8" s="14" t="s">
        <v>14</v>
      </c>
      <c r="B8" s="14" t="s">
        <v>102</v>
      </c>
      <c r="C8" s="14" t="s">
        <v>200</v>
      </c>
      <c r="D8" s="19" t="s">
        <v>201</v>
      </c>
      <c r="E8" s="14" t="s">
        <v>202</v>
      </c>
      <c r="F8" s="19" t="s">
        <v>203</v>
      </c>
      <c r="G8" s="20" t="s">
        <v>180</v>
      </c>
    </row>
    <row r="9" spans="1:7" x14ac:dyDescent="0.25">
      <c r="A9" s="14" t="s">
        <v>14</v>
      </c>
      <c r="B9" s="14" t="s">
        <v>104</v>
      </c>
      <c r="C9" s="14" t="s">
        <v>200</v>
      </c>
      <c r="D9" s="19" t="s">
        <v>204</v>
      </c>
      <c r="E9" s="14" t="s">
        <v>205</v>
      </c>
      <c r="F9" s="19" t="s">
        <v>206</v>
      </c>
      <c r="G9" s="20" t="s">
        <v>180</v>
      </c>
    </row>
    <row r="10" spans="1:7" x14ac:dyDescent="0.25">
      <c r="A10" s="14" t="s">
        <v>14</v>
      </c>
      <c r="B10" s="14" t="s">
        <v>112</v>
      </c>
      <c r="C10" s="14" t="s">
        <v>176</v>
      </c>
      <c r="D10" s="19" t="s">
        <v>207</v>
      </c>
      <c r="E10" s="14" t="s">
        <v>208</v>
      </c>
      <c r="F10" s="19" t="s">
        <v>209</v>
      </c>
      <c r="G10" s="20" t="s">
        <v>180</v>
      </c>
    </row>
    <row r="11" spans="1:7" x14ac:dyDescent="0.25">
      <c r="A11" s="21" t="s">
        <v>6</v>
      </c>
      <c r="B11" s="21" t="s">
        <v>6</v>
      </c>
      <c r="C11" s="21" t="s">
        <v>6</v>
      </c>
      <c r="D11" s="22" t="s">
        <v>210</v>
      </c>
      <c r="E11" s="21" t="s">
        <v>211</v>
      </c>
      <c r="F11" s="22" t="s">
        <v>6</v>
      </c>
      <c r="G11" s="23" t="s">
        <v>212</v>
      </c>
    </row>
    <row r="12" spans="1:7" x14ac:dyDescent="0.25">
      <c r="A12" s="14" t="s">
        <v>14</v>
      </c>
      <c r="B12" s="14" t="s">
        <v>116</v>
      </c>
      <c r="C12" s="14" t="s">
        <v>176</v>
      </c>
      <c r="D12" s="19" t="s">
        <v>213</v>
      </c>
      <c r="E12" s="14" t="s">
        <v>214</v>
      </c>
      <c r="F12" s="19" t="s">
        <v>215</v>
      </c>
      <c r="G12" s="20" t="s">
        <v>180</v>
      </c>
    </row>
    <row r="13" spans="1:7" x14ac:dyDescent="0.25">
      <c r="A13" s="14" t="s">
        <v>14</v>
      </c>
      <c r="B13" s="14" t="s">
        <v>116</v>
      </c>
      <c r="C13" s="14" t="s">
        <v>176</v>
      </c>
      <c r="D13" s="19" t="s">
        <v>216</v>
      </c>
      <c r="E13" s="14" t="s">
        <v>217</v>
      </c>
      <c r="F13" s="19" t="s">
        <v>215</v>
      </c>
      <c r="G13" s="20" t="s">
        <v>180</v>
      </c>
    </row>
    <row r="14" spans="1:7" x14ac:dyDescent="0.25">
      <c r="A14" s="14" t="s">
        <v>14</v>
      </c>
      <c r="B14" s="14" t="s">
        <v>126</v>
      </c>
      <c r="C14" s="14" t="s">
        <v>218</v>
      </c>
      <c r="D14" s="19" t="s">
        <v>219</v>
      </c>
      <c r="E14" s="14" t="s">
        <v>220</v>
      </c>
      <c r="F14" s="19" t="s">
        <v>221</v>
      </c>
      <c r="G14" s="20" t="s">
        <v>180</v>
      </c>
    </row>
    <row r="15" spans="1:7" x14ac:dyDescent="0.25">
      <c r="A15" s="14" t="s">
        <v>14</v>
      </c>
      <c r="B15" s="14" t="s">
        <v>126</v>
      </c>
      <c r="C15" s="14" t="s">
        <v>218</v>
      </c>
      <c r="D15" s="19" t="s">
        <v>222</v>
      </c>
      <c r="E15" s="14" t="s">
        <v>220</v>
      </c>
      <c r="F15" s="19" t="s">
        <v>223</v>
      </c>
      <c r="G15" s="20" t="s">
        <v>180</v>
      </c>
    </row>
    <row r="16" spans="1:7" x14ac:dyDescent="0.25">
      <c r="A16" s="14" t="s">
        <v>14</v>
      </c>
      <c r="B16" s="14" t="s">
        <v>158</v>
      </c>
      <c r="C16" s="14" t="s">
        <v>224</v>
      </c>
      <c r="D16" s="19" t="s">
        <v>225</v>
      </c>
      <c r="E16" s="14" t="s">
        <v>226</v>
      </c>
      <c r="F16" s="19" t="s">
        <v>227</v>
      </c>
      <c r="G16" s="20" t="s">
        <v>180</v>
      </c>
    </row>
    <row r="17" spans="1:7" x14ac:dyDescent="0.25">
      <c r="A17" s="24" t="s">
        <v>15</v>
      </c>
      <c r="B17" s="24" t="s">
        <v>54</v>
      </c>
      <c r="C17" s="24" t="s">
        <v>228</v>
      </c>
      <c r="D17" s="25" t="s">
        <v>229</v>
      </c>
      <c r="E17" s="24" t="s">
        <v>230</v>
      </c>
      <c r="F17" s="25" t="s">
        <v>231</v>
      </c>
      <c r="G17" s="26" t="s">
        <v>180</v>
      </c>
    </row>
    <row r="18" spans="1:7" x14ac:dyDescent="0.25">
      <c r="A18" s="24" t="s">
        <v>15</v>
      </c>
      <c r="B18" s="24" t="s">
        <v>54</v>
      </c>
      <c r="C18" s="24" t="s">
        <v>228</v>
      </c>
      <c r="D18" s="25" t="s">
        <v>232</v>
      </c>
      <c r="E18" s="24" t="s">
        <v>233</v>
      </c>
      <c r="F18" s="25" t="s">
        <v>231</v>
      </c>
      <c r="G18" s="26" t="s">
        <v>180</v>
      </c>
    </row>
    <row r="19" spans="1:7" x14ac:dyDescent="0.25">
      <c r="A19" s="24" t="s">
        <v>15</v>
      </c>
      <c r="B19" s="24" t="s">
        <v>56</v>
      </c>
      <c r="C19" s="24" t="s">
        <v>228</v>
      </c>
      <c r="D19" s="25" t="s">
        <v>234</v>
      </c>
      <c r="E19" s="24" t="s">
        <v>235</v>
      </c>
      <c r="F19" s="25" t="s">
        <v>236</v>
      </c>
      <c r="G19" s="24" t="s">
        <v>6</v>
      </c>
    </row>
    <row r="20" spans="1:7" x14ac:dyDescent="0.25">
      <c r="A20" s="24" t="s">
        <v>15</v>
      </c>
      <c r="B20" s="24" t="s">
        <v>90</v>
      </c>
      <c r="C20" s="24" t="s">
        <v>189</v>
      </c>
      <c r="D20" s="25" t="s">
        <v>237</v>
      </c>
      <c r="E20" s="24" t="s">
        <v>238</v>
      </c>
      <c r="F20" s="25" t="s">
        <v>239</v>
      </c>
      <c r="G20" s="24" t="s">
        <v>6</v>
      </c>
    </row>
    <row r="21" spans="1:7" x14ac:dyDescent="0.25">
      <c r="A21" s="24" t="s">
        <v>15</v>
      </c>
      <c r="B21" s="24" t="s">
        <v>100</v>
      </c>
      <c r="C21" s="24" t="s">
        <v>240</v>
      </c>
      <c r="D21" s="25" t="s">
        <v>241</v>
      </c>
      <c r="E21" s="24" t="s">
        <v>242</v>
      </c>
      <c r="F21" s="25" t="s">
        <v>243</v>
      </c>
      <c r="G21" s="24" t="s">
        <v>6</v>
      </c>
    </row>
    <row r="22" spans="1:7" x14ac:dyDescent="0.25">
      <c r="A22" s="24" t="s">
        <v>15</v>
      </c>
      <c r="B22" s="24" t="s">
        <v>108</v>
      </c>
      <c r="C22" s="24" t="s">
        <v>200</v>
      </c>
      <c r="D22" s="25" t="s">
        <v>244</v>
      </c>
      <c r="E22" s="24" t="s">
        <v>245</v>
      </c>
      <c r="F22" s="25" t="s">
        <v>246</v>
      </c>
      <c r="G22" s="26" t="s">
        <v>180</v>
      </c>
    </row>
    <row r="23" spans="1:7" x14ac:dyDescent="0.25">
      <c r="A23" s="24" t="s">
        <v>15</v>
      </c>
      <c r="B23" s="24" t="s">
        <v>108</v>
      </c>
      <c r="C23" s="24" t="s">
        <v>200</v>
      </c>
      <c r="D23" s="25" t="s">
        <v>247</v>
      </c>
      <c r="E23" s="24" t="s">
        <v>248</v>
      </c>
      <c r="F23" s="25" t="s">
        <v>246</v>
      </c>
      <c r="G23" s="26" t="s">
        <v>180</v>
      </c>
    </row>
    <row r="24" spans="1:7" x14ac:dyDescent="0.25">
      <c r="A24" s="24" t="s">
        <v>15</v>
      </c>
      <c r="B24" s="24" t="s">
        <v>108</v>
      </c>
      <c r="C24" s="24" t="s">
        <v>200</v>
      </c>
      <c r="D24" s="25" t="s">
        <v>249</v>
      </c>
      <c r="E24" s="24" t="s">
        <v>250</v>
      </c>
      <c r="F24" s="25" t="s">
        <v>246</v>
      </c>
      <c r="G24" s="26" t="s">
        <v>180</v>
      </c>
    </row>
    <row r="25" spans="1:7" x14ac:dyDescent="0.25">
      <c r="A25" s="24" t="s">
        <v>15</v>
      </c>
      <c r="B25" s="24" t="s">
        <v>128</v>
      </c>
      <c r="C25" s="24" t="s">
        <v>218</v>
      </c>
      <c r="D25" s="25" t="s">
        <v>251</v>
      </c>
      <c r="E25" s="24" t="s">
        <v>252</v>
      </c>
      <c r="F25" s="25" t="s">
        <v>253</v>
      </c>
      <c r="G25" s="26" t="s">
        <v>180</v>
      </c>
    </row>
    <row r="26" spans="1:7" x14ac:dyDescent="0.25">
      <c r="A26" s="24" t="s">
        <v>15</v>
      </c>
      <c r="B26" s="24" t="s">
        <v>128</v>
      </c>
      <c r="C26" s="24" t="s">
        <v>218</v>
      </c>
      <c r="D26" s="25" t="s">
        <v>254</v>
      </c>
      <c r="E26" s="24" t="s">
        <v>255</v>
      </c>
      <c r="F26" s="25" t="s">
        <v>253</v>
      </c>
      <c r="G26" s="26" t="s">
        <v>180</v>
      </c>
    </row>
    <row r="27" spans="1:7" x14ac:dyDescent="0.25">
      <c r="A27" s="24" t="s">
        <v>15</v>
      </c>
      <c r="B27" s="24" t="s">
        <v>128</v>
      </c>
      <c r="C27" s="24" t="s">
        <v>218</v>
      </c>
      <c r="D27" s="25" t="s">
        <v>256</v>
      </c>
      <c r="E27" s="24" t="s">
        <v>257</v>
      </c>
      <c r="F27" s="25" t="s">
        <v>253</v>
      </c>
      <c r="G27" s="26" t="s">
        <v>180</v>
      </c>
    </row>
    <row r="28" spans="1:7" x14ac:dyDescent="0.25">
      <c r="A28" s="24" t="s">
        <v>15</v>
      </c>
      <c r="B28" s="24" t="s">
        <v>128</v>
      </c>
      <c r="C28" s="24" t="s">
        <v>218</v>
      </c>
      <c r="D28" s="25" t="s">
        <v>258</v>
      </c>
      <c r="E28" s="24" t="s">
        <v>259</v>
      </c>
      <c r="F28" s="25" t="s">
        <v>253</v>
      </c>
      <c r="G28" s="26" t="s">
        <v>180</v>
      </c>
    </row>
    <row r="29" spans="1:7" x14ac:dyDescent="0.25">
      <c r="A29" s="24" t="s">
        <v>15</v>
      </c>
      <c r="B29" s="24" t="s">
        <v>128</v>
      </c>
      <c r="C29" s="24" t="s">
        <v>218</v>
      </c>
      <c r="D29" s="25" t="s">
        <v>260</v>
      </c>
      <c r="E29" s="24" t="s">
        <v>261</v>
      </c>
      <c r="F29" s="25" t="s">
        <v>253</v>
      </c>
      <c r="G29" s="26" t="s">
        <v>180</v>
      </c>
    </row>
  </sheetData>
  <autoFilter ref="A1:G2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22" r:id="rId18"/>
    <hyperlink ref="G23" r:id="rId19"/>
    <hyperlink ref="G24" r:id="rId20"/>
    <hyperlink ref="G25" r:id="rId21"/>
    <hyperlink ref="G26" r:id="rId22"/>
    <hyperlink ref="G27" r:id="rId23"/>
    <hyperlink ref="G28" r:id="rId24"/>
    <hyperlink ref="G29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262</v>
      </c>
    </row>
    <row r="4" spans="1:1" x14ac:dyDescent="0.25">
      <c r="A4" s="29" t="s">
        <v>263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264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19" t="s">
        <v>225</v>
      </c>
      <c r="D5" s="14" t="s">
        <v>226</v>
      </c>
      <c r="E5" s="19" t="s">
        <v>227</v>
      </c>
      <c r="F5" s="20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265</v>
      </c>
    </row>
    <row r="4" spans="1:1" x14ac:dyDescent="0.25">
      <c r="A4" s="29" t="s">
        <v>263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266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42</v>
      </c>
      <c r="C6" s="19" t="s">
        <v>186</v>
      </c>
      <c r="D6" s="14" t="s">
        <v>187</v>
      </c>
      <c r="E6" s="19" t="s">
        <v>188</v>
      </c>
      <c r="F6" s="20" t="s">
        <v>180</v>
      </c>
    </row>
    <row r="7" spans="1:6" x14ac:dyDescent="0.25">
      <c r="A7" s="14" t="s">
        <v>14</v>
      </c>
      <c r="B7" s="14" t="s">
        <v>112</v>
      </c>
      <c r="C7" s="19" t="s">
        <v>207</v>
      </c>
      <c r="D7" s="14" t="s">
        <v>208</v>
      </c>
      <c r="E7" s="19" t="s">
        <v>209</v>
      </c>
      <c r="F7" s="20" t="s">
        <v>180</v>
      </c>
    </row>
    <row r="8" spans="1:6" x14ac:dyDescent="0.25">
      <c r="A8" s="21" t="s">
        <v>6</v>
      </c>
      <c r="B8" s="21" t="s">
        <v>6</v>
      </c>
      <c r="C8" s="22" t="s">
        <v>210</v>
      </c>
      <c r="D8" s="21" t="s">
        <v>211</v>
      </c>
      <c r="E8" s="22" t="s">
        <v>6</v>
      </c>
      <c r="F8" s="23" t="s">
        <v>212</v>
      </c>
    </row>
    <row r="9" spans="1:6" x14ac:dyDescent="0.25">
      <c r="A9" s="14" t="s">
        <v>14</v>
      </c>
      <c r="B9" s="14" t="s">
        <v>116</v>
      </c>
      <c r="C9" s="19" t="s">
        <v>213</v>
      </c>
      <c r="D9" s="14" t="s">
        <v>214</v>
      </c>
      <c r="E9" s="19" t="s">
        <v>215</v>
      </c>
      <c r="F9" s="20" t="s">
        <v>180</v>
      </c>
    </row>
    <row r="10" spans="1:6" x14ac:dyDescent="0.25">
      <c r="A10" s="14" t="s">
        <v>14</v>
      </c>
      <c r="B10" s="14" t="s">
        <v>116</v>
      </c>
      <c r="C10" s="19" t="s">
        <v>216</v>
      </c>
      <c r="D10" s="14" t="s">
        <v>217</v>
      </c>
      <c r="E10" s="19" t="s">
        <v>215</v>
      </c>
      <c r="F10" s="20" t="s">
        <v>180</v>
      </c>
    </row>
  </sheetData>
  <autoFilter ref="A4:F10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267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19" t="s">
        <v>190</v>
      </c>
      <c r="D5" s="14" t="s">
        <v>191</v>
      </c>
      <c r="E5" s="19" t="s">
        <v>192</v>
      </c>
      <c r="F5" s="20" t="s">
        <v>180</v>
      </c>
    </row>
    <row r="6" spans="1:6" x14ac:dyDescent="0.25">
      <c r="A6" s="14" t="s">
        <v>14</v>
      </c>
      <c r="B6" s="14" t="s">
        <v>92</v>
      </c>
      <c r="C6" s="19" t="s">
        <v>194</v>
      </c>
      <c r="D6" s="14" t="s">
        <v>195</v>
      </c>
      <c r="E6" s="19" t="s">
        <v>196</v>
      </c>
      <c r="F6" s="20" t="s">
        <v>180</v>
      </c>
    </row>
    <row r="7" spans="1:6" x14ac:dyDescent="0.25">
      <c r="A7" s="14" t="s">
        <v>14</v>
      </c>
      <c r="B7" s="14" t="s">
        <v>92</v>
      </c>
      <c r="C7" s="19" t="s">
        <v>197</v>
      </c>
      <c r="D7" s="14" t="s">
        <v>198</v>
      </c>
      <c r="E7" s="19" t="s">
        <v>199</v>
      </c>
      <c r="F7" s="20" t="s">
        <v>180</v>
      </c>
    </row>
    <row r="8" spans="1:6" x14ac:dyDescent="0.25">
      <c r="A8" s="14" t="s">
        <v>14</v>
      </c>
      <c r="B8" s="14" t="s">
        <v>102</v>
      </c>
      <c r="C8" s="19" t="s">
        <v>201</v>
      </c>
      <c r="D8" s="14" t="s">
        <v>202</v>
      </c>
      <c r="E8" s="19" t="s">
        <v>203</v>
      </c>
      <c r="F8" s="20" t="s">
        <v>180</v>
      </c>
    </row>
    <row r="9" spans="1:6" x14ac:dyDescent="0.25">
      <c r="A9" s="14" t="s">
        <v>14</v>
      </c>
      <c r="B9" s="14" t="s">
        <v>104</v>
      </c>
      <c r="C9" s="19" t="s">
        <v>204</v>
      </c>
      <c r="D9" s="14" t="s">
        <v>205</v>
      </c>
      <c r="E9" s="19" t="s">
        <v>206</v>
      </c>
      <c r="F9" s="20" t="s">
        <v>180</v>
      </c>
    </row>
    <row r="10" spans="1:6" x14ac:dyDescent="0.25">
      <c r="A10" s="14" t="s">
        <v>14</v>
      </c>
      <c r="B10" s="14" t="s">
        <v>126</v>
      </c>
      <c r="C10" s="19" t="s">
        <v>219</v>
      </c>
      <c r="D10" s="14" t="s">
        <v>220</v>
      </c>
      <c r="E10" s="19" t="s">
        <v>221</v>
      </c>
      <c r="F10" s="20" t="s">
        <v>180</v>
      </c>
    </row>
    <row r="11" spans="1:6" x14ac:dyDescent="0.25">
      <c r="A11" s="14" t="s">
        <v>14</v>
      </c>
      <c r="B11" s="14" t="s">
        <v>126</v>
      </c>
      <c r="C11" s="19" t="s">
        <v>222</v>
      </c>
      <c r="D11" s="14" t="s">
        <v>220</v>
      </c>
      <c r="E11" s="19" t="s">
        <v>223</v>
      </c>
      <c r="F11" s="20" t="s">
        <v>180</v>
      </c>
    </row>
    <row r="12" spans="1:6" x14ac:dyDescent="0.25">
      <c r="A12" s="24" t="s">
        <v>15</v>
      </c>
      <c r="B12" s="24" t="s">
        <v>90</v>
      </c>
      <c r="C12" s="25" t="s">
        <v>237</v>
      </c>
      <c r="D12" s="24" t="s">
        <v>238</v>
      </c>
      <c r="E12" s="25" t="s">
        <v>239</v>
      </c>
      <c r="F12" s="24" t="s">
        <v>6</v>
      </c>
    </row>
    <row r="13" spans="1:6" x14ac:dyDescent="0.25">
      <c r="A13" s="24" t="s">
        <v>15</v>
      </c>
      <c r="B13" s="24" t="s">
        <v>100</v>
      </c>
      <c r="C13" s="25" t="s">
        <v>241</v>
      </c>
      <c r="D13" s="24" t="s">
        <v>242</v>
      </c>
      <c r="E13" s="25" t="s">
        <v>243</v>
      </c>
      <c r="F13" s="24" t="s">
        <v>6</v>
      </c>
    </row>
    <row r="14" spans="1:6" x14ac:dyDescent="0.25">
      <c r="A14" s="24" t="s">
        <v>15</v>
      </c>
      <c r="B14" s="24" t="s">
        <v>108</v>
      </c>
      <c r="C14" s="25" t="s">
        <v>244</v>
      </c>
      <c r="D14" s="24" t="s">
        <v>245</v>
      </c>
      <c r="E14" s="25" t="s">
        <v>246</v>
      </c>
      <c r="F14" s="26" t="s">
        <v>180</v>
      </c>
    </row>
    <row r="15" spans="1:6" x14ac:dyDescent="0.25">
      <c r="A15" s="24" t="s">
        <v>15</v>
      </c>
      <c r="B15" s="24" t="s">
        <v>108</v>
      </c>
      <c r="C15" s="25" t="s">
        <v>247</v>
      </c>
      <c r="D15" s="24" t="s">
        <v>248</v>
      </c>
      <c r="E15" s="25" t="s">
        <v>246</v>
      </c>
      <c r="F15" s="26" t="s">
        <v>180</v>
      </c>
    </row>
    <row r="16" spans="1:6" x14ac:dyDescent="0.25">
      <c r="A16" s="24" t="s">
        <v>15</v>
      </c>
      <c r="B16" s="24" t="s">
        <v>108</v>
      </c>
      <c r="C16" s="25" t="s">
        <v>249</v>
      </c>
      <c r="D16" s="24" t="s">
        <v>250</v>
      </c>
      <c r="E16" s="25" t="s">
        <v>246</v>
      </c>
      <c r="F16" s="26" t="s">
        <v>180</v>
      </c>
    </row>
    <row r="17" spans="1:6" x14ac:dyDescent="0.25">
      <c r="A17" s="24" t="s">
        <v>15</v>
      </c>
      <c r="B17" s="24" t="s">
        <v>128</v>
      </c>
      <c r="C17" s="25" t="s">
        <v>251</v>
      </c>
      <c r="D17" s="24" t="s">
        <v>252</v>
      </c>
      <c r="E17" s="25" t="s">
        <v>253</v>
      </c>
      <c r="F17" s="26" t="s">
        <v>180</v>
      </c>
    </row>
    <row r="18" spans="1:6" x14ac:dyDescent="0.25">
      <c r="A18" s="24" t="s">
        <v>15</v>
      </c>
      <c r="B18" s="24" t="s">
        <v>128</v>
      </c>
      <c r="C18" s="25" t="s">
        <v>254</v>
      </c>
      <c r="D18" s="24" t="s">
        <v>255</v>
      </c>
      <c r="E18" s="25" t="s">
        <v>253</v>
      </c>
      <c r="F18" s="26" t="s">
        <v>180</v>
      </c>
    </row>
    <row r="19" spans="1:6" x14ac:dyDescent="0.25">
      <c r="A19" s="24" t="s">
        <v>15</v>
      </c>
      <c r="B19" s="24" t="s">
        <v>128</v>
      </c>
      <c r="C19" s="25" t="s">
        <v>256</v>
      </c>
      <c r="D19" s="24" t="s">
        <v>257</v>
      </c>
      <c r="E19" s="25" t="s">
        <v>253</v>
      </c>
      <c r="F19" s="26" t="s">
        <v>180</v>
      </c>
    </row>
    <row r="20" spans="1:6" x14ac:dyDescent="0.25">
      <c r="A20" s="24" t="s">
        <v>15</v>
      </c>
      <c r="B20" s="24" t="s">
        <v>128</v>
      </c>
      <c r="C20" s="25" t="s">
        <v>258</v>
      </c>
      <c r="D20" s="24" t="s">
        <v>259</v>
      </c>
      <c r="E20" s="25" t="s">
        <v>253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260</v>
      </c>
      <c r="D21" s="24" t="s">
        <v>261</v>
      </c>
      <c r="E21" s="25" t="s">
        <v>253</v>
      </c>
      <c r="F21" s="26" t="s">
        <v>180</v>
      </c>
    </row>
  </sheetData>
  <autoFilter ref="A4:F2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268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19" t="s">
        <v>182</v>
      </c>
      <c r="D5" s="14" t="s">
        <v>183</v>
      </c>
      <c r="E5" s="19" t="s">
        <v>184</v>
      </c>
      <c r="F5" s="20" t="s">
        <v>180</v>
      </c>
    </row>
    <row r="6" spans="1:6" x14ac:dyDescent="0.25">
      <c r="A6" s="24" t="s">
        <v>15</v>
      </c>
      <c r="B6" s="24" t="s">
        <v>54</v>
      </c>
      <c r="C6" s="25" t="s">
        <v>229</v>
      </c>
      <c r="D6" s="24" t="s">
        <v>230</v>
      </c>
      <c r="E6" s="25" t="s">
        <v>231</v>
      </c>
      <c r="F6" s="26" t="s">
        <v>180</v>
      </c>
    </row>
    <row r="7" spans="1:6" x14ac:dyDescent="0.25">
      <c r="A7" s="24" t="s">
        <v>15</v>
      </c>
      <c r="B7" s="24" t="s">
        <v>54</v>
      </c>
      <c r="C7" s="25" t="s">
        <v>232</v>
      </c>
      <c r="D7" s="24" t="s">
        <v>233</v>
      </c>
      <c r="E7" s="25" t="s">
        <v>231</v>
      </c>
      <c r="F7" s="26" t="s">
        <v>180</v>
      </c>
    </row>
    <row r="8" spans="1:6" x14ac:dyDescent="0.25">
      <c r="A8" s="24" t="s">
        <v>15</v>
      </c>
      <c r="B8" s="24" t="s">
        <v>56</v>
      </c>
      <c r="C8" s="25" t="s">
        <v>234</v>
      </c>
      <c r="D8" s="24" t="s">
        <v>235</v>
      </c>
      <c r="E8" s="25" t="s">
        <v>236</v>
      </c>
      <c r="F8" s="24" t="s">
        <v>6</v>
      </c>
    </row>
  </sheetData>
  <autoFilter ref="A4:F8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269</v>
      </c>
      <c r="B1" s="5" t="s">
        <v>270</v>
      </c>
      <c r="C1" s="5" t="s">
        <v>271</v>
      </c>
      <c r="D1" s="5" t="s">
        <v>272</v>
      </c>
      <c r="E1" s="5" t="s">
        <v>273</v>
      </c>
      <c r="F1" s="5" t="s">
        <v>274</v>
      </c>
      <c r="G1" s="5" t="s">
        <v>275</v>
      </c>
    </row>
    <row r="2" spans="1:7" x14ac:dyDescent="0.25">
      <c r="A2" s="10" t="s">
        <v>276</v>
      </c>
      <c r="B2" s="30">
        <v>0</v>
      </c>
      <c r="C2" s="30">
        <v>0</v>
      </c>
      <c r="D2" s="30">
        <v>0</v>
      </c>
      <c r="E2" s="31" t="s">
        <v>6</v>
      </c>
      <c r="F2" s="10" t="s">
        <v>6</v>
      </c>
      <c r="G2" s="32" t="s">
        <v>277</v>
      </c>
    </row>
    <row r="3" spans="1:7" x14ac:dyDescent="0.25">
      <c r="A3" s="10" t="s">
        <v>278</v>
      </c>
      <c r="B3" s="30">
        <v>710779</v>
      </c>
      <c r="C3" s="30">
        <v>278245</v>
      </c>
      <c r="D3" s="33">
        <v>432534</v>
      </c>
      <c r="E3" s="31" t="s">
        <v>279</v>
      </c>
      <c r="F3" s="10" t="s">
        <v>280</v>
      </c>
      <c r="G3" s="32" t="s">
        <v>277</v>
      </c>
    </row>
    <row r="4" spans="1:7" x14ac:dyDescent="0.25">
      <c r="A4" s="10" t="s">
        <v>281</v>
      </c>
      <c r="B4" s="30">
        <v>1028572</v>
      </c>
      <c r="C4" s="30">
        <v>874826</v>
      </c>
      <c r="D4" s="30">
        <v>153746</v>
      </c>
      <c r="E4" s="31" t="s">
        <v>282</v>
      </c>
      <c r="F4" s="10" t="s">
        <v>6</v>
      </c>
      <c r="G4" s="32" t="s">
        <v>277</v>
      </c>
    </row>
    <row r="5" spans="1:7" x14ac:dyDescent="0.25">
      <c r="A5" s="10" t="s">
        <v>283</v>
      </c>
      <c r="B5" s="30">
        <v>0</v>
      </c>
      <c r="C5" s="30">
        <v>0</v>
      </c>
      <c r="D5" s="30">
        <v>0</v>
      </c>
      <c r="E5" s="31" t="s">
        <v>6</v>
      </c>
      <c r="F5" s="10" t="s">
        <v>6</v>
      </c>
      <c r="G5" s="32" t="s">
        <v>277</v>
      </c>
    </row>
    <row r="6" spans="1:7" x14ac:dyDescent="0.25">
      <c r="A6" s="10" t="s">
        <v>284</v>
      </c>
      <c r="B6" s="30">
        <v>8849523</v>
      </c>
      <c r="C6" s="30">
        <v>12600515</v>
      </c>
      <c r="D6" s="30">
        <v>-3750992</v>
      </c>
      <c r="E6" s="31" t="s">
        <v>285</v>
      </c>
      <c r="F6" s="10" t="s">
        <v>6</v>
      </c>
      <c r="G6" s="32" t="s">
        <v>277</v>
      </c>
    </row>
    <row r="7" spans="1:7" x14ac:dyDescent="0.25">
      <c r="A7" s="10" t="s">
        <v>286</v>
      </c>
      <c r="B7" s="30">
        <v>0</v>
      </c>
      <c r="C7" s="30">
        <v>0</v>
      </c>
      <c r="D7" s="30">
        <v>0</v>
      </c>
      <c r="E7" s="31" t="s">
        <v>6</v>
      </c>
      <c r="F7" s="10" t="s">
        <v>6</v>
      </c>
      <c r="G7" s="32" t="s">
        <v>277</v>
      </c>
    </row>
    <row r="8" spans="1:7" x14ac:dyDescent="0.25">
      <c r="A8" s="10" t="s">
        <v>287</v>
      </c>
      <c r="B8" s="30">
        <v>763849</v>
      </c>
      <c r="C8" s="30">
        <v>837010</v>
      </c>
      <c r="D8" s="30">
        <v>-73161</v>
      </c>
      <c r="E8" s="31" t="s">
        <v>288</v>
      </c>
      <c r="F8" s="10" t="s">
        <v>6</v>
      </c>
      <c r="G8" s="32" t="s">
        <v>277</v>
      </c>
    </row>
    <row r="9" spans="1:7" x14ac:dyDescent="0.25">
      <c r="A9" s="10" t="s">
        <v>289</v>
      </c>
      <c r="B9" s="30">
        <v>1356172</v>
      </c>
      <c r="C9" s="30">
        <v>1921376</v>
      </c>
      <c r="D9" s="30">
        <v>-565204</v>
      </c>
      <c r="E9" s="31" t="s">
        <v>290</v>
      </c>
      <c r="F9" s="10" t="s">
        <v>6</v>
      </c>
      <c r="G9" s="32" t="s">
        <v>277</v>
      </c>
    </row>
    <row r="10" spans="1:7" x14ac:dyDescent="0.25">
      <c r="A10" s="10" t="s">
        <v>291</v>
      </c>
      <c r="B10" s="30">
        <v>2576562</v>
      </c>
      <c r="C10" s="30">
        <v>2203862</v>
      </c>
      <c r="D10" s="30">
        <v>372700</v>
      </c>
      <c r="E10" s="31" t="s">
        <v>292</v>
      </c>
      <c r="F10" s="10" t="s">
        <v>6</v>
      </c>
      <c r="G10" s="32" t="s">
        <v>277</v>
      </c>
    </row>
    <row r="11" spans="1:7" x14ac:dyDescent="0.25">
      <c r="A11" s="10" t="s">
        <v>293</v>
      </c>
      <c r="B11" s="30">
        <v>0</v>
      </c>
      <c r="C11" s="30">
        <v>300000</v>
      </c>
      <c r="D11" s="33">
        <v>-300000</v>
      </c>
      <c r="E11" s="31" t="s">
        <v>294</v>
      </c>
      <c r="F11" s="10" t="s">
        <v>280</v>
      </c>
      <c r="G11" s="32" t="s">
        <v>277</v>
      </c>
    </row>
    <row r="12" spans="1:7" x14ac:dyDescent="0.25">
      <c r="A12" s="10" t="s">
        <v>295</v>
      </c>
      <c r="B12" s="30">
        <v>391204</v>
      </c>
      <c r="C12" s="30">
        <v>402710</v>
      </c>
      <c r="D12" s="30">
        <v>-11506</v>
      </c>
      <c r="E12" s="31" t="s">
        <v>296</v>
      </c>
      <c r="F12" s="10" t="s">
        <v>6</v>
      </c>
      <c r="G12" s="32" t="s">
        <v>277</v>
      </c>
    </row>
    <row r="13" spans="1:7" x14ac:dyDescent="0.25">
      <c r="A13" s="10" t="s">
        <v>297</v>
      </c>
      <c r="B13" s="30">
        <v>6175048</v>
      </c>
      <c r="C13" s="30">
        <v>6228887</v>
      </c>
      <c r="D13" s="30">
        <v>-53839</v>
      </c>
      <c r="E13" s="31" t="s">
        <v>298</v>
      </c>
      <c r="F13" s="10" t="s">
        <v>6</v>
      </c>
      <c r="G13" s="32" t="s">
        <v>277</v>
      </c>
    </row>
    <row r="14" spans="1:7" x14ac:dyDescent="0.25">
      <c r="A14" s="10" t="s">
        <v>299</v>
      </c>
      <c r="B14" s="30">
        <v>1</v>
      </c>
      <c r="C14" s="30">
        <v>1</v>
      </c>
      <c r="D14" s="30">
        <v>0</v>
      </c>
      <c r="E14" s="31" t="s">
        <v>300</v>
      </c>
      <c r="F14" s="10" t="s">
        <v>6</v>
      </c>
      <c r="G14" s="32" t="s">
        <v>277</v>
      </c>
    </row>
    <row r="15" spans="1:7" x14ac:dyDescent="0.25">
      <c r="A15" s="10" t="s">
        <v>301</v>
      </c>
      <c r="B15" s="30">
        <v>183118</v>
      </c>
      <c r="C15" s="30">
        <v>286842</v>
      </c>
      <c r="D15" s="30">
        <v>-103724</v>
      </c>
      <c r="E15" s="31" t="s">
        <v>302</v>
      </c>
      <c r="F15" s="10" t="s">
        <v>6</v>
      </c>
      <c r="G15" s="32" t="s">
        <v>277</v>
      </c>
    </row>
    <row r="16" spans="1:7" x14ac:dyDescent="0.25">
      <c r="A16" s="10" t="s">
        <v>303</v>
      </c>
      <c r="B16" s="30">
        <v>1219680</v>
      </c>
      <c r="C16" s="30">
        <v>1253560</v>
      </c>
      <c r="D16" s="30">
        <v>-33880</v>
      </c>
      <c r="E16" s="31" t="s">
        <v>304</v>
      </c>
      <c r="F16" s="10" t="s">
        <v>6</v>
      </c>
      <c r="G16" s="32" t="s">
        <v>277</v>
      </c>
    </row>
    <row r="17" spans="1:7" x14ac:dyDescent="0.25">
      <c r="A17" s="10" t="s">
        <v>305</v>
      </c>
      <c r="B17" s="30">
        <v>3804800</v>
      </c>
      <c r="C17" s="30">
        <v>3804800</v>
      </c>
      <c r="D17" s="30">
        <v>0</v>
      </c>
      <c r="E17" s="31" t="s">
        <v>300</v>
      </c>
      <c r="F17" s="10" t="s">
        <v>6</v>
      </c>
      <c r="G17" s="32" t="s">
        <v>277</v>
      </c>
    </row>
    <row r="18" spans="1:7" x14ac:dyDescent="0.25">
      <c r="A18" s="10" t="s">
        <v>306</v>
      </c>
      <c r="B18" s="30">
        <v>152320</v>
      </c>
      <c r="C18" s="30">
        <v>154137</v>
      </c>
      <c r="D18" s="30">
        <v>-1817</v>
      </c>
      <c r="E18" s="31" t="s">
        <v>307</v>
      </c>
      <c r="F18" s="10" t="s">
        <v>6</v>
      </c>
      <c r="G18" s="32" t="s">
        <v>277</v>
      </c>
    </row>
    <row r="19" spans="1:7" x14ac:dyDescent="0.25">
      <c r="A19" s="10" t="s">
        <v>308</v>
      </c>
      <c r="B19" s="30">
        <v>18400</v>
      </c>
      <c r="C19" s="30">
        <v>18400</v>
      </c>
      <c r="D19" s="30">
        <v>0</v>
      </c>
      <c r="E19" s="31" t="s">
        <v>300</v>
      </c>
      <c r="F19" s="10" t="s">
        <v>6</v>
      </c>
      <c r="G19" s="32" t="s">
        <v>277</v>
      </c>
    </row>
    <row r="20" spans="1:7" x14ac:dyDescent="0.25">
      <c r="A20" s="10" t="s">
        <v>309</v>
      </c>
      <c r="B20" s="30">
        <v>109584</v>
      </c>
      <c r="C20" s="30">
        <v>139789</v>
      </c>
      <c r="D20" s="30">
        <v>-30205</v>
      </c>
      <c r="E20" s="31" t="s">
        <v>310</v>
      </c>
      <c r="F20" s="10" t="s">
        <v>6</v>
      </c>
      <c r="G20" s="32" t="s">
        <v>277</v>
      </c>
    </row>
    <row r="21" spans="1:7" x14ac:dyDescent="0.25">
      <c r="A21" s="10" t="s">
        <v>311</v>
      </c>
      <c r="B21" s="30">
        <v>402154</v>
      </c>
      <c r="C21" s="30">
        <v>386490</v>
      </c>
      <c r="D21" s="30">
        <v>15664</v>
      </c>
      <c r="E21" s="31" t="s">
        <v>312</v>
      </c>
      <c r="F21" s="10" t="s">
        <v>6</v>
      </c>
      <c r="G21" s="32" t="s">
        <v>277</v>
      </c>
    </row>
    <row r="22" spans="1:7" x14ac:dyDescent="0.25">
      <c r="A22" s="10" t="s">
        <v>313</v>
      </c>
      <c r="B22" s="30">
        <v>2841619</v>
      </c>
      <c r="C22" s="30">
        <v>4670103</v>
      </c>
      <c r="D22" s="30">
        <v>-1828484</v>
      </c>
      <c r="E22" s="31" t="s">
        <v>314</v>
      </c>
      <c r="F22" s="10" t="s">
        <v>6</v>
      </c>
      <c r="G22" s="32" t="s">
        <v>277</v>
      </c>
    </row>
    <row r="23" spans="1:7" x14ac:dyDescent="0.25">
      <c r="A23" s="10" t="s">
        <v>315</v>
      </c>
      <c r="B23" s="30">
        <v>8956535</v>
      </c>
      <c r="C23" s="30">
        <v>9676643</v>
      </c>
      <c r="D23" s="30">
        <v>-720108</v>
      </c>
      <c r="E23" s="31" t="s">
        <v>316</v>
      </c>
      <c r="F23" s="10" t="s">
        <v>6</v>
      </c>
      <c r="G23" s="32" t="s">
        <v>277</v>
      </c>
    </row>
    <row r="24" spans="1:7" x14ac:dyDescent="0.25">
      <c r="A24" s="10" t="s">
        <v>317</v>
      </c>
      <c r="B24" s="30">
        <v>884211</v>
      </c>
      <c r="C24" s="30">
        <v>4220777</v>
      </c>
      <c r="D24" s="33">
        <v>-3336566</v>
      </c>
      <c r="E24" s="31" t="s">
        <v>318</v>
      </c>
      <c r="F24" s="10" t="s">
        <v>280</v>
      </c>
      <c r="G24" s="32" t="s">
        <v>277</v>
      </c>
    </row>
    <row r="25" spans="1:7" x14ac:dyDescent="0.25">
      <c r="A25" s="10" t="s">
        <v>319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277</v>
      </c>
    </row>
    <row r="26" spans="1:7" x14ac:dyDescent="0.25">
      <c r="A26" s="10" t="s">
        <v>320</v>
      </c>
      <c r="B26" s="30">
        <v>0</v>
      </c>
      <c r="C26" s="30">
        <v>0</v>
      </c>
      <c r="D26" s="30">
        <v>0</v>
      </c>
      <c r="E26" s="31" t="s">
        <v>6</v>
      </c>
      <c r="F26" s="10" t="s">
        <v>6</v>
      </c>
      <c r="G26" s="32" t="s">
        <v>277</v>
      </c>
    </row>
    <row r="27" spans="1:7" x14ac:dyDescent="0.25">
      <c r="A27" s="10" t="s">
        <v>321</v>
      </c>
      <c r="B27" s="30">
        <v>273317</v>
      </c>
      <c r="C27" s="30">
        <v>2645</v>
      </c>
      <c r="D27" s="33">
        <v>270672</v>
      </c>
      <c r="E27" s="31" t="s">
        <v>322</v>
      </c>
      <c r="F27" s="10" t="s">
        <v>280</v>
      </c>
      <c r="G27" s="32" t="s">
        <v>277</v>
      </c>
    </row>
    <row r="28" spans="1:7" x14ac:dyDescent="0.25">
      <c r="A28" s="10" t="s">
        <v>323</v>
      </c>
      <c r="B28" s="30">
        <v>140000</v>
      </c>
      <c r="C28" s="30">
        <v>140000</v>
      </c>
      <c r="D28" s="30">
        <v>0</v>
      </c>
      <c r="E28" s="31" t="s">
        <v>300</v>
      </c>
      <c r="F28" s="10" t="s">
        <v>6</v>
      </c>
      <c r="G28" s="32" t="s">
        <v>277</v>
      </c>
    </row>
    <row r="29" spans="1:7" x14ac:dyDescent="0.25">
      <c r="A29" s="10" t="s">
        <v>324</v>
      </c>
      <c r="B29" s="30">
        <v>391204</v>
      </c>
      <c r="C29" s="30">
        <v>402710</v>
      </c>
      <c r="D29" s="30">
        <v>-11506</v>
      </c>
      <c r="E29" s="31" t="s">
        <v>296</v>
      </c>
      <c r="F29" s="10" t="s">
        <v>6</v>
      </c>
      <c r="G29" s="32" t="s">
        <v>277</v>
      </c>
    </row>
    <row r="30" spans="1:7" x14ac:dyDescent="0.25">
      <c r="A30" s="10" t="s">
        <v>325</v>
      </c>
      <c r="B30" s="30">
        <v>22894320</v>
      </c>
      <c r="C30" s="30">
        <v>23294543</v>
      </c>
      <c r="D30" s="30">
        <v>-400223</v>
      </c>
      <c r="E30" s="31" t="s">
        <v>326</v>
      </c>
      <c r="F30" s="10" t="s">
        <v>6</v>
      </c>
      <c r="G30" s="32" t="s">
        <v>277</v>
      </c>
    </row>
    <row r="31" spans="1:7" x14ac:dyDescent="0.25">
      <c r="A31" s="10" t="s">
        <v>327</v>
      </c>
      <c r="B31" s="30">
        <v>7000000</v>
      </c>
      <c r="C31" s="30">
        <v>7000000</v>
      </c>
      <c r="D31" s="30">
        <v>0</v>
      </c>
      <c r="E31" s="31" t="s">
        <v>300</v>
      </c>
      <c r="F31" s="10" t="s">
        <v>6</v>
      </c>
      <c r="G31" s="32" t="s">
        <v>277</v>
      </c>
    </row>
    <row r="32" spans="1:7" x14ac:dyDescent="0.25">
      <c r="A32" s="10" t="s">
        <v>328</v>
      </c>
      <c r="B32" s="34">
        <v>-39339394</v>
      </c>
      <c r="C32" s="30">
        <v>-39339394</v>
      </c>
      <c r="D32" s="30">
        <v>0</v>
      </c>
      <c r="E32" s="31" t="s">
        <v>300</v>
      </c>
      <c r="F32" s="10" t="s">
        <v>30</v>
      </c>
      <c r="G32" s="32" t="s">
        <v>277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5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269</v>
      </c>
      <c r="B3" s="5" t="s">
        <v>330</v>
      </c>
      <c r="C3" s="5" t="s">
        <v>331</v>
      </c>
      <c r="D3" s="5" t="s">
        <v>332</v>
      </c>
      <c r="E3" s="5" t="s">
        <v>333</v>
      </c>
      <c r="F3" s="5" t="s">
        <v>334</v>
      </c>
      <c r="G3" s="5" t="s">
        <v>335</v>
      </c>
      <c r="H3" s="5" t="s">
        <v>336</v>
      </c>
      <c r="I3" s="5" t="s">
        <v>337</v>
      </c>
      <c r="J3" s="5" t="s">
        <v>338</v>
      </c>
      <c r="K3" s="5" t="s">
        <v>339</v>
      </c>
      <c r="L3" s="5" t="s">
        <v>340</v>
      </c>
      <c r="M3" s="36" t="s">
        <v>341</v>
      </c>
      <c r="N3" s="5" t="s">
        <v>342</v>
      </c>
      <c r="O3" s="5" t="s">
        <v>275</v>
      </c>
    </row>
    <row r="4" spans="1:15" x14ac:dyDescent="0.25">
      <c r="A4" s="10" t="s">
        <v>343</v>
      </c>
      <c r="B4" s="30">
        <v>7868160</v>
      </c>
      <c r="C4" s="30">
        <v>7745175</v>
      </c>
      <c r="D4" s="30">
        <v>9047630</v>
      </c>
      <c r="E4" s="30">
        <v>9412938</v>
      </c>
      <c r="F4" s="30">
        <v>9405392</v>
      </c>
      <c r="G4" s="30">
        <v>9772741</v>
      </c>
      <c r="H4" s="30">
        <v>8591313</v>
      </c>
      <c r="I4" s="30">
        <v>9568072</v>
      </c>
      <c r="J4" s="30">
        <v>8482785</v>
      </c>
      <c r="K4" s="30">
        <v>11565203</v>
      </c>
      <c r="L4" s="30">
        <v>8342878</v>
      </c>
      <c r="M4" s="37">
        <v>8843476</v>
      </c>
      <c r="N4" s="38">
        <f>SUM(B4:M4)</f>
        <v>108645763</v>
      </c>
      <c r="O4" s="39"/>
    </row>
    <row r="5" spans="1:15" x14ac:dyDescent="0.25">
      <c r="A5" s="10" t="s">
        <v>344</v>
      </c>
      <c r="B5" s="30">
        <v>808011</v>
      </c>
      <c r="C5" s="30">
        <v>861297</v>
      </c>
      <c r="D5" s="30">
        <v>795803</v>
      </c>
      <c r="E5" s="30">
        <v>1102806</v>
      </c>
      <c r="F5" s="30">
        <v>1126720</v>
      </c>
      <c r="G5" s="30">
        <v>1033229</v>
      </c>
      <c r="H5" s="30">
        <v>1024086</v>
      </c>
      <c r="I5" s="30">
        <v>1458788</v>
      </c>
      <c r="J5" s="30">
        <v>723687</v>
      </c>
      <c r="K5" s="30">
        <v>1734974</v>
      </c>
      <c r="L5" s="30">
        <v>913776</v>
      </c>
      <c r="M5" s="37">
        <v>2119243</v>
      </c>
      <c r="N5" s="38">
        <f>SUM(B5:M5)</f>
        <v>13702420</v>
      </c>
      <c r="O5" s="39"/>
    </row>
    <row r="6" spans="1:15" x14ac:dyDescent="0.25">
      <c r="A6" s="40" t="s">
        <v>345</v>
      </c>
      <c r="B6" s="41">
        <v>7060149</v>
      </c>
      <c r="C6" s="41">
        <v>6883878</v>
      </c>
      <c r="D6" s="41">
        <v>8251827</v>
      </c>
      <c r="E6" s="41">
        <v>8310132</v>
      </c>
      <c r="F6" s="41">
        <v>8278672</v>
      </c>
      <c r="G6" s="41">
        <v>8739512</v>
      </c>
      <c r="H6" s="41">
        <v>7567227</v>
      </c>
      <c r="I6" s="41">
        <v>8109284</v>
      </c>
      <c r="J6" s="41">
        <v>7759098</v>
      </c>
      <c r="K6" s="41">
        <v>9830229</v>
      </c>
      <c r="L6" s="41">
        <v>7429102</v>
      </c>
      <c r="M6" s="41">
        <v>6724233</v>
      </c>
      <c r="N6" s="41">
        <f>SUM(B6:M6)</f>
        <v>94943343</v>
      </c>
      <c r="O6" s="42"/>
    </row>
    <row r="7" spans="1:15" x14ac:dyDescent="0.25">
      <c r="A7" s="10" t="s">
        <v>346</v>
      </c>
      <c r="B7" s="30">
        <f>HYPERLINK("https://secure.freee.co.jp/reports/general_ledgers/show?name=%E5%BD%B9%E5%93%A1%E5%A0%B1%E9%85%AC&amp;start_date=2025-03-01&amp;end_date=2025-03-31&amp;fiscal_year_id=9737061",324000)</f>
        <v>324000</v>
      </c>
      <c r="C7" s="30">
        <f>HYPERLINK("https://secure.freee.co.jp/reports/general_ledgers/show?name=%E5%BD%B9%E5%93%A1%E5%A0%B1%E9%85%AC&amp;start_date=2025-04-01&amp;end_date=2025-04-30&amp;fiscal_year_id=9737061",324000)</f>
        <v>324000</v>
      </c>
      <c r="D7" s="30">
        <f>HYPERLINK("https://secure.freee.co.jp/reports/general_ledgers/show?name=%E5%BD%B9%E5%93%A1%E5%A0%B1%E9%85%AC&amp;start_date=2025-05-01&amp;end_date=2025-05-31&amp;fiscal_year_id=9737061",324000)</f>
        <v>324000</v>
      </c>
      <c r="E7" s="30">
        <f>HYPERLINK("https://secure.freee.co.jp/reports/general_ledgers/show?name=%E5%BD%B9%E5%93%A1%E5%A0%B1%E9%85%AC&amp;start_date=2025-06-01&amp;end_date=2025-06-30&amp;fiscal_year_id=9737061",324000)</f>
        <v>324000</v>
      </c>
      <c r="F7" s="30">
        <f>HYPERLINK("https://secure.freee.co.jp/reports/general_ledgers/show?name=%E5%BD%B9%E5%93%A1%E5%A0%B1%E9%85%AC&amp;start_date=2025-07-01&amp;end_date=2025-07-31&amp;fiscal_year_id=9737061",324000)</f>
        <v>324000</v>
      </c>
      <c r="G7" s="30">
        <f>HYPERLINK("https://secure.freee.co.jp/reports/general_ledgers/show?name=%E5%BD%B9%E5%93%A1%E5%A0%B1%E9%85%AC&amp;start_date=2025-08-01&amp;end_date=2025-08-31&amp;fiscal_year_id=9737061",324000)</f>
        <v>324000</v>
      </c>
      <c r="H7" s="30">
        <f>HYPERLINK("https://secure.freee.co.jp/reports/general_ledgers/show?name=%E5%BD%B9%E5%93%A1%E5%A0%B1%E9%85%AC&amp;start_date=2025-09-01&amp;end_date=2025-09-30&amp;fiscal_year_id=9737061",324000)</f>
        <v>324000</v>
      </c>
      <c r="I7" s="30">
        <f>HYPERLINK("https://secure.freee.co.jp/reports/general_ledgers/show?name=%E5%BD%B9%E5%93%A1%E5%A0%B1%E9%85%AC&amp;start_date=2025-10-01&amp;end_date=2025-10-31&amp;fiscal_year_id=9737061",324000)</f>
        <v>324000</v>
      </c>
      <c r="J7" s="30">
        <f>HYPERLINK("https://secure.freee.co.jp/reports/general_ledgers/show?name=%E5%BD%B9%E5%93%A1%E5%A0%B1%E9%85%AC&amp;start_date=2025-11-01&amp;end_date=2025-11-30&amp;fiscal_year_id=9737061",324000)</f>
        <v>324000</v>
      </c>
      <c r="K7" s="30">
        <f>HYPERLINK("https://secure.freee.co.jp/reports/general_ledgers/show?name=%E5%BD%B9%E5%93%A1%E5%A0%B1%E9%85%AC&amp;start_date=2025-12-01&amp;end_date=2025-12-31&amp;fiscal_year_id=9737061",324000)</f>
        <v>324000</v>
      </c>
      <c r="L7" s="30">
        <f>HYPERLINK("https://secure.freee.co.jp/reports/general_ledgers/show?name=%E5%BD%B9%E5%93%A1%E5%A0%B1%E9%85%AC&amp;start_date=2026-01-01&amp;end_date=2026-01-31&amp;fiscal_year_id=9737061",324000)</f>
        <v>324000</v>
      </c>
      <c r="M7" s="37">
        <f>HYPERLINK("https://secure.freee.co.jp/reports/general_ledgers/show?name=%E5%BD%B9%E5%93%A1%E5%A0%B1%E9%85%AC&amp;start_date=2026-02-01&amp;end_date=2026-02-28&amp;fiscal_year_id=9737061",324000)</f>
        <v>324000</v>
      </c>
      <c r="N7" s="38">
        <f>SUM(B7:M7)</f>
        <v>3888000</v>
      </c>
      <c r="O7" s="32" t="s">
        <v>275</v>
      </c>
    </row>
    <row r="8" spans="1:15" x14ac:dyDescent="0.25">
      <c r="A8" s="10" t="s">
        <v>347</v>
      </c>
      <c r="B8" s="30">
        <f>HYPERLINK("https://secure.freee.co.jp/reports/general_ledgers/show?name=%E7%B5%A6%E6%96%99%E6%89%8B%E5%BD%93&amp;start_date=2025-03-01&amp;end_date=2025-03-31&amp;fiscal_year_id=9737061",2721610)</f>
        <v>2721610</v>
      </c>
      <c r="C8" s="30">
        <f>HYPERLINK("https://secure.freee.co.jp/reports/general_ledgers/show?name=%E7%B5%A6%E6%96%99%E6%89%8B%E5%BD%93&amp;start_date=2025-04-01&amp;end_date=2025-04-30&amp;fiscal_year_id=9737061",2596594)</f>
        <v>2596594</v>
      </c>
      <c r="D8" s="30">
        <f>HYPERLINK("https://secure.freee.co.jp/reports/general_ledgers/show?name=%E7%B5%A6%E6%96%99%E6%89%8B%E5%BD%93&amp;start_date=2025-05-01&amp;end_date=2025-05-31&amp;fiscal_year_id=9737061",2565056)</f>
        <v>2565056</v>
      </c>
      <c r="E8" s="30">
        <f>HYPERLINK("https://secure.freee.co.jp/reports/general_ledgers/show?name=%E7%B5%A6%E6%96%99%E6%89%8B%E5%BD%93&amp;start_date=2025-06-01&amp;end_date=2025-06-30&amp;fiscal_year_id=9737061",2858995)</f>
        <v>2858995</v>
      </c>
      <c r="F8" s="30">
        <f>HYPERLINK("https://secure.freee.co.jp/reports/general_ledgers/show?name=%E7%B5%A6%E6%96%99%E6%89%8B%E5%BD%93&amp;start_date=2025-07-01&amp;end_date=2025-07-31&amp;fiscal_year_id=9737061",2973791)</f>
        <v>2973791</v>
      </c>
      <c r="G8" s="30">
        <f>HYPERLINK("https://secure.freee.co.jp/reports/general_ledgers/show?name=%E7%B5%A6%E6%96%99%E6%89%8B%E5%BD%93&amp;start_date=2025-08-01&amp;end_date=2025-08-31&amp;fiscal_year_id=9737061",3230597)</f>
        <v>3230597</v>
      </c>
      <c r="H8" s="30">
        <f>HYPERLINK("https://secure.freee.co.jp/reports/general_ledgers/show?name=%E7%B5%A6%E6%96%99%E6%89%8B%E5%BD%93&amp;start_date=2025-09-01&amp;end_date=2025-09-30&amp;fiscal_year_id=9737061",3229728)</f>
        <v>3229728</v>
      </c>
      <c r="I8" s="30">
        <f>HYPERLINK("https://secure.freee.co.jp/reports/general_ledgers/show?name=%E7%B5%A6%E6%96%99%E6%89%8B%E5%BD%93&amp;start_date=2025-10-01&amp;end_date=2025-10-31&amp;fiscal_year_id=9737061",3512176)</f>
        <v>3512176</v>
      </c>
      <c r="J8" s="30">
        <f>HYPERLINK("https://secure.freee.co.jp/reports/general_ledgers/show?name=%E7%B5%A6%E6%96%99%E6%89%8B%E5%BD%93&amp;start_date=2025-11-01&amp;end_date=2025-11-30&amp;fiscal_year_id=9737061",3082441)</f>
        <v>3082441</v>
      </c>
      <c r="K8" s="30">
        <f>HYPERLINK("https://secure.freee.co.jp/reports/general_ledgers/show?name=%E7%B5%A6%E6%96%99%E6%89%8B%E5%BD%93&amp;start_date=2025-12-01&amp;end_date=2025-12-31&amp;fiscal_year_id=9737061",3468505)</f>
        <v>3468505</v>
      </c>
      <c r="L8" s="30">
        <f>HYPERLINK("https://secure.freee.co.jp/reports/general_ledgers/show?name=%E7%B5%A6%E6%96%99%E6%89%8B%E5%BD%93&amp;start_date=2026-01-01&amp;end_date=2026-01-31&amp;fiscal_year_id=9737061",2863451)</f>
        <v>2863451</v>
      </c>
      <c r="M8" s="37">
        <f>HYPERLINK("https://secure.freee.co.jp/reports/general_ledgers/show?name=%E7%B5%A6%E6%96%99%E6%89%8B%E5%BD%93&amp;start_date=2026-02-01&amp;end_date=2026-02-28&amp;fiscal_year_id=9737061",1445235)</f>
        <v>1445235</v>
      </c>
      <c r="N8" s="38">
        <f>SUM(B8:M8)</f>
        <v>34548179</v>
      </c>
      <c r="O8" s="32" t="s">
        <v>275</v>
      </c>
    </row>
    <row r="9" spans="1:15" x14ac:dyDescent="0.25">
      <c r="A9" s="10" t="s">
        <v>348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30">
        <f>HYPERLINK("https://secure.freee.co.jp/reports/general_ledgers/show?name=%E8%B3%9E%E4%B8%8E&amp;start_date=2026-01-01&amp;end_date=2026-01-31&amp;fiscal_year_id=9737061",1030000)</f>
        <v>1030000</v>
      </c>
      <c r="M9" s="44">
        <v>0</v>
      </c>
      <c r="N9" s="38">
        <f>SUM(B9:M9)</f>
        <v>1030000</v>
      </c>
      <c r="O9" s="32" t="s">
        <v>275</v>
      </c>
    </row>
    <row r="10" spans="1:15" x14ac:dyDescent="0.25">
      <c r="A10" s="10" t="s">
        <v>349</v>
      </c>
      <c r="B10" s="30">
        <f>HYPERLINK("https://secure.freee.co.jp/reports/general_ledgers/show?name=%E6%B3%95%E5%AE%9A%E7%A6%8F%E5%88%A9%E8%B2%BB&amp;start_date=2025-03-01&amp;end_date=2025-03-31&amp;fiscal_year_id=9737061",103471)</f>
        <v>103471</v>
      </c>
      <c r="C10" s="30">
        <f>HYPERLINK("https://secure.freee.co.jp/reports/general_ledgers/show?name=%E6%B3%95%E5%AE%9A%E7%A6%8F%E5%88%A9%E8%B2%BB&amp;start_date=2025-04-01&amp;end_date=2025-04-30&amp;fiscal_year_id=9737061",105356)</f>
        <v>105356</v>
      </c>
      <c r="D10" s="30">
        <f>HYPERLINK("https://secure.freee.co.jp/reports/general_ledgers/show?name=%E6%B3%95%E5%AE%9A%E7%A6%8F%E5%88%A9%E8%B2%BB&amp;start_date=2025-05-01&amp;end_date=2025-05-31&amp;fiscal_year_id=9737061",105643)</f>
        <v>105643</v>
      </c>
      <c r="E10" s="30">
        <f>HYPERLINK("https://secure.freee.co.jp/reports/general_ledgers/show?name=%E6%B3%95%E5%AE%9A%E7%A6%8F%E5%88%A9%E8%B2%BB&amp;start_date=2025-06-01&amp;end_date=2025-06-30&amp;fiscal_year_id=9737061",103626)</f>
        <v>103626</v>
      </c>
      <c r="F10" s="30">
        <f>HYPERLINK("https://secure.freee.co.jp/reports/general_ledgers/show?name=%E6%B3%95%E5%AE%9A%E7%A6%8F%E5%88%A9%E8%B2%BB&amp;start_date=2025-07-01&amp;end_date=2025-07-31&amp;fiscal_year_id=9737061",103797)</f>
        <v>103797</v>
      </c>
      <c r="G10" s="30">
        <f>HYPERLINK("https://secure.freee.co.jp/reports/general_ledgers/show?name=%E6%B3%95%E5%AE%9A%E7%A6%8F%E5%88%A9%E8%B2%BB&amp;start_date=2025-08-01&amp;end_date=2025-08-31&amp;fiscal_year_id=9737061",103847)</f>
        <v>103847</v>
      </c>
      <c r="H10" s="33">
        <f>HYPERLINK("https://secure.freee.co.jp/reports/general_ledgers/show?name=%E6%B3%95%E5%AE%9A%E7%A6%8F%E5%88%A9%E8%B2%BB&amp;start_date=2025-09-01&amp;end_date=2025-09-30&amp;fiscal_year_id=9737061",225636)</f>
        <v>225636</v>
      </c>
      <c r="I10" s="30">
        <f>HYPERLINK("https://secure.freee.co.jp/reports/general_ledgers/show?name=%E6%B3%95%E5%AE%9A%E7%A6%8F%E5%88%A9%E8%B2%BB&amp;start_date=2025-10-01&amp;end_date=2025-10-31&amp;fiscal_year_id=9737061",235494)</f>
        <v>235494</v>
      </c>
      <c r="J10" s="33">
        <f>HYPERLINK("https://secure.freee.co.jp/reports/general_ledgers/show?name=%E6%B3%95%E5%AE%9A%E7%A6%8F%E5%88%A9%E8%B2%BB&amp;start_date=2025-11-01&amp;end_date=2025-11-30&amp;fiscal_year_id=9737061",103937)</f>
        <v>103937</v>
      </c>
      <c r="K10" s="33">
        <f>HYPERLINK("https://secure.freee.co.jp/reports/general_ledgers/show?name=%E6%B3%95%E5%AE%9A%E7%A6%8F%E5%88%A9%E8%B2%BB&amp;start_date=2025-12-01&amp;end_date=2025-12-31&amp;fiscal_year_id=9737061",382041)</f>
        <v>382041</v>
      </c>
      <c r="L10" s="33">
        <f>HYPERLINK("https://secure.freee.co.jp/reports/general_ledgers/show?name=%E6%B3%95%E5%AE%9A%E7%A6%8F%E5%88%A9%E8%B2%BB&amp;start_date=2026-01-01&amp;end_date=2026-01-31&amp;fiscal_year_id=9737061",185008)</f>
        <v>185008</v>
      </c>
      <c r="M10" s="37">
        <f>HYPERLINK("https://secure.freee.co.jp/reports/general_ledgers/show?name=%E6%B3%95%E5%AE%9A%E7%A6%8F%E5%88%A9%E8%B2%BB&amp;start_date=2026-02-01&amp;end_date=2026-02-28&amp;fiscal_year_id=9737061",103978)</f>
        <v>103978</v>
      </c>
      <c r="N10" s="38">
        <f>SUM(B10:M10)</f>
        <v>1861834</v>
      </c>
      <c r="O10" s="32" t="s">
        <v>275</v>
      </c>
    </row>
    <row r="11" spans="1:15" x14ac:dyDescent="0.25">
      <c r="A11" s="10" t="s">
        <v>350</v>
      </c>
      <c r="B11" s="30">
        <f>HYPERLINK("https://secure.freee.co.jp/reports/general_ledgers/show?name=%E7%A6%8F%E5%88%A9%E5%8E%9A%E7%94%9F%E8%B2%BB&amp;start_date=2025-03-01&amp;end_date=2025-03-31&amp;fiscal_year_id=9737061",22510)</f>
        <v>22510</v>
      </c>
      <c r="C11" s="44">
        <v>0</v>
      </c>
      <c r="D11" s="43">
        <v>0</v>
      </c>
      <c r="E11" s="30">
        <f>HYPERLINK("https://secure.freee.co.jp/reports/general_ledgers/show?name=%E7%A6%8F%E5%88%A9%E5%8E%9A%E7%94%9F%E8%B2%BB&amp;start_date=2025-06-01&amp;end_date=2025-06-30&amp;fiscal_year_id=9737061",2240)</f>
        <v>2240</v>
      </c>
      <c r="F11" s="30">
        <f>HYPERLINK("https://secure.freee.co.jp/reports/general_ledgers/show?name=%E7%A6%8F%E5%88%A9%E5%8E%9A%E7%94%9F%E8%B2%BB&amp;start_date=2025-07-01&amp;end_date=2025-07-31&amp;fiscal_year_id=9737061",1240)</f>
        <v>1240</v>
      </c>
      <c r="G11" s="44">
        <v>0</v>
      </c>
      <c r="H11" s="43">
        <v>0</v>
      </c>
      <c r="I11" s="43">
        <v>0</v>
      </c>
      <c r="J11" s="43">
        <v>0</v>
      </c>
      <c r="K11" s="30">
        <f>HYPERLINK("https://secure.freee.co.jp/reports/general_ledgers/show?name=%E7%A6%8F%E5%88%A9%E5%8E%9A%E7%94%9F%E8%B2%BB&amp;start_date=2025-12-01&amp;end_date=2025-12-31&amp;fiscal_year_id=9737061",4040)</f>
        <v>4040</v>
      </c>
      <c r="L11" s="33">
        <f>HYPERLINK("https://secure.freee.co.jp/reports/general_ledgers/show?name=%E7%A6%8F%E5%88%A9%E5%8E%9A%E7%94%9F%E8%B2%BB&amp;start_date=2026-01-01&amp;end_date=2026-01-31&amp;fiscal_year_id=9737061",14750)</f>
        <v>14750</v>
      </c>
      <c r="M11" s="44">
        <v>0</v>
      </c>
      <c r="N11" s="38">
        <f>SUM(B11:M11)</f>
        <v>44780</v>
      </c>
      <c r="O11" s="32" t="s">
        <v>275</v>
      </c>
    </row>
    <row r="12" spans="1:15" x14ac:dyDescent="0.25">
      <c r="A12" s="10" t="s">
        <v>351</v>
      </c>
      <c r="B12" s="30">
        <f>HYPERLINK("https://secure.freee.co.jp/reports/general_ledgers/show?name=%E5%BA%83%E5%91%8A%E5%AE%A3%E4%BC%9D%E8%B2%BB&amp;start_date=2025-03-01&amp;end_date=2025-03-31&amp;fiscal_year_id=9737061",134726)</f>
        <v>134726</v>
      </c>
      <c r="C12" s="30">
        <f>HYPERLINK("https://secure.freee.co.jp/reports/general_ledgers/show?name=%E5%BA%83%E5%91%8A%E5%AE%A3%E4%BC%9D%E8%B2%BB&amp;start_date=2025-04-01&amp;end_date=2025-04-30&amp;fiscal_year_id=9737061",79200)</f>
        <v>79200</v>
      </c>
      <c r="D12" s="30">
        <f>HYPERLINK("https://secure.freee.co.jp/reports/general_ledgers/show?name=%E5%BA%83%E5%91%8A%E5%AE%A3%E4%BC%9D%E8%B2%BB&amp;start_date=2025-05-01&amp;end_date=2025-05-31&amp;fiscal_year_id=9737061",110800)</f>
        <v>110800</v>
      </c>
      <c r="E12" s="30">
        <f>HYPERLINK("https://secure.freee.co.jp/reports/general_ledgers/show?name=%E5%BA%83%E5%91%8A%E5%AE%A3%E4%BC%9D%E8%B2%BB&amp;start_date=2025-06-01&amp;end_date=2025-06-30&amp;fiscal_year_id=9737061",104200)</f>
        <v>104200</v>
      </c>
      <c r="F12" s="30">
        <f>HYPERLINK("https://secure.freee.co.jp/reports/general_ledgers/show?name=%E5%BA%83%E5%91%8A%E5%AE%A3%E4%BC%9D%E8%B2%BB&amp;start_date=2025-07-01&amp;end_date=2025-07-31&amp;fiscal_year_id=9737061",104200)</f>
        <v>104200</v>
      </c>
      <c r="G12" s="33">
        <f>HYPERLINK("https://secure.freee.co.jp/reports/general_ledgers/show?name=%E5%BA%83%E5%91%8A%E5%AE%A3%E4%BC%9D%E8%B2%BB&amp;start_date=2025-08-01&amp;end_date=2025-08-31&amp;fiscal_year_id=9737061",200700)</f>
        <v>200700</v>
      </c>
      <c r="H12" s="30">
        <f>HYPERLINK("https://secure.freee.co.jp/reports/general_ledgers/show?name=%E5%BA%83%E5%91%8A%E5%AE%A3%E4%BC%9D%E8%B2%BB&amp;start_date=2025-09-01&amp;end_date=2025-09-30&amp;fiscal_year_id=9737061",129200)</f>
        <v>129200</v>
      </c>
      <c r="I12" s="30">
        <f>HYPERLINK("https://secure.freee.co.jp/reports/general_ledgers/show?name=%E5%BA%83%E5%91%8A%E5%AE%A3%E4%BC%9D%E8%B2%BB&amp;start_date=2025-10-01&amp;end_date=2025-10-31&amp;fiscal_year_id=9737061",109777)</f>
        <v>109777</v>
      </c>
      <c r="J12" s="30">
        <f>HYPERLINK("https://secure.freee.co.jp/reports/general_ledgers/show?name=%E5%BA%83%E5%91%8A%E5%AE%A3%E4%BC%9D%E8%B2%BB&amp;start_date=2025-11-01&amp;end_date=2025-11-30&amp;fiscal_year_id=9737061",149888)</f>
        <v>149888</v>
      </c>
      <c r="K12" s="30">
        <f>HYPERLINK("https://secure.freee.co.jp/reports/general_ledgers/show?name=%E5%BA%83%E5%91%8A%E5%AE%A3%E4%BC%9D%E8%B2%BB&amp;start_date=2025-12-01&amp;end_date=2025-12-31&amp;fiscal_year_id=9737061",104200)</f>
        <v>104200</v>
      </c>
      <c r="L12" s="30">
        <f>HYPERLINK("https://secure.freee.co.jp/reports/general_ledgers/show?name=%E5%BA%83%E5%91%8A%E5%AE%A3%E4%BC%9D%E8%B2%BB&amp;start_date=2026-01-01&amp;end_date=2026-01-31&amp;fiscal_year_id=9737061",104200)</f>
        <v>104200</v>
      </c>
      <c r="M12" s="37">
        <f>HYPERLINK("https://secure.freee.co.jp/reports/general_ledgers/show?name=%E5%BA%83%E5%91%8A%E5%AE%A3%E4%BC%9D%E8%B2%BB&amp;start_date=2026-02-01&amp;end_date=2026-02-28&amp;fiscal_year_id=9737061",131256)</f>
        <v>131256</v>
      </c>
      <c r="N12" s="38">
        <f>SUM(B12:M12)</f>
        <v>1462347</v>
      </c>
      <c r="O12" s="32" t="s">
        <v>275</v>
      </c>
    </row>
    <row r="13" spans="1:15" x14ac:dyDescent="0.25">
      <c r="A13" s="10" t="s">
        <v>352</v>
      </c>
      <c r="B13" s="30">
        <f>HYPERLINK("https://secure.freee.co.jp/reports/general_ledgers/show?name=%E4%BA%A4%E9%9A%9B%E8%B2%BB&amp;start_date=2025-03-01&amp;end_date=2025-03-31&amp;fiscal_year_id=9737061",83469)</f>
        <v>83469</v>
      </c>
      <c r="C13" s="33">
        <f>HYPERLINK("https://secure.freee.co.jp/reports/general_ledgers/show?name=%E4%BA%A4%E9%9A%9B%E8%B2%BB&amp;start_date=2025-04-01&amp;end_date=2025-04-30&amp;fiscal_year_id=9737061",26270)</f>
        <v>26270</v>
      </c>
      <c r="D13" s="33">
        <f>HYPERLINK("https://secure.freee.co.jp/reports/general_ledgers/show?name=%E4%BA%A4%E9%9A%9B%E8%B2%BB&amp;start_date=2025-05-01&amp;end_date=2025-05-31&amp;fiscal_year_id=9737061",185650)</f>
        <v>185650</v>
      </c>
      <c r="E13" s="30">
        <f>HYPERLINK("https://secure.freee.co.jp/reports/general_ledgers/show?name=%E4%BA%A4%E9%9A%9B%E8%B2%BB&amp;start_date=2025-06-01&amp;end_date=2025-06-30&amp;fiscal_year_id=9737061",235644)</f>
        <v>235644</v>
      </c>
      <c r="F13" s="33">
        <f>HYPERLINK("https://secure.freee.co.jp/reports/general_ledgers/show?name=%E4%BA%A4%E9%9A%9B%E8%B2%BB&amp;start_date=2025-07-01&amp;end_date=2025-07-31&amp;fiscal_year_id=9737061",1208643)</f>
        <v>1208643</v>
      </c>
      <c r="G13" s="33">
        <f>HYPERLINK("https://secure.freee.co.jp/reports/general_ledgers/show?name=%E4%BA%A4%E9%9A%9B%E8%B2%BB&amp;start_date=2025-08-01&amp;end_date=2025-08-31&amp;fiscal_year_id=9737061",303631)</f>
        <v>303631</v>
      </c>
      <c r="H13" s="30">
        <f>HYPERLINK("https://secure.freee.co.jp/reports/general_ledgers/show?name=%E4%BA%A4%E9%9A%9B%E8%B2%BB&amp;start_date=2025-09-01&amp;end_date=2025-09-30&amp;fiscal_year_id=9737061",356769)</f>
        <v>356769</v>
      </c>
      <c r="I13" s="33">
        <f>HYPERLINK("https://secure.freee.co.jp/reports/general_ledgers/show?name=%E4%BA%A4%E9%9A%9B%E8%B2%BB&amp;start_date=2025-10-01&amp;end_date=2025-10-31&amp;fiscal_year_id=9737061",936193)</f>
        <v>936193</v>
      </c>
      <c r="J13" s="33">
        <f>HYPERLINK("https://secure.freee.co.jp/reports/general_ledgers/show?name=%E4%BA%A4%E9%9A%9B%E8%B2%BB&amp;start_date=2025-11-01&amp;end_date=2025-11-30&amp;fiscal_year_id=9737061",360400)</f>
        <v>360400</v>
      </c>
      <c r="K13" s="30">
        <f>HYPERLINK("https://secure.freee.co.jp/reports/general_ledgers/show?name=%E4%BA%A4%E9%9A%9B%E8%B2%BB&amp;start_date=2025-12-01&amp;end_date=2025-12-31&amp;fiscal_year_id=9737061",392583)</f>
        <v>392583</v>
      </c>
      <c r="L13" s="30">
        <f>HYPERLINK("https://secure.freee.co.jp/reports/general_ledgers/show?name=%E4%BA%A4%E9%9A%9B%E8%B2%BB&amp;start_date=2026-01-01&amp;end_date=2026-01-31&amp;fiscal_year_id=9737061",379982)</f>
        <v>379982</v>
      </c>
      <c r="M13" s="37">
        <f>HYPERLINK("https://secure.freee.co.jp/reports/general_ledgers/show?name=%E4%BA%A4%E9%9A%9B%E8%B2%BB&amp;start_date=2026-02-01&amp;end_date=2026-02-28&amp;fiscal_year_id=9737061",348424)</f>
        <v>348424</v>
      </c>
      <c r="N13" s="38">
        <f>SUM(B13:M13)</f>
        <v>4817658</v>
      </c>
      <c r="O13" s="32" t="s">
        <v>275</v>
      </c>
    </row>
    <row r="14" spans="1:15" x14ac:dyDescent="0.25">
      <c r="A14" s="10" t="s">
        <v>353</v>
      </c>
      <c r="B14" s="30">
        <f>HYPERLINK("https://secure.freee.co.jp/reports/general_ledgers/show?name=%E4%BC%9A%E8%AD%B0%E8%B2%BB&amp;start_date=2025-03-01&amp;end_date=2025-03-31&amp;fiscal_year_id=9737061",44342)</f>
        <v>44342</v>
      </c>
      <c r="C14" s="33">
        <f>HYPERLINK("https://secure.freee.co.jp/reports/general_ledgers/show?name=%E4%BC%9A%E8%AD%B0%E8%B2%BB&amp;start_date=2025-04-01&amp;end_date=2025-04-30&amp;fiscal_year_id=9737061",87447)</f>
        <v>87447</v>
      </c>
      <c r="D14" s="33">
        <f>HYPERLINK("https://secure.freee.co.jp/reports/general_ledgers/show?name=%E4%BC%9A%E8%AD%B0%E8%B2%BB&amp;start_date=2025-05-01&amp;end_date=2025-05-31&amp;fiscal_year_id=9737061",135984)</f>
        <v>135984</v>
      </c>
      <c r="E14" s="30">
        <f>HYPERLINK("https://secure.freee.co.jp/reports/general_ledgers/show?name=%E4%BC%9A%E8%AD%B0%E8%B2%BB&amp;start_date=2025-06-01&amp;end_date=2025-06-30&amp;fiscal_year_id=9737061",201645)</f>
        <v>201645</v>
      </c>
      <c r="F14" s="30">
        <f>HYPERLINK("https://secure.freee.co.jp/reports/general_ledgers/show?name=%E4%BC%9A%E8%AD%B0%E8%B2%BB&amp;start_date=2025-07-01&amp;end_date=2025-07-31&amp;fiscal_year_id=9737061",147416)</f>
        <v>147416</v>
      </c>
      <c r="G14" s="30">
        <f>HYPERLINK("https://secure.freee.co.jp/reports/general_ledgers/show?name=%E4%BC%9A%E8%AD%B0%E8%B2%BB&amp;start_date=2025-08-01&amp;end_date=2025-08-31&amp;fiscal_year_id=9737061",121816)</f>
        <v>121816</v>
      </c>
      <c r="H14" s="33">
        <f>HYPERLINK("https://secure.freee.co.jp/reports/general_ledgers/show?name=%E4%BC%9A%E8%AD%B0%E8%B2%BB&amp;start_date=2025-09-01&amp;end_date=2025-09-30&amp;fiscal_year_id=9737061",27261)</f>
        <v>27261</v>
      </c>
      <c r="I14" s="33">
        <f>HYPERLINK("https://secure.freee.co.jp/reports/general_ledgers/show?name=%E4%BC%9A%E8%AD%B0%E8%B2%BB&amp;start_date=2025-10-01&amp;end_date=2025-10-31&amp;fiscal_year_id=9737061",93300)</f>
        <v>93300</v>
      </c>
      <c r="J14" s="30">
        <f>HYPERLINK("https://secure.freee.co.jp/reports/general_ledgers/show?name=%E4%BC%9A%E8%AD%B0%E8%B2%BB&amp;start_date=2025-11-01&amp;end_date=2025-11-30&amp;fiscal_year_id=9737061",127911)</f>
        <v>127911</v>
      </c>
      <c r="K14" s="30">
        <f>HYPERLINK("https://secure.freee.co.jp/reports/general_ledgers/show?name=%E4%BC%9A%E8%AD%B0%E8%B2%BB&amp;start_date=2025-12-01&amp;end_date=2025-12-31&amp;fiscal_year_id=9737061",118692)</f>
        <v>118692</v>
      </c>
      <c r="L14" s="30">
        <f>HYPERLINK("https://secure.freee.co.jp/reports/general_ledgers/show?name=%E4%BC%9A%E8%AD%B0%E8%B2%BB&amp;start_date=2026-01-01&amp;end_date=2026-01-31&amp;fiscal_year_id=9737061",162742)</f>
        <v>162742</v>
      </c>
      <c r="M14" s="33">
        <f>HYPERLINK("https://secure.freee.co.jp/reports/general_ledgers/show?name=%E4%BC%9A%E8%AD%B0%E8%B2%BB&amp;start_date=2026-02-01&amp;end_date=2026-02-28&amp;fiscal_year_id=9737061",295085)</f>
        <v>295085</v>
      </c>
      <c r="N14" s="38">
        <f>SUM(B14:M14)</f>
        <v>1563641</v>
      </c>
      <c r="O14" s="32" t="s">
        <v>275</v>
      </c>
    </row>
    <row r="15" spans="1:15" x14ac:dyDescent="0.25">
      <c r="A15" s="10" t="s">
        <v>354</v>
      </c>
      <c r="B15" s="30">
        <f>HYPERLINK("https://secure.freee.co.jp/reports/general_ledgers/show?name=%E6%97%85%E8%B2%BB%E4%BA%A4%E9%80%9A%E8%B2%BB&amp;start_date=2025-03-01&amp;end_date=2025-03-31&amp;fiscal_year_id=9737061",185900)</f>
        <v>185900</v>
      </c>
      <c r="C15" s="30">
        <f>HYPERLINK("https://secure.freee.co.jp/reports/general_ledgers/show?name=%E6%97%85%E8%B2%BB%E4%BA%A4%E9%80%9A%E8%B2%BB&amp;start_date=2025-04-01&amp;end_date=2025-04-30&amp;fiscal_year_id=9737061",189300)</f>
        <v>189300</v>
      </c>
      <c r="D15" s="30">
        <f>HYPERLINK("https://secure.freee.co.jp/reports/general_ledgers/show?name=%E6%97%85%E8%B2%BB%E4%BA%A4%E9%80%9A%E8%B2%BB&amp;start_date=2025-05-01&amp;end_date=2025-05-31&amp;fiscal_year_id=9737061",190931)</f>
        <v>190931</v>
      </c>
      <c r="E15" s="30">
        <f>HYPERLINK("https://secure.freee.co.jp/reports/general_ledgers/show?name=%E6%97%85%E8%B2%BB%E4%BA%A4%E9%80%9A%E8%B2%BB&amp;start_date=2025-06-01&amp;end_date=2025-06-30&amp;fiscal_year_id=9737061",208100)</f>
        <v>208100</v>
      </c>
      <c r="F15" s="30">
        <f>HYPERLINK("https://secure.freee.co.jp/reports/general_ledgers/show?name=%E6%97%85%E8%B2%BB%E4%BA%A4%E9%80%9A%E8%B2%BB&amp;start_date=2025-07-01&amp;end_date=2025-07-31&amp;fiscal_year_id=9737061",243395)</f>
        <v>243395</v>
      </c>
      <c r="G15" s="30">
        <f>HYPERLINK("https://secure.freee.co.jp/reports/general_ledgers/show?name=%E6%97%85%E8%B2%BB%E4%BA%A4%E9%80%9A%E8%B2%BB&amp;start_date=2025-08-01&amp;end_date=2025-08-31&amp;fiscal_year_id=9737061",225125)</f>
        <v>225125</v>
      </c>
      <c r="H15" s="30">
        <f>HYPERLINK("https://secure.freee.co.jp/reports/general_ledgers/show?name=%E6%97%85%E8%B2%BB%E4%BA%A4%E9%80%9A%E8%B2%BB&amp;start_date=2025-09-01&amp;end_date=2025-09-30&amp;fiscal_year_id=9737061",285072)</f>
        <v>285072</v>
      </c>
      <c r="I15" s="30">
        <f>HYPERLINK("https://secure.freee.co.jp/reports/general_ledgers/show?name=%E6%97%85%E8%B2%BB%E4%BA%A4%E9%80%9A%E8%B2%BB&amp;start_date=2025-10-01&amp;end_date=2025-10-31&amp;fiscal_year_id=9737061",216903)</f>
        <v>216903</v>
      </c>
      <c r="J15" s="30">
        <f>HYPERLINK("https://secure.freee.co.jp/reports/general_ledgers/show?name=%E6%97%85%E8%B2%BB%E4%BA%A4%E9%80%9A%E8%B2%BB&amp;start_date=2025-11-01&amp;end_date=2025-11-30&amp;fiscal_year_id=9737061",195601)</f>
        <v>195601</v>
      </c>
      <c r="K15" s="30">
        <f>HYPERLINK("https://secure.freee.co.jp/reports/general_ledgers/show?name=%E6%97%85%E8%B2%BB%E4%BA%A4%E9%80%9A%E8%B2%BB&amp;start_date=2025-12-01&amp;end_date=2025-12-31&amp;fiscal_year_id=9737061",214610)</f>
        <v>214610</v>
      </c>
      <c r="L15" s="30">
        <f>HYPERLINK("https://secure.freee.co.jp/reports/general_ledgers/show?name=%E6%97%85%E8%B2%BB%E4%BA%A4%E9%80%9A%E8%B2%BB&amp;start_date=2026-01-01&amp;end_date=2026-01-31&amp;fiscal_year_id=9737061",221177)</f>
        <v>221177</v>
      </c>
      <c r="M15" s="37">
        <f>HYPERLINK("https://secure.freee.co.jp/reports/general_ledgers/show?name=%E6%97%85%E8%B2%BB%E4%BA%A4%E9%80%9A%E8%B2%BB&amp;start_date=2026-02-01&amp;end_date=2026-02-28&amp;fiscal_year_id=9737061",132660)</f>
        <v>132660</v>
      </c>
      <c r="N15" s="38">
        <f>SUM(B15:M15)</f>
        <v>2508774</v>
      </c>
      <c r="O15" s="32" t="s">
        <v>275</v>
      </c>
    </row>
    <row r="16" spans="1:15" x14ac:dyDescent="0.25">
      <c r="A16" s="10" t="s">
        <v>355</v>
      </c>
      <c r="B16" s="30">
        <f>HYPERLINK("https://secure.freee.co.jp/reports/general_ledgers/show?name=%E9%80%9A%E4%BF%A1%E8%B2%BB&amp;start_date=2025-03-01&amp;end_date=2025-03-31&amp;fiscal_year_id=9737061",123687)</f>
        <v>123687</v>
      </c>
      <c r="C16" s="30">
        <f>HYPERLINK("https://secure.freee.co.jp/reports/general_ledgers/show?name=%E9%80%9A%E4%BF%A1%E8%B2%BB&amp;start_date=2025-04-01&amp;end_date=2025-04-30&amp;fiscal_year_id=9737061",159918)</f>
        <v>159918</v>
      </c>
      <c r="D16" s="30">
        <f>HYPERLINK("https://secure.freee.co.jp/reports/general_ledgers/show?name=%E9%80%9A%E4%BF%A1%E8%B2%BB&amp;start_date=2025-05-01&amp;end_date=2025-05-31&amp;fiscal_year_id=9737061",142841)</f>
        <v>142841</v>
      </c>
      <c r="E16" s="30">
        <f>HYPERLINK("https://secure.freee.co.jp/reports/general_ledgers/show?name=%E9%80%9A%E4%BF%A1%E8%B2%BB&amp;start_date=2025-06-01&amp;end_date=2025-06-30&amp;fiscal_year_id=9737061",149753)</f>
        <v>149753</v>
      </c>
      <c r="F16" s="30">
        <f>HYPERLINK("https://secure.freee.co.jp/reports/general_ledgers/show?name=%E9%80%9A%E4%BF%A1%E8%B2%BB&amp;start_date=2025-07-01&amp;end_date=2025-07-31&amp;fiscal_year_id=9737061",122195)</f>
        <v>122195</v>
      </c>
      <c r="G16" s="30">
        <f>HYPERLINK("https://secure.freee.co.jp/reports/general_ledgers/show?name=%E9%80%9A%E4%BF%A1%E8%B2%BB&amp;start_date=2025-08-01&amp;end_date=2025-08-31&amp;fiscal_year_id=9737061",160371)</f>
        <v>160371</v>
      </c>
      <c r="H16" s="30">
        <f>HYPERLINK("https://secure.freee.co.jp/reports/general_ledgers/show?name=%E9%80%9A%E4%BF%A1%E8%B2%BB&amp;start_date=2025-09-01&amp;end_date=2025-09-30&amp;fiscal_year_id=9737061",104199)</f>
        <v>104199</v>
      </c>
      <c r="I16" s="30">
        <f>HYPERLINK("https://secure.freee.co.jp/reports/general_ledgers/show?name=%E9%80%9A%E4%BF%A1%E8%B2%BB&amp;start_date=2025-10-01&amp;end_date=2025-10-31&amp;fiscal_year_id=9737061",100924)</f>
        <v>100924</v>
      </c>
      <c r="J16" s="30">
        <f>HYPERLINK("https://secure.freee.co.jp/reports/general_ledgers/show?name=%E9%80%9A%E4%BF%A1%E8%B2%BB&amp;start_date=2025-11-01&amp;end_date=2025-11-30&amp;fiscal_year_id=9737061",111587)</f>
        <v>111587</v>
      </c>
      <c r="K16" s="30">
        <f>HYPERLINK("https://secure.freee.co.jp/reports/general_ledgers/show?name=%E9%80%9A%E4%BF%A1%E8%B2%BB&amp;start_date=2025-12-01&amp;end_date=2025-12-31&amp;fiscal_year_id=9737061",164313)</f>
        <v>164313</v>
      </c>
      <c r="L16" s="30">
        <f>HYPERLINK("https://secure.freee.co.jp/reports/general_ledgers/show?name=%E9%80%9A%E4%BF%A1%E8%B2%BB&amp;start_date=2026-01-01&amp;end_date=2026-01-31&amp;fiscal_year_id=9737061",177549)</f>
        <v>177549</v>
      </c>
      <c r="M16" s="37">
        <f>HYPERLINK("https://secure.freee.co.jp/reports/general_ledgers/show?name=%E9%80%9A%E4%BF%A1%E8%B2%BB&amp;start_date=2026-02-01&amp;end_date=2026-02-28&amp;fiscal_year_id=9737061",94837)</f>
        <v>94837</v>
      </c>
      <c r="N16" s="38">
        <f>SUM(B16:M16)</f>
        <v>1612174</v>
      </c>
      <c r="O16" s="32" t="s">
        <v>275</v>
      </c>
    </row>
    <row r="17" spans="1:15" x14ac:dyDescent="0.25">
      <c r="A17" s="10" t="s">
        <v>356</v>
      </c>
      <c r="B17" s="43">
        <v>0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30">
        <f>HYPERLINK("https://secure.freee.co.jp/reports/general_ledgers/show?name=%E8%B2%A9%E5%A3%B2%E4%BF%83%E9%80%B2%E8%B2%BB&amp;start_date=2025-12-01&amp;end_date=2025-12-31&amp;fiscal_year_id=9737061",25344)</f>
        <v>25344</v>
      </c>
      <c r="L17" s="44">
        <v>0</v>
      </c>
      <c r="M17" s="45">
        <v>0</v>
      </c>
      <c r="N17" s="38">
        <f>SUM(B17:M17)</f>
        <v>25344</v>
      </c>
      <c r="O17" s="32" t="s">
        <v>275</v>
      </c>
    </row>
    <row r="18" spans="1:15" x14ac:dyDescent="0.25">
      <c r="A18" s="10" t="s">
        <v>357</v>
      </c>
      <c r="B18" s="30">
        <f>HYPERLINK("https://secure.freee.co.jp/reports/general_ledgers/show?name=%E6%B6%88%E8%80%97%E5%93%81%E8%B2%BB&amp;start_date=2025-03-01&amp;end_date=2025-03-31&amp;fiscal_year_id=9737061",124998)</f>
        <v>124998</v>
      </c>
      <c r="C18" s="30">
        <f>HYPERLINK("https://secure.freee.co.jp/reports/general_ledgers/show?name=%E6%B6%88%E8%80%97%E5%93%81%E8%B2%BB&amp;start_date=2025-04-01&amp;end_date=2025-04-30&amp;fiscal_year_id=9737061",113027)</f>
        <v>113027</v>
      </c>
      <c r="D18" s="33">
        <f>HYPERLINK("https://secure.freee.co.jp/reports/general_ledgers/show?name=%E6%B6%88%E8%80%97%E5%93%81%E8%B2%BB&amp;start_date=2025-05-01&amp;end_date=2025-05-31&amp;fiscal_year_id=9737061",208319)</f>
        <v>208319</v>
      </c>
      <c r="E18" s="30">
        <f>HYPERLINK("https://secure.freee.co.jp/reports/general_ledgers/show?name=%E6%B6%88%E8%80%97%E5%93%81%E8%B2%BB&amp;start_date=2025-06-01&amp;end_date=2025-06-30&amp;fiscal_year_id=9737061",132388)</f>
        <v>132388</v>
      </c>
      <c r="F18" s="33">
        <f>HYPERLINK("https://secure.freee.co.jp/reports/general_ledgers/show?name=%E6%B6%88%E8%80%97%E5%93%81%E8%B2%BB&amp;start_date=2025-07-01&amp;end_date=2025-07-31&amp;fiscal_year_id=9737061",571515)</f>
        <v>571515</v>
      </c>
      <c r="G18" s="33">
        <f>HYPERLINK("https://secure.freee.co.jp/reports/general_ledgers/show?name=%E6%B6%88%E8%80%97%E5%93%81%E8%B2%BB&amp;start_date=2025-08-01&amp;end_date=2025-08-31&amp;fiscal_year_id=9737061",246183)</f>
        <v>246183</v>
      </c>
      <c r="H18" s="30">
        <f>HYPERLINK("https://secure.freee.co.jp/reports/general_ledgers/show?name=%E6%B6%88%E8%80%97%E5%93%81%E8%B2%BB&amp;start_date=2025-09-01&amp;end_date=2025-09-30&amp;fiscal_year_id=9737061",191751)</f>
        <v>191751</v>
      </c>
      <c r="I18" s="30">
        <f>HYPERLINK("https://secure.freee.co.jp/reports/general_ledgers/show?name=%E6%B6%88%E8%80%97%E5%93%81%E8%B2%BB&amp;start_date=2025-10-01&amp;end_date=2025-10-31&amp;fiscal_year_id=9737061",150854)</f>
        <v>150854</v>
      </c>
      <c r="J18" s="33">
        <f>HYPERLINK("https://secure.freee.co.jp/reports/general_ledgers/show?name=%E6%B6%88%E8%80%97%E5%93%81%E8%B2%BB&amp;start_date=2025-11-01&amp;end_date=2025-11-30&amp;fiscal_year_id=9737061",301112)</f>
        <v>301112</v>
      </c>
      <c r="K18" s="30">
        <f>HYPERLINK("https://secure.freee.co.jp/reports/general_ledgers/show?name=%E6%B6%88%E8%80%97%E5%93%81%E8%B2%BB&amp;start_date=2025-12-01&amp;end_date=2025-12-31&amp;fiscal_year_id=9737061",298217)</f>
        <v>298217</v>
      </c>
      <c r="L18" s="30">
        <f>HYPERLINK("https://secure.freee.co.jp/reports/general_ledgers/show?name=%E6%B6%88%E8%80%97%E5%93%81%E8%B2%BB&amp;start_date=2026-01-01&amp;end_date=2026-01-31&amp;fiscal_year_id=9737061",283561)</f>
        <v>283561</v>
      </c>
      <c r="M18" s="37">
        <f>HYPERLINK("https://secure.freee.co.jp/reports/general_ledgers/show?name=%E6%B6%88%E8%80%97%E5%93%81%E8%B2%BB&amp;start_date=2026-02-01&amp;end_date=2026-02-28&amp;fiscal_year_id=9737061",182923)</f>
        <v>182923</v>
      </c>
      <c r="N18" s="38">
        <f>SUM(B18:M18)</f>
        <v>2804848</v>
      </c>
      <c r="O18" s="32" t="s">
        <v>275</v>
      </c>
    </row>
    <row r="19" spans="1:15" x14ac:dyDescent="0.25">
      <c r="A19" s="10" t="s">
        <v>358</v>
      </c>
      <c r="B19" s="43">
        <v>0</v>
      </c>
      <c r="C19" s="43">
        <v>0</v>
      </c>
      <c r="D19" s="43">
        <v>0</v>
      </c>
      <c r="E19" s="43">
        <v>0</v>
      </c>
      <c r="F19" s="43">
        <v>0</v>
      </c>
      <c r="G19" s="30">
        <f>HYPERLINK("https://secure.freee.co.jp/reports/general_ledgers/show?name=%E4%BF%AE%E7%B9%95%E8%B2%BB&amp;start_date=2025-08-01&amp;end_date=2025-08-31&amp;fiscal_year_id=9737061",33440)</f>
        <v>33440</v>
      </c>
      <c r="H19" s="44">
        <v>0</v>
      </c>
      <c r="I19" s="43">
        <v>0</v>
      </c>
      <c r="J19" s="43">
        <v>0</v>
      </c>
      <c r="K19" s="43">
        <v>0</v>
      </c>
      <c r="L19" s="43">
        <v>0</v>
      </c>
      <c r="M19" s="45">
        <v>0</v>
      </c>
      <c r="N19" s="38">
        <f>SUM(B19:M19)</f>
        <v>33440</v>
      </c>
      <c r="O19" s="32" t="s">
        <v>275</v>
      </c>
    </row>
    <row r="20" spans="1:15" x14ac:dyDescent="0.25">
      <c r="A20" s="10" t="s">
        <v>359</v>
      </c>
      <c r="B20" s="30">
        <f>HYPERLINK("https://secure.freee.co.jp/reports/general_ledgers/show?name=%E6%B0%B4%E9%81%93%E5%85%89%E7%86%B1%E8%B2%BB&amp;start_date=2025-03-01&amp;end_date=2025-03-31&amp;fiscal_year_id=9737061",158318)</f>
        <v>158318</v>
      </c>
      <c r="C20" s="30">
        <f>HYPERLINK("https://secure.freee.co.jp/reports/general_ledgers/show?name=%E6%B0%B4%E9%81%93%E5%85%89%E7%86%B1%E8%B2%BB&amp;start_date=2025-04-01&amp;end_date=2025-04-30&amp;fiscal_year_id=9737061",115135)</f>
        <v>115135</v>
      </c>
      <c r="D20" s="30">
        <f>HYPERLINK("https://secure.freee.co.jp/reports/general_ledgers/show?name=%E6%B0%B4%E9%81%93%E5%85%89%E7%86%B1%E8%B2%BB&amp;start_date=2025-05-01&amp;end_date=2025-05-31&amp;fiscal_year_id=9737061",129736)</f>
        <v>129736</v>
      </c>
      <c r="E20" s="30">
        <f>HYPERLINK("https://secure.freee.co.jp/reports/general_ledgers/show?name=%E6%B0%B4%E9%81%93%E5%85%89%E7%86%B1%E8%B2%BB&amp;start_date=2025-06-01&amp;end_date=2025-06-30&amp;fiscal_year_id=9737061",93563)</f>
        <v>93563</v>
      </c>
      <c r="F20" s="33">
        <f>HYPERLINK("https://secure.freee.co.jp/reports/general_ledgers/show?name=%E6%B0%B4%E9%81%93%E5%85%89%E7%86%B1%E8%B2%BB&amp;start_date=2025-07-01&amp;end_date=2025-07-31&amp;fiscal_year_id=9737061",146044)</f>
        <v>146044</v>
      </c>
      <c r="G20" s="30">
        <f>HYPERLINK("https://secure.freee.co.jp/reports/general_ledgers/show?name=%E6%B0%B4%E9%81%93%E5%85%89%E7%86%B1%E8%B2%BB&amp;start_date=2025-08-01&amp;end_date=2025-08-31&amp;fiscal_year_id=9737061",170739)</f>
        <v>170739</v>
      </c>
      <c r="H20" s="30">
        <f>HYPERLINK("https://secure.freee.co.jp/reports/general_ledgers/show?name=%E6%B0%B4%E9%81%93%E5%85%89%E7%86%B1%E8%B2%BB&amp;start_date=2025-09-01&amp;end_date=2025-09-30&amp;fiscal_year_id=9737061",195875)</f>
        <v>195875</v>
      </c>
      <c r="I20" s="33">
        <f>HYPERLINK("https://secure.freee.co.jp/reports/general_ledgers/show?name=%E6%B0%B4%E9%81%93%E5%85%89%E7%86%B1%E8%B2%BB&amp;start_date=2025-10-01&amp;end_date=2025-10-31&amp;fiscal_year_id=9737061",97557)</f>
        <v>97557</v>
      </c>
      <c r="J20" s="33">
        <f>HYPERLINK("https://secure.freee.co.jp/reports/general_ledgers/show?name=%E6%B0%B4%E9%81%93%E5%85%89%E7%86%B1%E8%B2%BB&amp;start_date=2025-11-01&amp;end_date=2025-11-30&amp;fiscal_year_id=9737061",196227)</f>
        <v>196227</v>
      </c>
      <c r="K20" s="30">
        <f>HYPERLINK("https://secure.freee.co.jp/reports/general_ledgers/show?name=%E6%B0%B4%E9%81%93%E5%85%89%E7%86%B1%E8%B2%BB&amp;start_date=2025-12-01&amp;end_date=2025-12-31&amp;fiscal_year_id=9737061",127673)</f>
        <v>127673</v>
      </c>
      <c r="L20" s="30">
        <f>HYPERLINK("https://secure.freee.co.jp/reports/general_ledgers/show?name=%E6%B0%B4%E9%81%93%E5%85%89%E7%86%B1%E8%B2%BB&amp;start_date=2026-01-01&amp;end_date=2026-01-31&amp;fiscal_year_id=9737061",163791)</f>
        <v>163791</v>
      </c>
      <c r="M20" s="37">
        <f>HYPERLINK("https://secure.freee.co.jp/reports/general_ledgers/show?name=%E6%B0%B4%E9%81%93%E5%85%89%E7%86%B1%E8%B2%BB&amp;start_date=2026-02-01&amp;end_date=2026-02-28&amp;fiscal_year_id=9737061",92912)</f>
        <v>92912</v>
      </c>
      <c r="N20" s="38">
        <f>SUM(B20:M20)</f>
        <v>1687570</v>
      </c>
      <c r="O20" s="32" t="s">
        <v>275</v>
      </c>
    </row>
    <row r="21" spans="1:15" x14ac:dyDescent="0.25">
      <c r="A21" s="10" t="s">
        <v>360</v>
      </c>
      <c r="B21" s="30">
        <f>HYPERLINK("https://secure.freee.co.jp/reports/general_ledgers/show?name=%E6%96%B0%E8%81%9E%E5%9B%B3%E6%9B%B8%E8%B2%BB&amp;start_date=2025-03-01&amp;end_date=2025-03-31&amp;fiscal_year_id=9737061",980)</f>
        <v>980</v>
      </c>
      <c r="C21" s="30">
        <f>HYPERLINK("https://secure.freee.co.jp/reports/general_ledgers/show?name=%E6%96%B0%E8%81%9E%E5%9B%B3%E6%9B%B8%E8%B2%BB&amp;start_date=2025-04-01&amp;end_date=2025-04-30&amp;fiscal_year_id=9737061",980)</f>
        <v>980</v>
      </c>
      <c r="D21" s="30">
        <f>HYPERLINK("https://secure.freee.co.jp/reports/general_ledgers/show?name=%E6%96%B0%E8%81%9E%E5%9B%B3%E6%9B%B8%E8%B2%BB&amp;start_date=2025-05-01&amp;end_date=2025-05-31&amp;fiscal_year_id=9737061",980)</f>
        <v>980</v>
      </c>
      <c r="E21" s="30">
        <f>HYPERLINK("https://secure.freee.co.jp/reports/general_ledgers/show?name=%E6%96%B0%E8%81%9E%E5%9B%B3%E6%9B%B8%E8%B2%BB&amp;start_date=2025-06-01&amp;end_date=2025-06-30&amp;fiscal_year_id=9737061",980)</f>
        <v>980</v>
      </c>
      <c r="F21" s="30">
        <f>HYPERLINK("https://secure.freee.co.jp/reports/general_ledgers/show?name=%E6%96%B0%E8%81%9E%E5%9B%B3%E6%9B%B8%E8%B2%BB&amp;start_date=2025-07-01&amp;end_date=2025-07-31&amp;fiscal_year_id=9737061",980)</f>
        <v>980</v>
      </c>
      <c r="G21" s="33">
        <f>HYPERLINK("https://secure.freee.co.jp/reports/general_ledgers/show?name=%E6%96%B0%E8%81%9E%E5%9B%B3%E6%9B%B8%E8%B2%BB&amp;start_date=2025-08-01&amp;end_date=2025-08-31&amp;fiscal_year_id=9737061",17824)</f>
        <v>17824</v>
      </c>
      <c r="H21" s="30">
        <f>HYPERLINK("https://secure.freee.co.jp/reports/general_ledgers/show?name=%E6%96%B0%E8%81%9E%E5%9B%B3%E6%9B%B8%E8%B2%BB&amp;start_date=2025-09-01&amp;end_date=2025-09-30&amp;fiscal_year_id=9737061",10681)</f>
        <v>10681</v>
      </c>
      <c r="I21" s="30">
        <f>HYPERLINK("https://secure.freee.co.jp/reports/general_ledgers/show?name=%E6%96%B0%E8%81%9E%E5%9B%B3%E6%9B%B8%E8%B2%BB&amp;start_date=2025-10-01&amp;end_date=2025-10-31&amp;fiscal_year_id=9737061",12486)</f>
        <v>12486</v>
      </c>
      <c r="J21" s="30">
        <f>HYPERLINK("https://secure.freee.co.jp/reports/general_ledgers/show?name=%E6%96%B0%E8%81%9E%E5%9B%B3%E6%9B%B8%E8%B2%BB&amp;start_date=2025-11-01&amp;end_date=2025-11-30&amp;fiscal_year_id=9737061",6363)</f>
        <v>6363</v>
      </c>
      <c r="K21" s="30">
        <f>HYPERLINK("https://secure.freee.co.jp/reports/general_ledgers/show?name=%E6%96%B0%E8%81%9E%E5%9B%B3%E6%9B%B8%E8%B2%BB&amp;start_date=2025-12-01&amp;end_date=2025-12-31&amp;fiscal_year_id=9737061",7343)</f>
        <v>7343</v>
      </c>
      <c r="L21" s="33">
        <f>HYPERLINK("https://secure.freee.co.jp/reports/general_ledgers/show?name=%E6%96%B0%E8%81%9E%E5%9B%B3%E6%9B%B8%E8%B2%BB&amp;start_date=2026-01-01&amp;end_date=2026-01-31&amp;fiscal_year_id=9737061",12058)</f>
        <v>12058</v>
      </c>
      <c r="M21" s="33">
        <f>HYPERLINK("https://secure.freee.co.jp/reports/general_ledgers/show?name=%E6%96%B0%E8%81%9E%E5%9B%B3%E6%9B%B8%E8%B2%BB&amp;start_date=2026-02-01&amp;end_date=2026-02-28&amp;fiscal_year_id=9737061",44917)</f>
        <v>44917</v>
      </c>
      <c r="N21" s="38">
        <f>SUM(B21:M21)</f>
        <v>116572</v>
      </c>
      <c r="O21" s="32" t="s">
        <v>275</v>
      </c>
    </row>
    <row r="22" spans="1:15" x14ac:dyDescent="0.25">
      <c r="A22" s="10" t="s">
        <v>361</v>
      </c>
      <c r="B22" s="43">
        <v>0</v>
      </c>
      <c r="C22" s="43">
        <v>0</v>
      </c>
      <c r="D22" s="43">
        <v>0</v>
      </c>
      <c r="E22" s="30">
        <f>HYPERLINK("https://secure.freee.co.jp/reports/general_ledgers/show?name=%E8%AB%B8%E4%BC%9A%E8%B2%BB&amp;start_date=2025-06-01&amp;end_date=2025-06-30&amp;fiscal_year_id=9737061",165000)</f>
        <v>165000</v>
      </c>
      <c r="F22" s="44">
        <v>0</v>
      </c>
      <c r="G22" s="30">
        <f>HYPERLINK("https://secure.freee.co.jp/reports/general_ledgers/show?name=%E8%AB%B8%E4%BC%9A%E8%B2%BB&amp;start_date=2025-08-01&amp;end_date=2025-08-31&amp;fiscal_year_id=9737061",3998)</f>
        <v>3998</v>
      </c>
      <c r="H22" s="44">
        <v>0</v>
      </c>
      <c r="I22" s="43">
        <v>0</v>
      </c>
      <c r="J22" s="43">
        <v>0</v>
      </c>
      <c r="K22" s="43">
        <v>0</v>
      </c>
      <c r="L22" s="43">
        <v>0</v>
      </c>
      <c r="M22" s="45">
        <v>0</v>
      </c>
      <c r="N22" s="38">
        <f>SUM(B22:M22)</f>
        <v>168998</v>
      </c>
      <c r="O22" s="32" t="s">
        <v>275</v>
      </c>
    </row>
    <row r="23" spans="1:15" x14ac:dyDescent="0.25">
      <c r="A23" s="10" t="s">
        <v>362</v>
      </c>
      <c r="B23" s="30">
        <f>HYPERLINK("https://secure.freee.co.jp/reports/general_ledgers/show?name=%E6%94%AF%E6%89%95%E6%89%8B%E6%95%B0%E6%96%99&amp;start_date=2025-03-01&amp;end_date=2025-03-31&amp;fiscal_year_id=9737061",136654)</f>
        <v>136654</v>
      </c>
      <c r="C23" s="33">
        <f>HYPERLINK("https://secure.freee.co.jp/reports/general_ledgers/show?name=%E6%94%AF%E6%89%95%E6%89%8B%E6%95%B0%E6%96%99&amp;start_date=2025-04-01&amp;end_date=2025-04-30&amp;fiscal_year_id=9737061",274532)</f>
        <v>274532</v>
      </c>
      <c r="D23" s="30">
        <f>HYPERLINK("https://secure.freee.co.jp/reports/general_ledgers/show?name=%E6%94%AF%E6%89%95%E6%89%8B%E6%95%B0%E6%96%99&amp;start_date=2025-05-01&amp;end_date=2025-05-31&amp;fiscal_year_id=9737061",345228)</f>
        <v>345228</v>
      </c>
      <c r="E23" s="30">
        <f>HYPERLINK("https://secure.freee.co.jp/reports/general_ledgers/show?name=%E6%94%AF%E6%89%95%E6%89%8B%E6%95%B0%E6%96%99&amp;start_date=2025-06-01&amp;end_date=2025-06-30&amp;fiscal_year_id=9737061",200583)</f>
        <v>200583</v>
      </c>
      <c r="F23" s="30">
        <f>HYPERLINK("https://secure.freee.co.jp/reports/general_ledgers/show?name=%E6%94%AF%E6%89%95%E6%89%8B%E6%95%B0%E6%96%99&amp;start_date=2025-07-01&amp;end_date=2025-07-31&amp;fiscal_year_id=9737061",175134)</f>
        <v>175134</v>
      </c>
      <c r="G23" s="30">
        <f>HYPERLINK("https://secure.freee.co.jp/reports/general_ledgers/show?name=%E6%94%AF%E6%89%95%E6%89%8B%E6%95%B0%E6%96%99&amp;start_date=2025-08-01&amp;end_date=2025-08-31&amp;fiscal_year_id=9737061",135616)</f>
        <v>135616</v>
      </c>
      <c r="H23" s="30">
        <f>HYPERLINK("https://secure.freee.co.jp/reports/general_ledgers/show?name=%E6%94%AF%E6%89%95%E6%89%8B%E6%95%B0%E6%96%99&amp;start_date=2025-09-01&amp;end_date=2025-09-30&amp;fiscal_year_id=9737061",173924)</f>
        <v>173924</v>
      </c>
      <c r="I23" s="30">
        <f>HYPERLINK("https://secure.freee.co.jp/reports/general_ledgers/show?name=%E6%94%AF%E6%89%95%E6%89%8B%E6%95%B0%E6%96%99&amp;start_date=2025-10-01&amp;end_date=2025-10-31&amp;fiscal_year_id=9737061",147073)</f>
        <v>147073</v>
      </c>
      <c r="J23" s="30">
        <f>HYPERLINK("https://secure.freee.co.jp/reports/general_ledgers/show?name=%E6%94%AF%E6%89%95%E6%89%8B%E6%95%B0%E6%96%99&amp;start_date=2025-11-01&amp;end_date=2025-11-30&amp;fiscal_year_id=9737061",170583)</f>
        <v>170583</v>
      </c>
      <c r="K23" s="30">
        <f>HYPERLINK("https://secure.freee.co.jp/reports/general_ledgers/show?name=%E6%94%AF%E6%89%95%E6%89%8B%E6%95%B0%E6%96%99&amp;start_date=2025-12-01&amp;end_date=2025-12-31&amp;fiscal_year_id=9737061",166825)</f>
        <v>166825</v>
      </c>
      <c r="L23" s="30">
        <f>HYPERLINK("https://secure.freee.co.jp/reports/general_ledgers/show?name=%E6%94%AF%E6%89%95%E6%89%8B%E6%95%B0%E6%96%99&amp;start_date=2026-01-01&amp;end_date=2026-01-31&amp;fiscal_year_id=9737061",138514)</f>
        <v>138514</v>
      </c>
      <c r="M23" s="33">
        <f>HYPERLINK("https://secure.freee.co.jp/reports/general_ledgers/show?name=%E6%94%AF%E6%89%95%E6%89%8B%E6%95%B0%E6%96%99&amp;start_date=2026-02-01&amp;end_date=2026-02-28&amp;fiscal_year_id=9737061",231821)</f>
        <v>231821</v>
      </c>
      <c r="N23" s="38">
        <f>SUM(B23:M23)</f>
        <v>2296487</v>
      </c>
      <c r="O23" s="32" t="s">
        <v>275</v>
      </c>
    </row>
    <row r="24" spans="1:15" x14ac:dyDescent="0.25">
      <c r="A24" s="10" t="s">
        <v>363</v>
      </c>
      <c r="B24" s="43">
        <v>0</v>
      </c>
      <c r="C24" s="43">
        <v>0</v>
      </c>
      <c r="D24" s="43">
        <v>0</v>
      </c>
      <c r="E24" s="30">
        <f>HYPERLINK("https://secure.freee.co.jp/reports/general_ledgers/show?name=%E8%BB%8A%E4%B8%A1%E8%B2%BB&amp;start_date=2025-06-01&amp;end_date=2025-06-30&amp;fiscal_year_id=9737061",171600)</f>
        <v>171600</v>
      </c>
      <c r="F24" s="33">
        <f>HYPERLINK("https://secure.freee.co.jp/reports/general_ledgers/show?name=%E8%BB%8A%E4%B8%A1%E8%B2%BB&amp;start_date=2025-07-01&amp;end_date=2025-07-31&amp;fiscal_year_id=9737061",360800)</f>
        <v>360800</v>
      </c>
      <c r="G24" s="44">
        <v>0</v>
      </c>
      <c r="H24" s="30">
        <f>HYPERLINK("https://secure.freee.co.jp/reports/general_ledgers/show?name=%E8%BB%8A%E4%B8%A1%E8%B2%BB&amp;start_date=2025-09-01&amp;end_date=2025-09-30&amp;fiscal_year_id=9737061",849050)</f>
        <v>849050</v>
      </c>
      <c r="I24" s="44">
        <v>0</v>
      </c>
      <c r="J24" s="43">
        <v>0</v>
      </c>
      <c r="K24" s="43">
        <v>0</v>
      </c>
      <c r="L24" s="43">
        <v>0</v>
      </c>
      <c r="M24" s="45">
        <v>0</v>
      </c>
      <c r="N24" s="38">
        <f>SUM(B24:M24)</f>
        <v>1381450</v>
      </c>
      <c r="O24" s="32" t="s">
        <v>275</v>
      </c>
    </row>
    <row r="25" spans="1:15" x14ac:dyDescent="0.25">
      <c r="A25" s="10" t="s">
        <v>364</v>
      </c>
      <c r="B25" s="30">
        <f>HYPERLINK("https://secure.freee.co.jp/reports/general_ledgers/show?name=%E5%9C%B0%E4%BB%A3%E5%AE%B6%E8%B3%83&amp;start_date=2025-03-01&amp;end_date=2025-03-31&amp;fiscal_year_id=9737061",921160)</f>
        <v>921160</v>
      </c>
      <c r="C25" s="30">
        <f>HYPERLINK("https://secure.freee.co.jp/reports/general_ledgers/show?name=%E5%9C%B0%E4%BB%A3%E5%AE%B6%E8%B3%83&amp;start_date=2025-04-01&amp;end_date=2025-04-30&amp;fiscal_year_id=9737061",921160)</f>
        <v>921160</v>
      </c>
      <c r="D25" s="30">
        <f>HYPERLINK("https://secure.freee.co.jp/reports/general_ledgers/show?name=%E5%9C%B0%E4%BB%A3%E5%AE%B6%E8%B3%83&amp;start_date=2025-05-01&amp;end_date=2025-05-31&amp;fiscal_year_id=9737061",921160)</f>
        <v>921160</v>
      </c>
      <c r="E25" s="30">
        <f>HYPERLINK("https://secure.freee.co.jp/reports/general_ledgers/show?name=%E5%9C%B0%E4%BB%A3%E5%AE%B6%E8%B3%83&amp;start_date=2025-06-01&amp;end_date=2025-06-30&amp;fiscal_year_id=9737061",921160)</f>
        <v>921160</v>
      </c>
      <c r="F25" s="30">
        <f>HYPERLINK("https://secure.freee.co.jp/reports/general_ledgers/show?name=%E5%9C%B0%E4%BB%A3%E5%AE%B6%E8%B3%83&amp;start_date=2025-07-01&amp;end_date=2025-07-31&amp;fiscal_year_id=9737061",921160)</f>
        <v>921160</v>
      </c>
      <c r="G25" s="30">
        <f>HYPERLINK("https://secure.freee.co.jp/reports/general_ledgers/show?name=%E5%9C%B0%E4%BB%A3%E5%AE%B6%E8%B3%83&amp;start_date=2025-08-01&amp;end_date=2025-08-31&amp;fiscal_year_id=9737061",921160)</f>
        <v>921160</v>
      </c>
      <c r="H25" s="30">
        <f>HYPERLINK("https://secure.freee.co.jp/reports/general_ledgers/show?name=%E5%9C%B0%E4%BB%A3%E5%AE%B6%E8%B3%83&amp;start_date=2025-09-01&amp;end_date=2025-09-30&amp;fiscal_year_id=9737061",921160)</f>
        <v>921160</v>
      </c>
      <c r="I25" s="30">
        <f>HYPERLINK("https://secure.freee.co.jp/reports/general_ledgers/show?name=%E5%9C%B0%E4%BB%A3%E5%AE%B6%E8%B3%83&amp;start_date=2025-10-01&amp;end_date=2025-10-31&amp;fiscal_year_id=9737061",921160)</f>
        <v>921160</v>
      </c>
      <c r="J25" s="30">
        <f>HYPERLINK("https://secure.freee.co.jp/reports/general_ledgers/show?name=%E5%9C%B0%E4%BB%A3%E5%AE%B6%E8%B3%83&amp;start_date=2025-11-01&amp;end_date=2025-11-30&amp;fiscal_year_id=9737061",921160)</f>
        <v>921160</v>
      </c>
      <c r="K25" s="30">
        <f>HYPERLINK("https://secure.freee.co.jp/reports/general_ledgers/show?name=%E5%9C%B0%E4%BB%A3%E5%AE%B6%E8%B3%83&amp;start_date=2025-12-01&amp;end_date=2025-12-31&amp;fiscal_year_id=9737061",921160)</f>
        <v>921160</v>
      </c>
      <c r="L25" s="30">
        <f>HYPERLINK("https://secure.freee.co.jp/reports/general_ledgers/show?name=%E5%9C%B0%E4%BB%A3%E5%AE%B6%E8%B3%83&amp;start_date=2026-01-01&amp;end_date=2026-01-31&amp;fiscal_year_id=9737061",921160)</f>
        <v>921160</v>
      </c>
      <c r="M25" s="37">
        <f>HYPERLINK("https://secure.freee.co.jp/reports/general_ledgers/show?name=%E5%9C%B0%E4%BB%A3%E5%AE%B6%E8%B3%83&amp;start_date=2026-02-01&amp;end_date=2026-02-28&amp;fiscal_year_id=9737061",934976)</f>
        <v>934976</v>
      </c>
      <c r="N25" s="38">
        <f>SUM(B25:M25)</f>
        <v>11067736</v>
      </c>
      <c r="O25" s="32" t="s">
        <v>275</v>
      </c>
    </row>
    <row r="26" spans="1:15" x14ac:dyDescent="0.25">
      <c r="A26" s="10" t="s">
        <v>365</v>
      </c>
      <c r="B26" s="30">
        <f>HYPERLINK("https://secure.freee.co.jp/reports/general_ledgers/show?name=%E4%BF%9D%E9%99%BA%E6%96%99&amp;start_date=2025-03-01&amp;end_date=2025-03-31&amp;fiscal_year_id=9737061",77190)</f>
        <v>77190</v>
      </c>
      <c r="C26" s="33">
        <f>HYPERLINK("https://secure.freee.co.jp/reports/general_ledgers/show?name=%E4%BF%9D%E9%99%BA%E6%96%99&amp;start_date=2025-04-01&amp;end_date=2025-04-30&amp;fiscal_year_id=9737061",29490)</f>
        <v>29490</v>
      </c>
      <c r="D26" s="30">
        <f>HYPERLINK("https://secure.freee.co.jp/reports/general_ledgers/show?name=%E4%BF%9D%E9%99%BA%E6%96%99&amp;start_date=2025-05-01&amp;end_date=2025-05-31&amp;fiscal_year_id=9737061",29490)</f>
        <v>29490</v>
      </c>
      <c r="E26" s="30">
        <f>HYPERLINK("https://secure.freee.co.jp/reports/general_ledgers/show?name=%E4%BF%9D%E9%99%BA%E6%96%99&amp;start_date=2025-06-01&amp;end_date=2025-06-30&amp;fiscal_year_id=9737061",38800)</f>
        <v>38800</v>
      </c>
      <c r="F26" s="30">
        <f>HYPERLINK("https://secure.freee.co.jp/reports/general_ledgers/show?name=%E4%BF%9D%E9%99%BA%E6%96%99&amp;start_date=2025-07-01&amp;end_date=2025-07-31&amp;fiscal_year_id=9737061",51790)</f>
        <v>51790</v>
      </c>
      <c r="G26" s="30">
        <f>HYPERLINK("https://secure.freee.co.jp/reports/general_ledgers/show?name=%E4%BF%9D%E9%99%BA%E6%96%99&amp;start_date=2025-08-01&amp;end_date=2025-08-31&amp;fiscal_year_id=9737061",38800)</f>
        <v>38800</v>
      </c>
      <c r="H26" s="30">
        <f>HYPERLINK("https://secure.freee.co.jp/reports/general_ledgers/show?name=%E4%BF%9D%E9%99%BA%E6%96%99&amp;start_date=2025-09-01&amp;end_date=2025-09-30&amp;fiscal_year_id=9737061",38800)</f>
        <v>38800</v>
      </c>
      <c r="I26" s="30">
        <f>HYPERLINK("https://secure.freee.co.jp/reports/general_ledgers/show?name=%E4%BF%9D%E9%99%BA%E6%96%99&amp;start_date=2025-10-01&amp;end_date=2025-10-31&amp;fiscal_year_id=9737061",38800)</f>
        <v>38800</v>
      </c>
      <c r="J26" s="30">
        <f>HYPERLINK("https://secure.freee.co.jp/reports/general_ledgers/show?name=%E4%BF%9D%E9%99%BA%E6%96%99&amp;start_date=2025-11-01&amp;end_date=2025-11-30&amp;fiscal_year_id=9737061",38800)</f>
        <v>38800</v>
      </c>
      <c r="K26" s="30">
        <f>HYPERLINK("https://secure.freee.co.jp/reports/general_ledgers/show?name=%E4%BF%9D%E9%99%BA%E6%96%99&amp;start_date=2025-12-01&amp;end_date=2025-12-31&amp;fiscal_year_id=9737061",38800)</f>
        <v>38800</v>
      </c>
      <c r="L26" s="33">
        <f>HYPERLINK("https://secure.freee.co.jp/reports/general_ledgers/show?name=%E4%BF%9D%E9%99%BA%E6%96%99&amp;start_date=2026-01-01&amp;end_date=2026-01-31&amp;fiscal_year_id=9737061",82130)</f>
        <v>82130</v>
      </c>
      <c r="M26" s="33">
        <f>HYPERLINK("https://secure.freee.co.jp/reports/general_ledgers/show?name=%E4%BF%9D%E9%99%BA%E6%96%99&amp;start_date=2026-02-01&amp;end_date=2026-02-28&amp;fiscal_year_id=9737061",38800)</f>
        <v>38800</v>
      </c>
      <c r="N26" s="38">
        <f>SUM(B26:M26)</f>
        <v>541690</v>
      </c>
      <c r="O26" s="32" t="s">
        <v>275</v>
      </c>
    </row>
    <row r="27" spans="1:15" x14ac:dyDescent="0.25">
      <c r="A27" s="10" t="s">
        <v>366</v>
      </c>
      <c r="B27" s="43">
        <v>0</v>
      </c>
      <c r="C27" s="43">
        <v>0</v>
      </c>
      <c r="D27" s="43">
        <v>0</v>
      </c>
      <c r="E27" s="30">
        <f>HYPERLINK("https://secure.freee.co.jp/reports/general_ledgers/show?name=%E7%A7%9F%E7%A8%8E%E5%85%AC%E8%AA%B2&amp;start_date=2025-06-01&amp;end_date=2025-06-30&amp;fiscal_year_id=9737061",66500)</f>
        <v>66500</v>
      </c>
      <c r="F27" s="44">
        <v>0</v>
      </c>
      <c r="G27" s="30">
        <f>HYPERLINK("https://secure.freee.co.jp/reports/general_ledgers/show?name=%E7%A7%9F%E7%A8%8E%E5%85%AC%E8%AA%B2&amp;start_date=2025-08-01&amp;end_date=2025-08-31&amp;fiscal_year_id=9737061",23700)</f>
        <v>23700</v>
      </c>
      <c r="H27" s="33">
        <f>HYPERLINK("https://secure.freee.co.jp/reports/general_ledgers/show?name=%E7%A7%9F%E7%A8%8E%E5%85%AC%E8%AA%B2&amp;start_date=2025-09-01&amp;end_date=2025-09-30&amp;fiscal_year_id=9737061",60950)</f>
        <v>60950</v>
      </c>
      <c r="I27" s="33">
        <f>HYPERLINK("https://secure.freee.co.jp/reports/general_ledgers/show?name=%E7%A7%9F%E7%A8%8E%E5%85%AC%E8%AA%B2&amp;start_date=2025-10-01&amp;end_date=2025-10-31&amp;fiscal_year_id=9737061",1721600)</f>
        <v>1721600</v>
      </c>
      <c r="J27" s="33">
        <f>HYPERLINK("https://secure.freee.co.jp/reports/general_ledgers/show?name=%E7%A7%9F%E7%A8%8E%E5%85%AC%E8%AA%B2&amp;start_date=2025-11-01&amp;end_date=2025-11-30&amp;fiscal_year_id=9737061",22000)</f>
        <v>22000</v>
      </c>
      <c r="K27" s="44">
        <v>0</v>
      </c>
      <c r="L27" s="43">
        <v>0</v>
      </c>
      <c r="M27" s="37">
        <f>HYPERLINK("https://secure.freee.co.jp/reports/general_ledgers/show?name=%E7%A7%9F%E7%A8%8E%E5%85%AC%E8%AA%B2&amp;start_date=2026-02-01&amp;end_date=2026-02-28&amp;fiscal_year_id=9737061",22000)</f>
        <v>22000</v>
      </c>
      <c r="N27" s="38">
        <f>SUM(B27:M27)</f>
        <v>1916750</v>
      </c>
      <c r="O27" s="32" t="s">
        <v>275</v>
      </c>
    </row>
    <row r="28" spans="1:15" x14ac:dyDescent="0.25">
      <c r="A28" s="10" t="s">
        <v>367</v>
      </c>
      <c r="B28" s="30">
        <f>HYPERLINK("https://secure.freee.co.jp/reports/general_ledgers/show?name=%E6%B8%9B%E4%BE%A1%E5%84%9F%E5%8D%B4%E8%B2%BB&amp;start_date=2025-03-01&amp;end_date=2025-03-31&amp;fiscal_year_id=9737061",113278)</f>
        <v>113278</v>
      </c>
      <c r="C28" s="30">
        <f>HYPERLINK("https://secure.freee.co.jp/reports/general_ledgers/show?name=%E6%B8%9B%E4%BE%A1%E5%84%9F%E5%8D%B4%E8%B2%BB&amp;start_date=2025-04-01&amp;end_date=2025-04-30&amp;fiscal_year_id=9737061",113278)</f>
        <v>113278</v>
      </c>
      <c r="D28" s="30">
        <f>HYPERLINK("https://secure.freee.co.jp/reports/general_ledgers/show?name=%E6%B8%9B%E4%BE%A1%E5%84%9F%E5%8D%B4%E8%B2%BB&amp;start_date=2025-05-01&amp;end_date=2025-05-31&amp;fiscal_year_id=9737061",113278)</f>
        <v>113278</v>
      </c>
      <c r="E28" s="30">
        <f>HYPERLINK("https://secure.freee.co.jp/reports/general_ledgers/show?name=%E6%B8%9B%E4%BE%A1%E5%84%9F%E5%8D%B4%E8%B2%BB&amp;start_date=2025-06-01&amp;end_date=2025-06-30&amp;fiscal_year_id=9737061",128811)</f>
        <v>128811</v>
      </c>
      <c r="F28" s="30">
        <f>HYPERLINK("https://secure.freee.co.jp/reports/general_ledgers/show?name=%E6%B8%9B%E4%BE%A1%E5%84%9F%E5%8D%B4%E8%B2%BB&amp;start_date=2025-07-01&amp;end_date=2025-07-31&amp;fiscal_year_id=9737061",128811)</f>
        <v>128811</v>
      </c>
      <c r="G28" s="30">
        <f>HYPERLINK("https://secure.freee.co.jp/reports/general_ledgers/show?name=%E6%B8%9B%E4%BE%A1%E5%84%9F%E5%8D%B4%E8%B2%BB&amp;start_date=2025-08-01&amp;end_date=2025-08-31&amp;fiscal_year_id=9737061",128811)</f>
        <v>128811</v>
      </c>
      <c r="H28" s="30">
        <f>HYPERLINK("https://secure.freee.co.jp/reports/general_ledgers/show?name=%E6%B8%9B%E4%BE%A1%E5%84%9F%E5%8D%B4%E8%B2%BB&amp;start_date=2025-09-01&amp;end_date=2025-09-30&amp;fiscal_year_id=9737061",128811)</f>
        <v>128811</v>
      </c>
      <c r="I28" s="30">
        <f>HYPERLINK("https://secure.freee.co.jp/reports/general_ledgers/show?name=%E6%B8%9B%E4%BE%A1%E5%84%9F%E5%8D%B4%E8%B2%BB&amp;start_date=2025-10-01&amp;end_date=2025-10-31&amp;fiscal_year_id=9737061",128811)</f>
        <v>128811</v>
      </c>
      <c r="J28" s="33">
        <f>HYPERLINK("https://secure.freee.co.jp/reports/general_ledgers/show?name=%E6%B8%9B%E4%BE%A1%E5%84%9F%E5%8D%B4%E8%B2%BB&amp;start_date=2025-11-01&amp;end_date=2025-11-30&amp;fiscal_year_id=9737061",202907)</f>
        <v>202907</v>
      </c>
      <c r="K28" s="30">
        <f>HYPERLINK("https://secure.freee.co.jp/reports/general_ledgers/show?name=%E6%B8%9B%E4%BE%A1%E5%84%9F%E5%8D%B4%E8%B2%BB&amp;start_date=2025-12-01&amp;end_date=2025-12-31&amp;fiscal_year_id=9737061",202907)</f>
        <v>202907</v>
      </c>
      <c r="L28" s="30">
        <f>HYPERLINK("https://secure.freee.co.jp/reports/general_ledgers/show?name=%E6%B8%9B%E4%BE%A1%E5%84%9F%E5%8D%B4%E8%B2%BB&amp;start_date=2026-01-01&amp;end_date=2026-01-31&amp;fiscal_year_id=9737061",202907)</f>
        <v>202907</v>
      </c>
      <c r="M28" s="37">
        <f>HYPERLINK("https://secure.freee.co.jp/reports/general_ledgers/show?name=%E6%B8%9B%E4%BE%A1%E5%84%9F%E5%8D%B4%E8%B2%BB&amp;start_date=2026-02-01&amp;end_date=2026-02-28&amp;fiscal_year_id=9737061",202949)</f>
        <v>202949</v>
      </c>
      <c r="N28" s="38">
        <f>SUM(B28:M28)</f>
        <v>1795559</v>
      </c>
      <c r="O28" s="32" t="s">
        <v>275</v>
      </c>
    </row>
    <row r="29" spans="1:15" x14ac:dyDescent="0.25">
      <c r="A29" s="10" t="s">
        <v>368</v>
      </c>
      <c r="B29" s="30">
        <f>HYPERLINK("https://secure.freee.co.jp/reports/general_ledgers/show?name=%E7%B9%B0%E5%BB%B6%E8%B3%87%E7%94%A3%E5%84%9F%E5%8D%B4%28%E8%B2%A9%29&amp;start_date=2025-03-01&amp;end_date=2025-03-31&amp;fiscal_year_id=9737061",30195)</f>
        <v>30195</v>
      </c>
      <c r="C29" s="30">
        <f>HYPERLINK("https://secure.freee.co.jp/reports/general_ledgers/show?name=%E7%B9%B0%E5%BB%B6%E8%B3%87%E7%94%A3%E5%84%9F%E5%8D%B4%28%E8%B2%A9%29&amp;start_date=2025-04-01&amp;end_date=2025-04-30&amp;fiscal_year_id=9737061",30195)</f>
        <v>30195</v>
      </c>
      <c r="D29" s="30">
        <f>HYPERLINK("https://secure.freee.co.jp/reports/general_ledgers/show?name=%E7%B9%B0%E5%BB%B6%E8%B3%87%E7%94%A3%E5%84%9F%E5%8D%B4%28%E8%B2%A9%29&amp;start_date=2025-05-01&amp;end_date=2025-05-31&amp;fiscal_year_id=9737061",30195)</f>
        <v>30195</v>
      </c>
      <c r="E29" s="30">
        <f>HYPERLINK("https://secure.freee.co.jp/reports/general_ledgers/show?name=%E7%B9%B0%E5%BB%B6%E8%B3%87%E7%94%A3%E5%84%9F%E5%8D%B4%28%E8%B2%A9%29&amp;start_date=2025-06-01&amp;end_date=2025-06-30&amp;fiscal_year_id=9737061",30195)</f>
        <v>30195</v>
      </c>
      <c r="F29" s="30">
        <f>HYPERLINK("https://secure.freee.co.jp/reports/general_ledgers/show?name=%E7%B9%B0%E5%BB%B6%E8%B3%87%E7%94%A3%E5%84%9F%E5%8D%B4%28%E8%B2%A9%29&amp;start_date=2025-07-01&amp;end_date=2025-07-31&amp;fiscal_year_id=9737061",30195)</f>
        <v>30195</v>
      </c>
      <c r="G29" s="30">
        <f>HYPERLINK("https://secure.freee.co.jp/reports/general_ledgers/show?name=%E7%B9%B0%E5%BB%B6%E8%B3%87%E7%94%A3%E5%84%9F%E5%8D%B4%28%E8%B2%A9%29&amp;start_date=2025-08-01&amp;end_date=2025-08-31&amp;fiscal_year_id=9737061",30195)</f>
        <v>30195</v>
      </c>
      <c r="H29" s="30">
        <f>HYPERLINK("https://secure.freee.co.jp/reports/general_ledgers/show?name=%E7%B9%B0%E5%BB%B6%E8%B3%87%E7%94%A3%E5%84%9F%E5%8D%B4%28%E8%B2%A9%29&amp;start_date=2025-09-01&amp;end_date=2025-09-30&amp;fiscal_year_id=9737061",30195)</f>
        <v>30195</v>
      </c>
      <c r="I29" s="30">
        <f>HYPERLINK("https://secure.freee.co.jp/reports/general_ledgers/show?name=%E7%B9%B0%E5%BB%B6%E8%B3%87%E7%94%A3%E5%84%9F%E5%8D%B4%28%E8%B2%A9%29&amp;start_date=2025-10-01&amp;end_date=2025-10-31&amp;fiscal_year_id=9737061",30195)</f>
        <v>30195</v>
      </c>
      <c r="J29" s="30">
        <f>HYPERLINK("https://secure.freee.co.jp/reports/general_ledgers/show?name=%E7%B9%B0%E5%BB%B6%E8%B3%87%E7%94%A3%E5%84%9F%E5%8D%B4%28%E8%B2%A9%29&amp;start_date=2025-11-01&amp;end_date=2025-11-30&amp;fiscal_year_id=9737061",30195)</f>
        <v>30195</v>
      </c>
      <c r="K29" s="30">
        <f>HYPERLINK("https://secure.freee.co.jp/reports/general_ledgers/show?name=%E7%B9%B0%E5%BB%B6%E8%B3%87%E7%94%A3%E5%84%9F%E5%8D%B4%28%E8%B2%A9%29&amp;start_date=2025-12-01&amp;end_date=2025-12-31&amp;fiscal_year_id=9737061",30195)</f>
        <v>30195</v>
      </c>
      <c r="L29" s="30">
        <f>HYPERLINK("https://secure.freee.co.jp/reports/general_ledgers/show?name=%E7%B9%B0%E5%BB%B6%E8%B3%87%E7%94%A3%E5%84%9F%E5%8D%B4%28%E8%B2%A9%29&amp;start_date=2026-01-01&amp;end_date=2026-01-31&amp;fiscal_year_id=9737061",30195)</f>
        <v>30195</v>
      </c>
      <c r="M29" s="37">
        <f>HYPERLINK("https://secure.freee.co.jp/reports/general_ledgers/show?name=%E7%B9%B0%E5%BB%B6%E8%B3%87%E7%94%A3%E5%84%9F%E5%8D%B4%28%E8%B2%A9%29&amp;start_date=2026-02-01&amp;end_date=2026-02-28&amp;fiscal_year_id=9737061",30205)</f>
        <v>30205</v>
      </c>
      <c r="N29" s="38">
        <f>SUM(B29:M29)</f>
        <v>362350</v>
      </c>
      <c r="O29" s="32" t="s">
        <v>275</v>
      </c>
    </row>
    <row r="30" spans="1:15" x14ac:dyDescent="0.25">
      <c r="A30" s="10" t="s">
        <v>369</v>
      </c>
      <c r="B30" s="30">
        <f>HYPERLINK("https://secure.freee.co.jp/reports/general_ledgers/show?name=%E9%9B%91%E8%B2%BB&amp;start_date=2025-03-01&amp;end_date=2025-03-31&amp;fiscal_year_id=9737061",13560)</f>
        <v>13560</v>
      </c>
      <c r="C30" s="30">
        <f>HYPERLINK("https://secure.freee.co.jp/reports/general_ledgers/show?name=%E9%9B%91%E8%B2%BB&amp;start_date=2025-04-01&amp;end_date=2025-04-30&amp;fiscal_year_id=9737061",7820)</f>
        <v>7820</v>
      </c>
      <c r="D30" s="30">
        <f>HYPERLINK("https://secure.freee.co.jp/reports/general_ledgers/show?name=%E9%9B%91%E8%B2%BB&amp;start_date=2025-05-01&amp;end_date=2025-05-31&amp;fiscal_year_id=9737061",9174)</f>
        <v>9174</v>
      </c>
      <c r="E30" s="33">
        <f>HYPERLINK("https://secure.freee.co.jp/reports/general_ledgers/show?name=%E9%9B%91%E8%B2%BB&amp;start_date=2025-06-01&amp;end_date=2025-06-30&amp;fiscal_year_id=9737061",19730)</f>
        <v>19730</v>
      </c>
      <c r="F30" s="30">
        <f>HYPERLINK("https://secure.freee.co.jp/reports/general_ledgers/show?name=%E9%9B%91%E8%B2%BB&amp;start_date=2025-07-01&amp;end_date=2025-07-31&amp;fiscal_year_id=9737061",10620)</f>
        <v>10620</v>
      </c>
      <c r="G30" s="30">
        <f>HYPERLINK("https://secure.freee.co.jp/reports/general_ledgers/show?name=%E9%9B%91%E8%B2%BB&amp;start_date=2025-08-01&amp;end_date=2025-08-31&amp;fiscal_year_id=9737061",14808)</f>
        <v>14808</v>
      </c>
      <c r="H30" s="30">
        <f>HYPERLINK("https://secure.freee.co.jp/reports/general_ledgers/show?name=%E9%9B%91%E8%B2%BB&amp;start_date=2025-09-01&amp;end_date=2025-09-30&amp;fiscal_year_id=9737061",9420)</f>
        <v>9420</v>
      </c>
      <c r="I30" s="33">
        <f>HYPERLINK("https://secure.freee.co.jp/reports/general_ledgers/show?name=%E9%9B%91%E8%B2%BB&amp;start_date=2025-10-01&amp;end_date=2025-10-31&amp;fiscal_year_id=9737061",24840)</f>
        <v>24840</v>
      </c>
      <c r="J30" s="30">
        <f>HYPERLINK("https://secure.freee.co.jp/reports/general_ledgers/show?name=%E9%9B%91%E8%B2%BB&amp;start_date=2025-11-01&amp;end_date=2025-11-30&amp;fiscal_year_id=9737061",17960)</f>
        <v>17960</v>
      </c>
      <c r="K30" s="30">
        <f>HYPERLINK("https://secure.freee.co.jp/reports/general_ledgers/show?name=%E9%9B%91%E8%B2%BB&amp;start_date=2025-12-01&amp;end_date=2025-12-31&amp;fiscal_year_id=9737061",11730)</f>
        <v>11730</v>
      </c>
      <c r="L30" s="30">
        <f>HYPERLINK("https://secure.freee.co.jp/reports/general_ledgers/show?name=%E9%9B%91%E8%B2%BB&amp;start_date=2026-01-01&amp;end_date=2026-01-31&amp;fiscal_year_id=9737061",15640)</f>
        <v>15640</v>
      </c>
      <c r="M30" s="37">
        <f>HYPERLINK("https://secure.freee.co.jp/reports/general_ledgers/show?name=%E9%9B%91%E8%B2%BB&amp;start_date=2026-02-01&amp;end_date=2026-02-28&amp;fiscal_year_id=9737061",11020)</f>
        <v>11020</v>
      </c>
      <c r="N30" s="38">
        <f>SUM(B30:M30)</f>
        <v>166322</v>
      </c>
      <c r="O30" s="32" t="s">
        <v>275</v>
      </c>
    </row>
    <row r="31" spans="1:15" x14ac:dyDescent="0.25">
      <c r="A31" s="40" t="s">
        <v>370</v>
      </c>
      <c r="B31" s="41">
        <v>5320048</v>
      </c>
      <c r="C31" s="41">
        <v>5173702</v>
      </c>
      <c r="D31" s="41">
        <v>5548465</v>
      </c>
      <c r="E31" s="41">
        <v>6157513</v>
      </c>
      <c r="F31" s="41">
        <v>7625726</v>
      </c>
      <c r="G31" s="41">
        <v>6435361</v>
      </c>
      <c r="H31" s="41">
        <v>7292482</v>
      </c>
      <c r="I31" s="41">
        <v>8802143</v>
      </c>
      <c r="J31" s="41">
        <v>6363072</v>
      </c>
      <c r="K31" s="41">
        <v>7003178</v>
      </c>
      <c r="L31" s="41">
        <v>7312815</v>
      </c>
      <c r="M31" s="41">
        <v>4667998</v>
      </c>
      <c r="N31" s="41">
        <f>SUM(B31:M31)</f>
        <v>77702503</v>
      </c>
      <c r="O31" s="42"/>
    </row>
    <row r="32" spans="1:15" x14ac:dyDescent="0.25">
      <c r="A32" s="40" t="s">
        <v>371</v>
      </c>
      <c r="B32" s="41">
        <v>1740101</v>
      </c>
      <c r="C32" s="41">
        <v>1710176</v>
      </c>
      <c r="D32" s="41">
        <v>2703362</v>
      </c>
      <c r="E32" s="41">
        <v>2152619</v>
      </c>
      <c r="F32" s="41">
        <v>652946</v>
      </c>
      <c r="G32" s="41">
        <v>2304151</v>
      </c>
      <c r="H32" s="41">
        <v>274745</v>
      </c>
      <c r="I32" s="41">
        <v>-692859</v>
      </c>
      <c r="J32" s="41">
        <v>1396026</v>
      </c>
      <c r="K32" s="41">
        <v>2827051</v>
      </c>
      <c r="L32" s="41">
        <v>116287</v>
      </c>
      <c r="M32" s="41">
        <v>2056235</v>
      </c>
      <c r="N32" s="41">
        <f>SUM(B32:M32)</f>
        <v>17240840</v>
      </c>
      <c r="O32" s="42"/>
    </row>
    <row r="33" spans="1:15" x14ac:dyDescent="0.25">
      <c r="A33" s="10" t="s">
        <v>372</v>
      </c>
      <c r="B33" s="30">
        <f>HYPERLINK("https://secure.freee.co.jp/reports/general_ledgers/show?name=%E5%8F%97%E5%8F%96%E5%88%A9%E6%81%AF&amp;start_date=2025-03-01&amp;end_date=2025-03-31&amp;fiscal_year_id=9737061",615)</f>
        <v>615</v>
      </c>
      <c r="C33" s="44">
        <v>0</v>
      </c>
      <c r="D33" s="43">
        <v>0</v>
      </c>
      <c r="E33" s="43">
        <v>0</v>
      </c>
      <c r="F33" s="43">
        <v>0</v>
      </c>
      <c r="G33" s="30">
        <f>HYPERLINK("https://secure.freee.co.jp/reports/general_ledgers/show?name=%E5%8F%97%E5%8F%96%E5%88%A9%E6%81%AF&amp;start_date=2025-08-01&amp;end_date=2025-08-31&amp;fiscal_year_id=9737061",4669)</f>
        <v>4669</v>
      </c>
      <c r="H33" s="33">
        <f>HYPERLINK("https://secure.freee.co.jp/reports/general_ledgers/show?name=%E5%8F%97%E5%8F%96%E5%88%A9%E6%81%AF&amp;start_date=2025-09-01&amp;end_date=2025-09-30&amp;fiscal_year_id=9737061",1156)</f>
        <v>1156</v>
      </c>
      <c r="I33" s="44">
        <v>0</v>
      </c>
      <c r="J33" s="43">
        <v>0</v>
      </c>
      <c r="K33" s="43">
        <v>0</v>
      </c>
      <c r="L33" s="43">
        <v>0</v>
      </c>
      <c r="M33" s="37">
        <f>HYPERLINK("https://secure.freee.co.jp/reports/general_ledgers/show?name=%E5%8F%97%E5%8F%96%E5%88%A9%E6%81%AF&amp;start_date=2026-02-01&amp;end_date=2026-02-28&amp;fiscal_year_id=9737061",10985)</f>
        <v>10985</v>
      </c>
      <c r="N33" s="38">
        <f>SUM(B33:M33)</f>
        <v>17425</v>
      </c>
      <c r="O33" s="32" t="s">
        <v>275</v>
      </c>
    </row>
    <row r="34" spans="1:15" x14ac:dyDescent="0.25">
      <c r="A34" s="10" t="s">
        <v>373</v>
      </c>
      <c r="B34" s="43">
        <v>0</v>
      </c>
      <c r="C34" s="43">
        <v>0</v>
      </c>
      <c r="D34" s="43">
        <v>0</v>
      </c>
      <c r="E34" s="30">
        <f>HYPERLINK("https://secure.freee.co.jp/reports/general_ledgers/show?name=%E5%8F%97%E5%8F%96%E9%85%8D%E5%BD%93%E9%87%91&amp;start_date=2025-06-01&amp;end_date=2025-06-30&amp;fiscal_year_id=9737061",3000)</f>
        <v>3000</v>
      </c>
      <c r="F34" s="44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5">
        <v>0</v>
      </c>
      <c r="N34" s="38">
        <f>SUM(B34:M34)</f>
        <v>3000</v>
      </c>
      <c r="O34" s="32" t="s">
        <v>275</v>
      </c>
    </row>
    <row r="35" spans="1:15" x14ac:dyDescent="0.25">
      <c r="A35" s="10" t="s">
        <v>374</v>
      </c>
      <c r="B35" s="30">
        <f>HYPERLINK("https://secure.freee.co.jp/reports/general_ledgers/show?name=%E9%9B%91%E5%8F%8E%E5%85%A5&amp;start_date=2025-03-01&amp;end_date=2025-03-31&amp;fiscal_year_id=9737061",12100)</f>
        <v>12100</v>
      </c>
      <c r="C35" s="33">
        <f>HYPERLINK("https://secure.freee.co.jp/reports/general_ledgers/show?name=%E9%9B%91%E5%8F%8E%E5%85%A5&amp;start_date=2025-04-01&amp;end_date=2025-04-30&amp;fiscal_year_id=9737061",6028666)</f>
        <v>6028666</v>
      </c>
      <c r="D35" s="33">
        <f>HYPERLINK("https://secure.freee.co.jp/reports/general_ledgers/show?name=%E9%9B%91%E5%8F%8E%E5%85%A5&amp;start_date=2025-05-01&amp;end_date=2025-05-31&amp;fiscal_year_id=9737061",14715)</f>
        <v>14715</v>
      </c>
      <c r="E35" s="33">
        <f>HYPERLINK("https://secure.freee.co.jp/reports/general_ledgers/show?name=%E9%9B%91%E5%8F%8E%E5%85%A5&amp;start_date=2025-06-01&amp;end_date=2025-06-30&amp;fiscal_year_id=9737061",120241)</f>
        <v>120241</v>
      </c>
      <c r="F35" s="33">
        <f>HYPERLINK("https://secure.freee.co.jp/reports/general_ledgers/show?name=%E9%9B%91%E5%8F%8E%E5%85%A5&amp;start_date=2025-07-01&amp;end_date=2025-07-31&amp;fiscal_year_id=9737061",15400)</f>
        <v>15400</v>
      </c>
      <c r="G35" s="30">
        <f>HYPERLINK("https://secure.freee.co.jp/reports/general_ledgers/show?name=%E9%9B%91%E5%8F%8E%E5%85%A5&amp;start_date=2025-08-01&amp;end_date=2025-08-31&amp;fiscal_year_id=9737061",14000)</f>
        <v>14000</v>
      </c>
      <c r="H35" s="30">
        <f>HYPERLINK("https://secure.freee.co.jp/reports/general_ledgers/show?name=%E9%9B%91%E5%8F%8E%E5%85%A5&amp;start_date=2025-09-01&amp;end_date=2025-09-30&amp;fiscal_year_id=9737061",14010)</f>
        <v>14010</v>
      </c>
      <c r="I35" s="30">
        <f>HYPERLINK("https://secure.freee.co.jp/reports/general_ledgers/show?name=%E9%9B%91%E5%8F%8E%E5%85%A5&amp;start_date=2025-10-01&amp;end_date=2025-10-31&amp;fiscal_year_id=9737061",14000)</f>
        <v>14000</v>
      </c>
      <c r="J35" s="30">
        <f>HYPERLINK("https://secure.freee.co.jp/reports/general_ledgers/show?name=%E9%9B%91%E5%8F%8E%E5%85%A5&amp;start_date=2025-11-01&amp;end_date=2025-11-30&amp;fiscal_year_id=9737061",14190)</f>
        <v>14190</v>
      </c>
      <c r="K35" s="30">
        <f>HYPERLINK("https://secure.freee.co.jp/reports/general_ledgers/show?name=%E9%9B%91%E5%8F%8E%E5%85%A5&amp;start_date=2025-12-01&amp;end_date=2025-12-31&amp;fiscal_year_id=9737061",14000)</f>
        <v>14000</v>
      </c>
      <c r="L35" s="30">
        <f>HYPERLINK("https://secure.freee.co.jp/reports/general_ledgers/show?name=%E9%9B%91%E5%8F%8E%E5%85%A5&amp;start_date=2026-01-01&amp;end_date=2026-01-31&amp;fiscal_year_id=9737061",14000)</f>
        <v>14000</v>
      </c>
      <c r="M35" s="37">
        <f>HYPERLINK("https://secure.freee.co.jp/reports/general_ledgers/show?name=%E9%9B%91%E5%8F%8E%E5%85%A5&amp;start_date=2026-02-01&amp;end_date=2026-02-28&amp;fiscal_year_id=9737061",14000)</f>
        <v>14000</v>
      </c>
      <c r="N35" s="38">
        <f>SUM(B35:M35)</f>
        <v>6289322</v>
      </c>
      <c r="O35" s="32" t="s">
        <v>275</v>
      </c>
    </row>
    <row r="36" spans="1:15" x14ac:dyDescent="0.25">
      <c r="A36" s="10" t="s">
        <v>375</v>
      </c>
      <c r="B36" s="30">
        <v>12715</v>
      </c>
      <c r="C36" s="30">
        <v>6028666</v>
      </c>
      <c r="D36" s="30">
        <v>14715</v>
      </c>
      <c r="E36" s="30">
        <v>123241</v>
      </c>
      <c r="F36" s="30">
        <v>15400</v>
      </c>
      <c r="G36" s="30">
        <v>18669</v>
      </c>
      <c r="H36" s="30">
        <v>15166</v>
      </c>
      <c r="I36" s="30">
        <v>14000</v>
      </c>
      <c r="J36" s="30">
        <v>14190</v>
      </c>
      <c r="K36" s="30">
        <v>14000</v>
      </c>
      <c r="L36" s="30">
        <v>14000</v>
      </c>
      <c r="M36" s="37">
        <v>24985</v>
      </c>
      <c r="N36" s="38">
        <f>SUM(B36:M36)</f>
        <v>6309747</v>
      </c>
      <c r="O36" s="39"/>
    </row>
    <row r="37" spans="1:15" x14ac:dyDescent="0.25">
      <c r="A37" s="10" t="s">
        <v>376</v>
      </c>
      <c r="B37" s="30">
        <f>HYPERLINK("https://secure.freee.co.jp/reports/general_ledgers/show?name=%E6%94%AF%E6%89%95%E5%88%A9%E6%81%AF&amp;start_date=2025-03-01&amp;end_date=2025-03-31&amp;fiscal_year_id=9737061",36907)</f>
        <v>36907</v>
      </c>
      <c r="C37" s="30">
        <f>HYPERLINK("https://secure.freee.co.jp/reports/general_ledgers/show?name=%E6%94%AF%E6%89%95%E5%88%A9%E6%81%AF&amp;start_date=2025-04-01&amp;end_date=2025-04-30&amp;fiscal_year_id=9737061",39690)</f>
        <v>39690</v>
      </c>
      <c r="D37" s="30">
        <f>HYPERLINK("https://secure.freee.co.jp/reports/general_ledgers/show?name=%E6%94%AF%E6%89%95%E5%88%A9%E6%81%AF&amp;start_date=2025-05-01&amp;end_date=2025-05-31&amp;fiscal_year_id=9737061",38022)</f>
        <v>38022</v>
      </c>
      <c r="E37" s="30">
        <f>HYPERLINK("https://secure.freee.co.jp/reports/general_ledgers/show?name=%E6%94%AF%E6%89%95%E5%88%A9%E6%81%AF&amp;start_date=2025-06-01&amp;end_date=2025-06-30&amp;fiscal_year_id=9737061",38420)</f>
        <v>38420</v>
      </c>
      <c r="F37" s="30">
        <f>HYPERLINK("https://secure.freee.co.jp/reports/general_ledgers/show?name=%E6%94%AF%E6%89%95%E5%88%A9%E6%81%AF&amp;start_date=2025-07-01&amp;end_date=2025-07-31&amp;fiscal_year_id=9737061",36777)</f>
        <v>36777</v>
      </c>
      <c r="G37" s="30">
        <f>HYPERLINK("https://secure.freee.co.jp/reports/general_ledgers/show?name=%E6%94%AF%E6%89%95%E5%88%A9%E6%81%AF&amp;start_date=2025-08-01&amp;end_date=2025-08-31&amp;fiscal_year_id=9737061",37149)</f>
        <v>37149</v>
      </c>
      <c r="H37" s="30">
        <f>HYPERLINK("https://secure.freee.co.jp/reports/general_ledgers/show?name=%E6%94%AF%E6%89%95%E5%88%A9%E6%81%AF&amp;start_date=2025-09-01&amp;end_date=2025-09-30&amp;fiscal_year_id=9737061",36513)</f>
        <v>36513</v>
      </c>
      <c r="I37" s="30">
        <f>HYPERLINK("https://secure.freee.co.jp/reports/general_ledgers/show?name=%E6%94%AF%E6%89%95%E5%88%A9%E6%81%AF&amp;start_date=2025-10-01&amp;end_date=2025-10-31&amp;fiscal_year_id=9737061",34902)</f>
        <v>34902</v>
      </c>
      <c r="J37" s="30">
        <f>HYPERLINK("https://secure.freee.co.jp/reports/general_ledgers/show?name=%E6%94%AF%E6%89%95%E5%88%A9%E6%81%AF&amp;start_date=2025-11-01&amp;end_date=2025-11-30&amp;fiscal_year_id=9737061",35237)</f>
        <v>35237</v>
      </c>
      <c r="K37" s="30">
        <f>HYPERLINK("https://secure.freee.co.jp/reports/general_ledgers/show?name=%E6%94%AF%E6%89%95%E5%88%A9%E6%81%AF&amp;start_date=2025-12-01&amp;end_date=2025-12-31&amp;fiscal_year_id=9737061",33650)</f>
        <v>33650</v>
      </c>
      <c r="L37" s="30">
        <f>HYPERLINK("https://secure.freee.co.jp/reports/general_ledgers/show?name=%E6%94%AF%E6%89%95%E5%88%A9%E6%81%AF&amp;start_date=2026-01-01&amp;end_date=2026-01-31&amp;fiscal_year_id=9737061",33959)</f>
        <v>33959</v>
      </c>
      <c r="M37" s="37">
        <f>HYPERLINK("https://secure.freee.co.jp/reports/general_ledgers/show?name=%E6%94%AF%E6%89%95%E5%88%A9%E6%81%AF&amp;start_date=2026-02-01&amp;end_date=2026-02-28&amp;fiscal_year_id=9737061",34335)</f>
        <v>34335</v>
      </c>
      <c r="N37" s="38">
        <f>SUM(B37:M37)</f>
        <v>435561</v>
      </c>
      <c r="O37" s="32" t="s">
        <v>275</v>
      </c>
    </row>
    <row r="38" spans="1:15" x14ac:dyDescent="0.25">
      <c r="A38" s="10" t="s">
        <v>377</v>
      </c>
      <c r="B38" s="43">
        <v>0</v>
      </c>
      <c r="C38" s="43">
        <v>0</v>
      </c>
      <c r="D38" s="43">
        <v>0</v>
      </c>
      <c r="E38" s="30">
        <f>HYPERLINK("https://secure.freee.co.jp/reports/general_ledgers/show?name=%E9%9B%91%E6%90%8D%E5%A4%B1&amp;start_date=2025-06-01&amp;end_date=2025-06-30&amp;fiscal_year_id=9737061",19700)</f>
        <v>19700</v>
      </c>
      <c r="F38" s="30">
        <f>HYPERLINK("https://secure.freee.co.jp/reports/general_ledgers/show?name=%E9%9B%91%E6%90%8D%E5%A4%B1&amp;start_date=2025-07-01&amp;end_date=2025-07-31&amp;fiscal_year_id=9737061",29300)</f>
        <v>29300</v>
      </c>
      <c r="G38" s="44">
        <v>0</v>
      </c>
      <c r="H38" s="43">
        <v>0</v>
      </c>
      <c r="I38" s="43">
        <v>0</v>
      </c>
      <c r="J38" s="30">
        <f>HYPERLINK("https://secure.freee.co.jp/reports/general_ledgers/show?name=%E9%9B%91%E6%90%8D%E5%A4%B1&amp;start_date=2025-11-01&amp;end_date=2025-11-30&amp;fiscal_year_id=9737061",180500)</f>
        <v>180500</v>
      </c>
      <c r="K38" s="33">
        <f>HYPERLINK("https://secure.freee.co.jp/reports/general_ledgers/show?name=%E9%9B%91%E6%90%8D%E5%A4%B1&amp;start_date=2025-12-01&amp;end_date=2025-12-31&amp;fiscal_year_id=9737061",-13400)</f>
        <v>-13400</v>
      </c>
      <c r="L38" s="44">
        <v>0</v>
      </c>
      <c r="M38" s="45">
        <v>0</v>
      </c>
      <c r="N38" s="38">
        <f>SUM(B38:M38)</f>
        <v>216100</v>
      </c>
      <c r="O38" s="32" t="s">
        <v>275</v>
      </c>
    </row>
    <row r="39" spans="1:15" x14ac:dyDescent="0.25">
      <c r="A39" s="10" t="s">
        <v>378</v>
      </c>
      <c r="B39" s="30">
        <v>36907</v>
      </c>
      <c r="C39" s="30">
        <v>39690</v>
      </c>
      <c r="D39" s="30">
        <v>38022</v>
      </c>
      <c r="E39" s="30">
        <v>58120</v>
      </c>
      <c r="F39" s="30">
        <v>66077</v>
      </c>
      <c r="G39" s="30">
        <v>37149</v>
      </c>
      <c r="H39" s="30">
        <v>36513</v>
      </c>
      <c r="I39" s="30">
        <v>34902</v>
      </c>
      <c r="J39" s="30">
        <v>215737</v>
      </c>
      <c r="K39" s="30">
        <v>20250</v>
      </c>
      <c r="L39" s="30">
        <v>33959</v>
      </c>
      <c r="M39" s="37">
        <v>34335</v>
      </c>
      <c r="N39" s="38">
        <f>SUM(B39:M39)</f>
        <v>651661</v>
      </c>
      <c r="O39" s="39"/>
    </row>
    <row r="40" spans="1:15" x14ac:dyDescent="0.25">
      <c r="A40" s="40" t="s">
        <v>379</v>
      </c>
      <c r="B40" s="41">
        <v>1715909</v>
      </c>
      <c r="C40" s="41">
        <v>7699152</v>
      </c>
      <c r="D40" s="41">
        <v>2680055</v>
      </c>
      <c r="E40" s="41">
        <v>2217740</v>
      </c>
      <c r="F40" s="41">
        <v>602269</v>
      </c>
      <c r="G40" s="41">
        <v>2285671</v>
      </c>
      <c r="H40" s="41">
        <v>253398</v>
      </c>
      <c r="I40" s="41">
        <v>-713761</v>
      </c>
      <c r="J40" s="41">
        <v>1194479</v>
      </c>
      <c r="K40" s="41">
        <v>2820801</v>
      </c>
      <c r="L40" s="41">
        <v>96328</v>
      </c>
      <c r="M40" s="41">
        <v>2046885</v>
      </c>
      <c r="N40" s="41">
        <f>SUM(B40:M40)</f>
        <v>22898926</v>
      </c>
      <c r="O40" s="42"/>
    </row>
    <row r="41" spans="1:15" x14ac:dyDescent="0.25">
      <c r="A41" s="10" t="s">
        <v>380</v>
      </c>
      <c r="B41" s="43">
        <v>0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5">
        <v>0</v>
      </c>
      <c r="N41" s="38">
        <f>SUM(B41:M41)</f>
        <v>0</v>
      </c>
      <c r="O41" s="39"/>
    </row>
    <row r="42" spans="1:15" x14ac:dyDescent="0.25">
      <c r="A42" s="10" t="s">
        <v>381</v>
      </c>
      <c r="B42" s="43">
        <v>0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5">
        <v>0</v>
      </c>
      <c r="N42" s="38">
        <f>SUM(B42:M42)</f>
        <v>0</v>
      </c>
      <c r="O42" s="39"/>
    </row>
    <row r="43" spans="1:15" x14ac:dyDescent="0.25">
      <c r="A43" s="40" t="s">
        <v>382</v>
      </c>
      <c r="B43" s="41">
        <v>1715909</v>
      </c>
      <c r="C43" s="41">
        <v>7699152</v>
      </c>
      <c r="D43" s="41">
        <v>2680055</v>
      </c>
      <c r="E43" s="41">
        <v>2217740</v>
      </c>
      <c r="F43" s="41">
        <v>602269</v>
      </c>
      <c r="G43" s="41">
        <v>2285671</v>
      </c>
      <c r="H43" s="41">
        <v>253398</v>
      </c>
      <c r="I43" s="41">
        <v>-713761</v>
      </c>
      <c r="J43" s="41">
        <v>1194479</v>
      </c>
      <c r="K43" s="41">
        <v>2820801</v>
      </c>
      <c r="L43" s="41">
        <v>96328</v>
      </c>
      <c r="M43" s="41">
        <v>2046885</v>
      </c>
      <c r="N43" s="41">
        <f>SUM(B43:M43)</f>
        <v>22898926</v>
      </c>
      <c r="O43" s="42"/>
    </row>
    <row r="44" spans="1:15" x14ac:dyDescent="0.25">
      <c r="A44" s="10" t="s">
        <v>383</v>
      </c>
      <c r="B44" s="30">
        <f>HYPERLINK("https://secure.freee.co.jp/reports/general_ledgers/show?name=%E6%B3%95%E4%BA%BA%E7%A8%8E%E3%83%BB%E4%BD%8F%E6%B0%91%E7%A8%8E%E5%8F%8A%E3%81%B3%E4%BA%8B%E6%A5%AD%E7%A8%8E&amp;start_date=2025-03-01&amp;end_date=2025-03-31&amp;fiscal_year_id=9737061",94)</f>
        <v>94</v>
      </c>
      <c r="C44" s="44">
        <v>0</v>
      </c>
      <c r="D44" s="43">
        <v>0</v>
      </c>
      <c r="E44" s="30">
        <f>HYPERLINK("https://secure.freee.co.jp/reports/general_ledgers/show?name=%E6%B3%95%E4%BA%BA%E7%A8%8E%E3%83%BB%E4%BD%8F%E6%B0%91%E7%A8%8E%E5%8F%8A%E3%81%B3%E4%BA%8B%E6%A5%AD%E7%A8%8E&amp;start_date=2025-06-01&amp;end_date=2025-06-30&amp;fiscal_year_id=9737061",612)</f>
        <v>612</v>
      </c>
      <c r="F44" s="44">
        <v>0</v>
      </c>
      <c r="G44" s="30">
        <f>HYPERLINK("https://secure.freee.co.jp/reports/general_ledgers/show?name=%E6%B3%95%E4%BA%BA%E7%A8%8E%E3%83%BB%E4%BD%8F%E6%B0%91%E7%A8%8E%E5%8F%8A%E3%81%B3%E4%BA%8B%E6%A5%AD%E7%A8%8E&amp;start_date=2025-08-01&amp;end_date=2025-08-31&amp;fiscal_year_id=9737061",715)</f>
        <v>715</v>
      </c>
      <c r="H44" s="33">
        <f>HYPERLINK("https://secure.freee.co.jp/reports/general_ledgers/show?name=%E6%B3%95%E4%BA%BA%E7%A8%8E%E3%83%BB%E4%BD%8F%E6%B0%91%E7%A8%8E%E5%8F%8A%E3%81%B3%E4%BA%8B%E6%A5%AD%E7%A8%8E&amp;start_date=2025-09-01&amp;end_date=2025-09-30&amp;fiscal_year_id=9737061",177)</f>
        <v>177</v>
      </c>
      <c r="I44" s="44">
        <v>0</v>
      </c>
      <c r="J44" s="43">
        <v>0</v>
      </c>
      <c r="K44" s="43">
        <v>0</v>
      </c>
      <c r="L44" s="43">
        <v>0</v>
      </c>
      <c r="M44" s="37">
        <f>HYPERLINK("https://secure.freee.co.jp/reports/general_ledgers/show?name=%E6%B3%95%E4%BA%BA%E7%A8%8E%E3%83%BB%E4%BD%8F%E6%B0%91%E7%A8%8E%E5%8F%8A%E3%81%B3%E4%BA%8B%E6%A5%AD%E7%A8%8E&amp;start_date=2026-02-01&amp;end_date=2026-02-28&amp;fiscal_year_id=9737061",1682)</f>
        <v>1682</v>
      </c>
      <c r="N44" s="38">
        <f>SUM(B44:M44)</f>
        <v>3280</v>
      </c>
      <c r="O44" s="32" t="s">
        <v>275</v>
      </c>
    </row>
    <row r="45" spans="1:15" x14ac:dyDescent="0.25">
      <c r="A45" s="10" t="s">
        <v>384</v>
      </c>
      <c r="B45" s="30">
        <v>94</v>
      </c>
      <c r="C45" s="43">
        <v>0</v>
      </c>
      <c r="D45" s="43">
        <v>0</v>
      </c>
      <c r="E45" s="30">
        <v>612</v>
      </c>
      <c r="F45" s="43">
        <v>0</v>
      </c>
      <c r="G45" s="30">
        <v>715</v>
      </c>
      <c r="H45" s="30">
        <v>177</v>
      </c>
      <c r="I45" s="43">
        <v>0</v>
      </c>
      <c r="J45" s="43">
        <v>0</v>
      </c>
      <c r="K45" s="43">
        <v>0</v>
      </c>
      <c r="L45" s="43">
        <v>0</v>
      </c>
      <c r="M45" s="37">
        <v>1682</v>
      </c>
      <c r="N45" s="38">
        <f>SUM(B45:M45)</f>
        <v>3280</v>
      </c>
      <c r="O45" s="39"/>
    </row>
    <row r="46" spans="1:15" x14ac:dyDescent="0.25">
      <c r="A46" s="40" t="s">
        <v>385</v>
      </c>
      <c r="B46" s="41">
        <v>1715815</v>
      </c>
      <c r="C46" s="41">
        <v>7699152</v>
      </c>
      <c r="D46" s="41">
        <v>2680055</v>
      </c>
      <c r="E46" s="41">
        <v>2217128</v>
      </c>
      <c r="F46" s="41">
        <v>602269</v>
      </c>
      <c r="G46" s="41">
        <v>2284956</v>
      </c>
      <c r="H46" s="41">
        <v>253221</v>
      </c>
      <c r="I46" s="41">
        <v>-713761</v>
      </c>
      <c r="J46" s="41">
        <v>1194479</v>
      </c>
      <c r="K46" s="41">
        <v>2820801</v>
      </c>
      <c r="L46" s="41">
        <v>96328</v>
      </c>
      <c r="M46" s="41">
        <v>2045203</v>
      </c>
      <c r="N46" s="41">
        <f>SUM(B46:M46)</f>
        <v>22895646</v>
      </c>
      <c r="O46" s="42"/>
    </row>
    <row r="47" spans="1:15" x14ac:dyDescent="0.25">
      <c r="A47" s="10" t="s">
        <v>386</v>
      </c>
      <c r="B47" s="30">
        <f>HYPERLINK("https://secure.freee.co.jp/reports/general_ledgers/show?name=%E5%A3%B2%E4%B8%8A%E6%88%BB%E3%82%8A%E9%AB%98&amp;start_date=2025-03-01&amp;end_date=2025-03-31&amp;fiscal_year_id=9737061",-12650)</f>
        <v>-12650</v>
      </c>
      <c r="C47" s="33">
        <f>HYPERLINK("https://secure.freee.co.jp/reports/general_ledgers/show?name=%E5%A3%B2%E4%B8%8A%E6%88%BB%E3%82%8A%E9%AB%98&amp;start_date=2025-04-01&amp;end_date=2025-04-30&amp;fiscal_year_id=9737061",-29480)</f>
        <v>-29480</v>
      </c>
      <c r="D47" s="30">
        <f>HYPERLINK("https://secure.freee.co.jp/reports/general_ledgers/show?name=%E5%A3%B2%E4%B8%8A%E6%88%BB%E3%82%8A%E9%AB%98&amp;start_date=2025-05-01&amp;end_date=2025-05-31&amp;fiscal_year_id=9737061",-19140)</f>
        <v>-19140</v>
      </c>
      <c r="E47" s="33">
        <f>HYPERLINK("https://secure.freee.co.jp/reports/general_ledgers/show?name=%E5%A3%B2%E4%B8%8A%E6%88%BB%E3%82%8A%E9%AB%98&amp;start_date=2025-06-01&amp;end_date=2025-06-30&amp;fiscal_year_id=9737061",-6050)</f>
        <v>-6050</v>
      </c>
      <c r="F47" s="33">
        <f>HYPERLINK("https://secure.freee.co.jp/reports/general_ledgers/show?name=%E5%A3%B2%E4%B8%8A%E6%88%BB%E3%82%8A%E9%AB%98&amp;start_date=2025-07-01&amp;end_date=2025-07-31&amp;fiscal_year_id=9737061",-17050)</f>
        <v>-17050</v>
      </c>
      <c r="G47" s="33">
        <f>HYPERLINK("https://secure.freee.co.jp/reports/general_ledgers/show?name=%E5%A3%B2%E4%B8%8A%E6%88%BB%E3%82%8A%E9%AB%98&amp;start_date=2025-08-01&amp;end_date=2025-08-31&amp;fiscal_year_id=9737061",-4950)</f>
        <v>-4950</v>
      </c>
      <c r="H47" s="44">
        <v>0</v>
      </c>
      <c r="I47" s="30">
        <f>HYPERLINK("https://secure.freee.co.jp/reports/general_ledgers/show?name=%E5%A3%B2%E4%B8%8A%E6%88%BB%E3%82%8A%E9%AB%98&amp;start_date=2025-10-01&amp;end_date=2025-10-31&amp;fiscal_year_id=9737061",-3630)</f>
        <v>-3630</v>
      </c>
      <c r="J47" s="33">
        <f>HYPERLINK("https://secure.freee.co.jp/reports/general_ledgers/show?name=%E5%A3%B2%E4%B8%8A%E6%88%BB%E3%82%8A%E9%AB%98&amp;start_date=2025-11-01&amp;end_date=2025-11-30&amp;fiscal_year_id=9737061",-20130)</f>
        <v>-20130</v>
      </c>
      <c r="K47" s="44">
        <v>0</v>
      </c>
      <c r="L47" s="30">
        <f>HYPERLINK("https://secure.freee.co.jp/reports/general_ledgers/show?name=%E5%A3%B2%E4%B8%8A%E6%88%BB%E3%82%8A%E9%AB%98&amp;start_date=2026-01-01&amp;end_date=2026-01-31&amp;fiscal_year_id=9737061",-8800)</f>
        <v>-8800</v>
      </c>
      <c r="M47" s="37">
        <f>HYPERLINK("https://secure.freee.co.jp/reports/general_ledgers/show?name=%E5%A3%B2%E4%B8%8A%E6%88%BB%E3%82%8A%E9%AB%98&amp;start_date=2026-02-01&amp;end_date=2026-02-28&amp;fiscal_year_id=9737061",-4400)</f>
        <v>-4400</v>
      </c>
      <c r="N47" s="38">
        <f>SUM(B47:M47)</f>
        <v>-126280</v>
      </c>
      <c r="O47" s="32" t="s">
        <v>275</v>
      </c>
    </row>
    <row r="48" spans="1:15" x14ac:dyDescent="0.25">
      <c r="A48" s="10" t="s">
        <v>387</v>
      </c>
      <c r="B48" s="30">
        <f>HYPERLINK("https://secure.freee.co.jp/reports/general_ledgers/show?name=%E6%9C%9F%E9%A6%96%E5%95%86%E5%93%81%E6%A3%9A%E5%8D%B8%E9%AB%98&amp;start_date=2025-03-01&amp;end_date=2025-03-31&amp;fiscal_year_id=9737061",1921376)</f>
        <v>1921376</v>
      </c>
      <c r="C48" s="44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5">
        <v>0</v>
      </c>
      <c r="N48" s="38">
        <f>SUM(B48:M48)</f>
        <v>1921376</v>
      </c>
      <c r="O48" s="32" t="s">
        <v>275</v>
      </c>
    </row>
    <row r="49" spans="1:15" x14ac:dyDescent="0.25">
      <c r="A49" s="10" t="s">
        <v>388</v>
      </c>
      <c r="B49" s="30">
        <f>HYPERLINK("https://secure.freee.co.jp/reports/general_ledgers/show?name=%E4%BB%95%E5%85%A5%E9%AB%98&amp;start_date=2025-03-01&amp;end_date=2025-03-31&amp;fiscal_year_id=9737061",808011)</f>
        <v>808011</v>
      </c>
      <c r="C49" s="30">
        <f>HYPERLINK("https://secure.freee.co.jp/reports/general_ledgers/show?name=%E4%BB%95%E5%85%A5%E9%AB%98&amp;start_date=2025-04-01&amp;end_date=2025-04-30&amp;fiscal_year_id=9737061",861297)</f>
        <v>861297</v>
      </c>
      <c r="D49" s="30">
        <f>HYPERLINK("https://secure.freee.co.jp/reports/general_ledgers/show?name=%E4%BB%95%E5%85%A5%E9%AB%98&amp;start_date=2025-05-01&amp;end_date=2025-05-31&amp;fiscal_year_id=9737061",795803)</f>
        <v>795803</v>
      </c>
      <c r="E49" s="30">
        <f>HYPERLINK("https://secure.freee.co.jp/reports/general_ledgers/show?name=%E4%BB%95%E5%85%A5%E9%AB%98&amp;start_date=2025-06-01&amp;end_date=2025-06-30&amp;fiscal_year_id=9737061",1102806)</f>
        <v>1102806</v>
      </c>
      <c r="F49" s="30">
        <f>HYPERLINK("https://secure.freee.co.jp/reports/general_ledgers/show?name=%E4%BB%95%E5%85%A5%E9%AB%98&amp;start_date=2025-07-01&amp;end_date=2025-07-31&amp;fiscal_year_id=9737061",1126720)</f>
        <v>1126720</v>
      </c>
      <c r="G49" s="30">
        <f>HYPERLINK("https://secure.freee.co.jp/reports/general_ledgers/show?name=%E4%BB%95%E5%85%A5%E9%AB%98&amp;start_date=2025-08-01&amp;end_date=2025-08-31&amp;fiscal_year_id=9737061",1033229)</f>
        <v>1033229</v>
      </c>
      <c r="H49" s="30">
        <f>HYPERLINK("https://secure.freee.co.jp/reports/general_ledgers/show?name=%E4%BB%95%E5%85%A5%E9%AB%98&amp;start_date=2025-09-01&amp;end_date=2025-09-30&amp;fiscal_year_id=9737061",1024086)</f>
        <v>1024086</v>
      </c>
      <c r="I49" s="30">
        <f>HYPERLINK("https://secure.freee.co.jp/reports/general_ledgers/show?name=%E4%BB%95%E5%85%A5%E9%AB%98&amp;start_date=2025-10-01&amp;end_date=2025-10-31&amp;fiscal_year_id=9737061",1458788)</f>
        <v>1458788</v>
      </c>
      <c r="J49" s="33">
        <f>HYPERLINK("https://secure.freee.co.jp/reports/general_ledgers/show?name=%E4%BB%95%E5%85%A5%E9%AB%98&amp;start_date=2025-11-01&amp;end_date=2025-11-30&amp;fiscal_year_id=9737061",723687)</f>
        <v>723687</v>
      </c>
      <c r="K49" s="33">
        <f>HYPERLINK("https://secure.freee.co.jp/reports/general_ledgers/show?name=%E4%BB%95%E5%85%A5%E9%AB%98&amp;start_date=2025-12-01&amp;end_date=2025-12-31&amp;fiscal_year_id=9737061",1734974)</f>
        <v>1734974</v>
      </c>
      <c r="L49" s="30">
        <f>HYPERLINK("https://secure.freee.co.jp/reports/general_ledgers/show?name=%E4%BB%95%E5%85%A5%E9%AB%98&amp;start_date=2026-01-01&amp;end_date=2026-01-31&amp;fiscal_year_id=9737061",913776)</f>
        <v>913776</v>
      </c>
      <c r="M49" s="33">
        <f>HYPERLINK("https://secure.freee.co.jp/reports/general_ledgers/show?name=%E4%BB%95%E5%85%A5%E9%AB%98&amp;start_date=2026-02-01&amp;end_date=2026-02-28&amp;fiscal_year_id=9737061",1554039)</f>
        <v>1554039</v>
      </c>
      <c r="N49" s="38">
        <f>SUM(B49:M49)</f>
        <v>13137216</v>
      </c>
      <c r="O49" s="32" t="s">
        <v>275</v>
      </c>
    </row>
    <row r="50" spans="1:15" x14ac:dyDescent="0.25">
      <c r="A50" s="10" t="s">
        <v>389</v>
      </c>
      <c r="B50" s="30">
        <f>HYPERLINK("https://secure.freee.co.jp/reports/general_ledgers/show?name=%E6%9C%9F%E6%9C%AB%E5%95%86%E5%93%81%E6%A3%9A%E5%8D%B8%E9%AB%98&amp;start_date=2025-03-01&amp;end_date=2025-03-31&amp;fiscal_year_id=9737061",1921376)</f>
        <v>1921376</v>
      </c>
      <c r="C50" s="44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37">
        <f>HYPERLINK("https://secure.freee.co.jp/reports/general_ledgers/show?name=%E6%9C%9F%E6%9C%AB%E5%95%86%E5%93%81%E6%A3%9A%E5%8D%B8%E9%AB%98&amp;start_date=2026-02-01&amp;end_date=2026-02-28&amp;fiscal_year_id=9737061",-565204)</f>
        <v>-565204</v>
      </c>
      <c r="N50" s="38">
        <f>SUM(B50:M50)</f>
        <v>1356172</v>
      </c>
      <c r="O50" s="32" t="s">
        <v>275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0" r:id="rId24"/>
    <hyperlink ref="O33" r:id="rId25"/>
    <hyperlink ref="O34" r:id="rId26"/>
    <hyperlink ref="O35" r:id="rId27"/>
    <hyperlink ref="O37" r:id="rId28"/>
    <hyperlink ref="O38" r:id="rId29"/>
    <hyperlink ref="O44" r:id="rId30"/>
    <hyperlink ref="O47" r:id="rId31"/>
    <hyperlink ref="O48" r:id="rId32"/>
    <hyperlink ref="O49" r:id="rId33"/>
    <hyperlink ref="O50" r:id="rId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269</v>
      </c>
      <c r="B1" s="5" t="s">
        <v>390</v>
      </c>
      <c r="C1" s="5" t="s">
        <v>391</v>
      </c>
      <c r="D1" s="5" t="s">
        <v>392</v>
      </c>
    </row>
    <row r="2" spans="1:4" x14ac:dyDescent="0.25">
      <c r="A2" s="10" t="s">
        <v>313</v>
      </c>
      <c r="B2" s="10" t="s">
        <v>393</v>
      </c>
      <c r="C2" s="30">
        <v>757722</v>
      </c>
      <c r="D2" s="10" t="s">
        <v>6</v>
      </c>
    </row>
    <row r="3" spans="1:4" x14ac:dyDescent="0.25">
      <c r="A3" s="10" t="s">
        <v>313</v>
      </c>
      <c r="B3" s="10" t="s">
        <v>394</v>
      </c>
      <c r="C3" s="30">
        <v>640000</v>
      </c>
      <c r="D3" s="10" t="s">
        <v>6</v>
      </c>
    </row>
    <row r="4" spans="1:4" x14ac:dyDescent="0.25">
      <c r="A4" s="10" t="s">
        <v>313</v>
      </c>
      <c r="B4" s="10" t="s">
        <v>395</v>
      </c>
      <c r="C4" s="30">
        <v>516829</v>
      </c>
      <c r="D4" s="10" t="s">
        <v>6</v>
      </c>
    </row>
    <row r="5" spans="1:4" x14ac:dyDescent="0.25">
      <c r="A5" s="10" t="s">
        <v>311</v>
      </c>
      <c r="B5" s="10" t="s">
        <v>396</v>
      </c>
      <c r="C5" s="30">
        <v>402154</v>
      </c>
      <c r="D5" s="10" t="s">
        <v>6</v>
      </c>
    </row>
    <row r="6" spans="1:4" x14ac:dyDescent="0.25">
      <c r="A6" s="10" t="s">
        <v>313</v>
      </c>
      <c r="B6" s="10" t="s">
        <v>397</v>
      </c>
      <c r="C6" s="30">
        <v>392500</v>
      </c>
      <c r="D6" s="10" t="s">
        <v>6</v>
      </c>
    </row>
    <row r="7" spans="1:4" x14ac:dyDescent="0.25">
      <c r="A7" s="10" t="s">
        <v>313</v>
      </c>
      <c r="B7" s="10" t="s">
        <v>398</v>
      </c>
      <c r="C7" s="30">
        <v>291380</v>
      </c>
      <c r="D7" s="14" t="s">
        <v>399</v>
      </c>
    </row>
    <row r="8" spans="1:4" x14ac:dyDescent="0.25">
      <c r="A8" s="10" t="s">
        <v>313</v>
      </c>
      <c r="B8" s="10" t="s">
        <v>400</v>
      </c>
      <c r="C8" s="30">
        <v>126500</v>
      </c>
      <c r="D8" s="10" t="s">
        <v>6</v>
      </c>
    </row>
    <row r="9" spans="1:4" x14ac:dyDescent="0.25">
      <c r="A9" s="10" t="s">
        <v>313</v>
      </c>
      <c r="B9" s="10" t="s">
        <v>401</v>
      </c>
      <c r="C9" s="30">
        <v>116688</v>
      </c>
      <c r="D9" s="10" t="s">
        <v>6</v>
      </c>
    </row>
    <row r="10" spans="1:4" x14ac:dyDescent="0.25">
      <c r="A10" s="10" t="s">
        <v>313</v>
      </c>
      <c r="B10" s="10" t="s">
        <v>402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2026-04-07T12:32:48Z</dcterms:created>
  <dcterms:modified xsi:type="dcterms:W3CDTF">2026-04-07T12:32:48Z</dcterms:modified>
</cp:coreProperties>
</file>