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況" state="visible" r:id="rId4"/>
    <sheet sheetId="2" name="PL前年同期比較" state="visible" r:id="rId5"/>
    <sheet sheetId="3" name="BS比較" state="visible" r:id="rId6"/>
    <sheet sheetId="4" name="記帳チェック" state="visible" r:id="rId7"/>
    <sheet sheetId="5" name="消費税チェック" state="visible" r:id="rId8"/>
    <sheet sheetId="6" name="確認事項一覧" state="visible" r:id="rId9"/>
    <sheet sheetId="7" name="役員報酬月次" state="visible" r:id="rId10"/>
  </sheets>
  <calcPr calcId="171027"/>
</workbook>
</file>

<file path=xl/sharedStrings.xml><?xml version="1.0" encoding="utf-8"?>
<sst xmlns="http://schemas.openxmlformats.org/spreadsheetml/2006/main" count="294" uniqueCount="222">
  <si>
    <t>㈱デイリーユニフォーム 期中レビュー結果</t>
  </si>
  <si>
    <t>基本情報</t>
  </si>
  <si>
    <t>決算月</t>
  </si>
  <si>
    <t>5月（期首6/1〜期末5/31）</t>
  </si>
  <si>
    <t>対象期間</t>
  </si>
  <si>
    <t>2025年6月〜12月（7ヶ月）</t>
  </si>
  <si>
    <t>会計年度</t>
  </si>
  <si>
    <t>2026年5月期</t>
  </si>
  <si>
    <t>業種</t>
  </si>
  <si>
    <t>衣料卸売・繊維</t>
  </si>
  <si>
    <t>税務方式</t>
  </si>
  <si>
    <t>税抜経理</t>
  </si>
  <si>
    <t>freee事業所ID</t>
  </si>
  <si>
    <t>10794380</t>
  </si>
  <si>
    <t>概況サマリー（前年同期比較）</t>
  </si>
  <si>
    <t>指標</t>
  </si>
  <si>
    <t>当期(7ヶ月)</t>
  </si>
  <si>
    <t>前年同期(7ヶ月)</t>
  </si>
  <si>
    <t>増減額</t>
  </si>
  <si>
    <t>増減率</t>
  </si>
  <si>
    <t>売上高</t>
  </si>
  <si>
    <t>売上総利益</t>
  </si>
  <si>
    <t>営業利益</t>
  </si>
  <si>
    <t>経常利益</t>
  </si>
  <si>
    <t>当期純利益</t>
  </si>
  <si>
    <t>総資産</t>
  </si>
  <si>
    <t>純資産</t>
  </si>
  <si>
    <t>項目</t>
  </si>
  <si>
    <t>当期(A)</t>
  </si>
  <si>
    <t>前年同期(B)</t>
  </si>
  <si>
    <t>増減(A-B)</t>
  </si>
  <si>
    <t>売上比(当期)</t>
  </si>
  <si>
    <t>売上比(前年)</t>
  </si>
  <si>
    <t>売上原価</t>
  </si>
  <si>
    <t xml:space="preserve">　期首商品棚卸高</t>
  </si>
  <si>
    <t xml:space="preserve">　仕入高</t>
  </si>
  <si>
    <t>販売管理費計</t>
  </si>
  <si>
    <t xml:space="preserve">　役員報酬</t>
  </si>
  <si>
    <t xml:space="preserve">　旅費交通費</t>
  </si>
  <si>
    <t xml:space="preserve">　法定福利費</t>
  </si>
  <si>
    <t xml:space="preserve">　消耗品費</t>
  </si>
  <si>
    <t xml:space="preserve">　会議費</t>
  </si>
  <si>
    <t xml:space="preserve">　外注費</t>
  </si>
  <si>
    <t xml:space="preserve">　地代家賃</t>
  </si>
  <si>
    <t xml:space="preserve">　交際費</t>
  </si>
  <si>
    <t xml:space="preserve">　支払報酬料</t>
  </si>
  <si>
    <t xml:space="preserve">　支払手数料</t>
  </si>
  <si>
    <t xml:space="preserve">　減価償却費</t>
  </si>
  <si>
    <t xml:space="preserve">　その他</t>
  </si>
  <si>
    <t>営業外収益</t>
  </si>
  <si>
    <t xml:space="preserve">　雑収入</t>
  </si>
  <si>
    <t xml:space="preserve">　受取利息</t>
  </si>
  <si>
    <t>営業外費用</t>
  </si>
  <si>
    <t>税引前当期純利益</t>
  </si>
  <si>
    <t>法人税等</t>
  </si>
  <si>
    <t>当期12月末(A)</t>
  </si>
  <si>
    <t>前期末5月末(B)</t>
  </si>
  <si>
    <t>前年12月末(C)</t>
  </si>
  <si>
    <t>増減(A-C)</t>
  </si>
  <si>
    <t>【流動資産】</t>
  </si>
  <si>
    <t>現金</t>
  </si>
  <si>
    <t>三菱UFJ</t>
  </si>
  <si>
    <t>GMOあおぞら</t>
  </si>
  <si>
    <t>売掛金</t>
  </si>
  <si>
    <t>商品</t>
  </si>
  <si>
    <t>役員貸付金</t>
  </si>
  <si>
    <t>未収還付法人税等</t>
  </si>
  <si>
    <t>仮払消費税</t>
  </si>
  <si>
    <t>その他流動</t>
  </si>
  <si>
    <t>流動資産計</t>
  </si>
  <si>
    <t>【固定資産】</t>
  </si>
  <si>
    <t>有形固定資産</t>
  </si>
  <si>
    <t>保険積立金</t>
  </si>
  <si>
    <t>長期前払費用</t>
  </si>
  <si>
    <t>固定資産計</t>
  </si>
  <si>
    <t>資産合計</t>
  </si>
  <si>
    <t>【負債】</t>
  </si>
  <si>
    <t>買掛金</t>
  </si>
  <si>
    <t>立替経費（佐藤）</t>
  </si>
  <si>
    <t>未払金</t>
  </si>
  <si>
    <t>JAL CARD</t>
  </si>
  <si>
    <t>未払法人税等</t>
  </si>
  <si>
    <t>未払消費税等</t>
  </si>
  <si>
    <t>預り金</t>
  </si>
  <si>
    <t>仮受消費税</t>
  </si>
  <si>
    <t>流動負債計</t>
  </si>
  <si>
    <t>長期借入金</t>
  </si>
  <si>
    <t>負債合計</t>
  </si>
  <si>
    <t>【純資産】</t>
  </si>
  <si>
    <t>資本金</t>
  </si>
  <si>
    <t>繰越利益剰余金</t>
  </si>
  <si>
    <t>当期純損益</t>
  </si>
  <si>
    <t>純資産合計</t>
  </si>
  <si>
    <t>#</t>
  </si>
  <si>
    <t>分野</t>
  </si>
  <si>
    <t>判定</t>
  </si>
  <si>
    <t>詳細</t>
  </si>
  <si>
    <t>現金・預金【GA-1】</t>
  </si>
  <si>
    <t>NG</t>
  </si>
  <si>
    <t>現金 -4,290円（マイナス）。預金は正常。</t>
  </si>
  <si>
    <t>借入金【HB1-1】</t>
  </si>
  <si>
    <t>要確認</t>
  </si>
  <si>
    <t>長期借入金12,950千円。7ヶ月で925千円返済。返済予定表との照合が必要。支払利息65千円（利率確認要）。</t>
  </si>
  <si>
    <t>固定資産【GD-1】</t>
  </si>
  <si>
    <t>消耗品費に106,366円（三越）あり。税抜96,696円で10万未満だが内容確認要。一括償却資産294,637円新規取得→台帳登録確認。</t>
  </si>
  <si>
    <t>家賃支払【HD-1】</t>
  </si>
  <si>
    <t>OK</t>
  </si>
  <si>
    <t>地代家賃463,640円/7ヶ月=月66,234円。ただし前年月93千円から減額→契約変更確認。</t>
  </si>
  <si>
    <t>人件費【JC2-1】</t>
  </si>
  <si>
    <t>役員報酬: 6-7月160万、8月以降108万に減額。期首3ヶ月以内の改定で適法だが議事録確認要。法定福利費比率16.2%（目安14-15%よりやや高）。</t>
  </si>
  <si>
    <t>士業・外注【HB2-1】</t>
  </si>
  <si>
    <t>支払報酬料（税理士）に源泉徴収の記載なし→確認必須。外注費に個人外注先あり（佐藤壽久・久保布紀等）→源泉徴収の要否と役員との関係確認。</t>
  </si>
  <si>
    <t>TPS9100/給与</t>
  </si>
  <si>
    <t>freee人事労務連携のため対象外。</t>
  </si>
  <si>
    <t>役員関係【JB-1】</t>
  </si>
  <si>
    <t>役員貸付金 -5,003,540円（マイナス=実質役員借入金）。前期は「役員借入金」科目あり→科目修正要。立替経費（佐藤）855千円は精算進行中。</t>
  </si>
  <si>
    <t>売上・売掛金【HA-1】</t>
  </si>
  <si>
    <t>売上高27,138千円（前年比-33%）。売掛金1,586千円は売上規模に対し妥当だが、売上減の原因確認要。</t>
  </si>
  <si>
    <t>仕入・買掛金【JC3-1】</t>
  </si>
  <si>
    <t>原価率46.4%（卸売業平均と乖離→ブランド付加価値型事業と推定）。買掛金0円（全件決済済み確認）。</t>
  </si>
  <si>
    <t>在庫【JC3-3】</t>
  </si>
  <si>
    <t>期首商品338,580円→原価振替後ゼロ。期末棚卸未計上。衣料卸売で在庫ゼロは通常ありえない。</t>
  </si>
  <si>
    <t>その他経費【JC3-4】</t>
  </si>
  <si>
    <t>会議費103万（月15万）・交際費42万→区分確認。旅費交通費154万（前年比+342%）→内容確認。未払金 -3,106千円→異常（給与unsettledが原因の可能性）。</t>
  </si>
  <si>
    <t>営業外損益【HC-1】</t>
  </si>
  <si>
    <t>雑収入154千円の内訳確認要。前年の雑収入240万の内容も確認。</t>
  </si>
  <si>
    <t>税金【JC3-5】</t>
  </si>
  <si>
    <t>未払法人税等・未払消費税等とも期首から納付済みでゼロ。受取利息の源泉所得税（15.315%）計上済み。予定納税85,446円計上済み。</t>
  </si>
  <si>
    <t>その他の気付事項</t>
  </si>
  <si>
    <t>給与取引7件がすべてunsettled（未決済）→未払金マイナスの原因の可能性大。決済登録のマッチング確認要。</t>
  </si>
  <si>
    <t>科目</t>
  </si>
  <si>
    <t>tax_code</t>
  </si>
  <si>
    <t>区分</t>
  </si>
  <si>
    <t>備考</t>
  </si>
  <si>
    <t>役員報酬</t>
  </si>
  <si>
    <t>2</t>
  </si>
  <si>
    <t>不課税</t>
  </si>
  <si>
    <t/>
  </si>
  <si>
    <t>法定福利費</t>
  </si>
  <si>
    <t>-</t>
  </si>
  <si>
    <t>推定</t>
  </si>
  <si>
    <t>外注費（インボイス登録済）</t>
  </si>
  <si>
    <t>136</t>
  </si>
  <si>
    <t>課税仕入10%（適格）</t>
  </si>
  <si>
    <t>田原耕平</t>
  </si>
  <si>
    <t>外注費（インボイス非登録）</t>
  </si>
  <si>
    <t>189</t>
  </si>
  <si>
    <t>課税仕入10%（経過措置80%）</t>
  </si>
  <si>
    <t>佐藤壽久、久保布紀、福岡洋平、高木洋平。2026/10以降は50%控除に変更要。</t>
  </si>
  <si>
    <t>支払報酬料（税理士）</t>
  </si>
  <si>
    <t>あしたの会計事務所税理士法人</t>
  </si>
  <si>
    <t>消耗品費（一般）</t>
  </si>
  <si>
    <t>消耗品費（軽減税率）</t>
  </si>
  <si>
    <t>108</t>
  </si>
  <si>
    <t>課税仕入8%</t>
  </si>
  <si>
    <t>407円のみ。飲食料品と推定。</t>
  </si>
  <si>
    <t>消耗品費（tax_code163）</t>
  </si>
  <si>
    <t>163</t>
  </si>
  <si>
    <t>8件2,703円。特定課税仕入等の定義確認要。金額僅少。</t>
  </si>
  <si>
    <t>受取利息</t>
  </si>
  <si>
    <t>23</t>
  </si>
  <si>
    <t>非課税売上</t>
  </si>
  <si>
    <t>雑収入（保険返戻等）</t>
  </si>
  <si>
    <t>129</t>
  </si>
  <si>
    <t>課税売上10%</t>
  </si>
  <si>
    <t>98,000円+36,200円。保険配当・返戻金なら不課税(2)が正しい。内容確認要。</t>
  </si>
  <si>
    <t>雑収入（前納減額金）</t>
  </si>
  <si>
    <t>非課税</t>
  </si>
  <si>
    <t>倒産防止共済9,900円。不課税(2)が適切では。少額。</t>
  </si>
  <si>
    <t>雑収入（予中間分）</t>
  </si>
  <si>
    <t>22,300円。税の還付相当。</t>
  </si>
  <si>
    <t>支払利息</t>
  </si>
  <si>
    <t>非課税仕入</t>
  </si>
  <si>
    <t>保険料</t>
  </si>
  <si>
    <t>減価償却費</t>
  </si>
  <si>
    <t>対象外</t>
  </si>
  <si>
    <t>租税公課</t>
  </si>
  <si>
    <t>消費税試算</t>
  </si>
  <si>
    <t>差額（納付見込）</t>
  </si>
  <si>
    <t>重要度</t>
  </si>
  <si>
    <t>内容・質問</t>
  </si>
  <si>
    <t>高</t>
  </si>
  <si>
    <t>未払金マイナス -311万</t>
  </si>
  <si>
    <t>給与がすべて未決済(unsettled)。振込の決済登録と未払金取引のマッチングが未了。仕訳の修正が必要。</t>
  </si>
  <si>
    <t>役員貸付金マイナス -500万</t>
  </si>
  <si>
    <t>「役員借入金」科目に修正。立替経費（佐藤）85万円との相殺も決算時に検討。</t>
  </si>
  <si>
    <t>支払報酬料の源泉徴収</t>
  </si>
  <si>
    <t>税理士報酬（月24千円税抜）に源泉10.21%が控除されているか確認。未控除なら是正必要。</t>
  </si>
  <si>
    <t>外注費の源泉徴収・実態確認</t>
  </si>
  <si>
    <t>個人外注先への支払いに源泉徴収が必要か。「佐藤壽久」が役員と同一人物でないか確認。</t>
  </si>
  <si>
    <t>売上33%減の原因</t>
  </si>
  <si>
    <t>月平均578万→388万と大幅減収。取引先別の分析と今後の見通し。</t>
  </si>
  <si>
    <t>中</t>
  </si>
  <si>
    <t>役員報酬改定の議事録</t>
  </si>
  <si>
    <t>160万→108万の減額。定時株主総会決議で行っているか確認。</t>
  </si>
  <si>
    <t>期末棚卸高の計上</t>
  </si>
  <si>
    <t>12月末の在庫はゼロで正しいか。月次棚卸の実施を推奨。</t>
  </si>
  <si>
    <t>雑収入の消費税区分</t>
  </si>
  <si>
    <t>98,000円+36,200円が課税売上10%。保険関連なら不課税に修正要。</t>
  </si>
  <si>
    <t>旅費交通費+342%</t>
  </si>
  <si>
    <t>月22万円の出張費用の内容確認。</t>
  </si>
  <si>
    <t>現金マイナス -4,290</t>
  </si>
  <si>
    <t>少額だが修正必要。</t>
  </si>
  <si>
    <t>低</t>
  </si>
  <si>
    <t>地代家賃の減額理由</t>
  </si>
  <si>
    <t>月93千→66千に減。契約変更の確認。</t>
  </si>
  <si>
    <t>前年雑収入240万の内容</t>
  </si>
  <si>
    <t>当期に同様の収入がないため、一時的収入であれば当期の赤字が実力値。</t>
  </si>
  <si>
    <t>月</t>
  </si>
  <si>
    <t>健保（預り）</t>
  </si>
  <si>
    <t>介護（預り）</t>
  </si>
  <si>
    <t>厚年（預り）</t>
  </si>
  <si>
    <t>源泉所得税</t>
  </si>
  <si>
    <t>住民税</t>
  </si>
  <si>
    <t>6月</t>
  </si>
  <si>
    <t>7月</t>
  </si>
  <si>
    <t>8月</t>
  </si>
  <si>
    <t>9月</t>
  </si>
  <si>
    <t>10月</t>
  </si>
  <si>
    <t>11月</t>
  </si>
  <si>
    <t>12月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</si>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</sst>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2F5496"/>
      <sz val="14"/>
      <name val="Meiryo UI"/>
    </font>
    <font>
      <b/>
      <sz val="10"/>
      <name val="Meiryo UI"/>
    </font>
    <font>
      <sz val="10"/>
      <name val="Meiryo UI"/>
    </font>
    <font>
      <b/>
      <color rgb="FFFFFFFF"/>
      <sz val="11"/>
      <name val="Meiryo UI"/>
    </font>
    <font>
      <b/>
      <color rgb="FFFF0000"/>
      <sz val="10"/>
      <name val="Meiryo UI"/>
    </font>
    <font>
      <color rgb="FFFF0000"/>
      <sz val="10"/>
      <name val="Meiryo UI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3" fontId="5" fillId="0" borderId="1" xfId="0" applyNumberFormat="1" applyFont="1" applyBorder="1"/>
    <xf numFmtId="3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3" fontId="6" fillId="0" borderId="1" xfId="0" applyNumberFormat="1" applyFont="1" applyBorder="1"/>
    <xf numFmtId="0" fontId="0" fillId="0" borderId="1" xfId="0" applyBorder="1"/>
    <xf numFmtId="3" fontId="6" fillId="4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0" borderId="1" xfId="0" applyNumberFormat="1" applyFont="1" applyBorder="1"/>
    <xf numFmtId="3" fontId="3" fillId="5" borderId="1" xfId="0" applyNumberFormat="1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4" width="18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4" t="s">
        <v>5</v>
      </c>
    </row>
    <row r="7" spans="1:2" x14ac:dyDescent="0.25">
      <c r="A7" s="3" t="s">
        <v>6</v>
      </c>
      <c r="B7" s="4" t="s">
        <v>7</v>
      </c>
    </row>
    <row r="8" spans="1:2" x14ac:dyDescent="0.25">
      <c r="A8" s="3" t="s">
        <v>8</v>
      </c>
      <c r="B8" s="4" t="s">
        <v>9</v>
      </c>
    </row>
    <row r="9" spans="1:2" x14ac:dyDescent="0.25">
      <c r="A9" s="3" t="s">
        <v>10</v>
      </c>
      <c r="B9" s="4" t="s">
        <v>11</v>
      </c>
    </row>
    <row r="10" spans="1:2" x14ac:dyDescent="0.25">
      <c r="A10" s="3" t="s">
        <v>12</v>
      </c>
      <c r="B10" s="4" t="s">
        <v>13</v>
      </c>
    </row>
    <row r="13" spans="1:5" x14ac:dyDescent="0.25">
      <c r="A13" s="2" t="s">
        <v>14</v>
      </c>
      <c r="B13" s="2"/>
      <c r="C13" s="2"/>
      <c r="D13" s="2"/>
      <c r="E13" s="2"/>
    </row>
    <row r="14" spans="1:5" x14ac:dyDescent="0.25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spans="1:5" x14ac:dyDescent="0.25">
      <c r="A15" s="6" t="s">
        <v>20</v>
      </c>
      <c r="B15" s="7">
        <v>27137652</v>
      </c>
      <c r="C15" s="7">
        <v>40478000</v>
      </c>
      <c r="D15" s="7">
        <f>B15-C15</f>
      </c>
      <c r="E15" s="8">
        <f>IF(C15=0,"-",B15/C15-1)</f>
      </c>
    </row>
    <row r="16" spans="1:5" x14ac:dyDescent="0.25">
      <c r="A16" s="6" t="s">
        <v>21</v>
      </c>
      <c r="B16" s="7">
        <v>14550441</v>
      </c>
      <c r="C16" s="7">
        <v>21229875</v>
      </c>
      <c r="D16" s="7">
        <f>B16-C16</f>
      </c>
      <c r="E16" s="8">
        <f>IF(C16=0,"-",B16/C16-1)</f>
      </c>
    </row>
    <row r="17" spans="1:5" x14ac:dyDescent="0.25">
      <c r="A17" s="6" t="s">
        <v>22</v>
      </c>
      <c r="B17" s="9">
        <v>-2810516</v>
      </c>
      <c r="C17" s="7">
        <v>3035250</v>
      </c>
      <c r="D17" s="7">
        <f>B17-C17</f>
      </c>
      <c r="E17" s="8">
        <f>IF(C17=0,"-",B17/C17-1)</f>
      </c>
    </row>
    <row r="18" spans="1:5" x14ac:dyDescent="0.25">
      <c r="A18" s="6" t="s">
        <v>23</v>
      </c>
      <c r="B18" s="9">
        <v>-2699601</v>
      </c>
      <c r="C18" s="7">
        <v>5398328</v>
      </c>
      <c r="D18" s="7">
        <f>B18-C18</f>
      </c>
      <c r="E18" s="8">
        <f>IF(C18=0,"-",B18/C18-1)</f>
      </c>
    </row>
    <row r="19" spans="1:5" x14ac:dyDescent="0.25">
      <c r="A19" s="6" t="s">
        <v>24</v>
      </c>
      <c r="B19" s="9">
        <v>-2785047</v>
      </c>
      <c r="C19" s="7">
        <v>4591956</v>
      </c>
      <c r="D19" s="7">
        <f>B19-C19</f>
      </c>
      <c r="E19" s="8">
        <f>IF(C19=0,"-",B19/C19-1)</f>
      </c>
    </row>
    <row r="20" spans="1:5" x14ac:dyDescent="0.25">
      <c r="A20" s="6" t="s">
        <v>25</v>
      </c>
      <c r="B20" s="7">
        <v>21502435</v>
      </c>
      <c r="C20" s="7">
        <v>35632328</v>
      </c>
      <c r="D20" s="7">
        <f>B20-C20</f>
      </c>
      <c r="E20" s="8">
        <f>IF(C20=0,"-",B20/C20-1)</f>
      </c>
    </row>
    <row r="21" spans="1:5" x14ac:dyDescent="0.25">
      <c r="A21" s="6" t="s">
        <v>26</v>
      </c>
      <c r="B21" s="7">
        <v>7212264</v>
      </c>
      <c r="C21" s="7">
        <v>10591560</v>
      </c>
      <c r="D21" s="7">
        <f>B21-C21</f>
      </c>
      <c r="E21" s="8">
        <f>IF(C21=0,"-",B21/C21-1)</f>
      </c>
    </row>
  </sheetData>
  <mergeCells count="3">
    <mergeCell ref="A1:E1"/>
    <mergeCell ref="A3:E3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22" customWidth="1"/>
    <col min="2" max="4" width="16" customWidth="1"/>
    <col min="5" max="7" width="12" customWidth="1"/>
  </cols>
  <sheetData>
    <row r="1" spans="1:7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19</v>
      </c>
      <c r="F1" s="5" t="s">
        <v>31</v>
      </c>
      <c r="G1" s="5" t="s">
        <v>32</v>
      </c>
    </row>
    <row r="2" spans="1:7" x14ac:dyDescent="0.25">
      <c r="A2" s="6" t="s">
        <v>20</v>
      </c>
      <c r="B2" s="10">
        <v>27137652</v>
      </c>
      <c r="C2" s="10">
        <v>40478000</v>
      </c>
      <c r="D2" s="10">
        <f>B2-C2</f>
      </c>
      <c r="E2" s="11">
        <f>IF(C2=0,"-",B2/C2-1)</f>
      </c>
      <c r="F2" s="11">
        <f>IF(B$2=0,"-",B2/B$2)</f>
      </c>
      <c r="G2" s="11">
        <f>IF(C$2=0,"-",C2/C$2)</f>
      </c>
    </row>
    <row r="3" spans="1:7" x14ac:dyDescent="0.25">
      <c r="A3" s="12" t="s">
        <v>33</v>
      </c>
      <c r="B3" s="10">
        <v>12587211</v>
      </c>
      <c r="C3" s="10">
        <v>19248125</v>
      </c>
      <c r="D3" s="10">
        <f>B3-C3</f>
      </c>
      <c r="E3" s="11">
        <f>IF(C3=0,"-",B3/C3-1)</f>
      </c>
      <c r="F3" s="11">
        <f>IF(B$2=0,"-",B3/B$2)</f>
      </c>
      <c r="G3" s="11">
        <f>IF(C$2=0,"-",C3/C$2)</f>
      </c>
    </row>
    <row r="4" spans="1:7" x14ac:dyDescent="0.25">
      <c r="A4" s="12" t="s">
        <v>34</v>
      </c>
      <c r="B4" s="10">
        <v>338580</v>
      </c>
      <c r="C4" s="10">
        <v>2542830</v>
      </c>
      <c r="D4" s="10">
        <f>B4-C4</f>
      </c>
      <c r="E4" s="11">
        <f>IF(C4=0,"-",B4/C4-1)</f>
      </c>
      <c r="F4" s="11">
        <f>IF(B$2=0,"-",B4/B$2)</f>
      </c>
      <c r="G4" s="11">
        <f>IF(C$2=0,"-",C4/C$2)</f>
      </c>
    </row>
    <row r="5" spans="1:7" x14ac:dyDescent="0.25">
      <c r="A5" s="12" t="s">
        <v>35</v>
      </c>
      <c r="B5" s="10">
        <v>12248631</v>
      </c>
      <c r="C5" s="10">
        <v>16705295</v>
      </c>
      <c r="D5" s="10">
        <f>B5-C5</f>
      </c>
      <c r="E5" s="11">
        <f>IF(C5=0,"-",B5/C5-1)</f>
      </c>
      <c r="F5" s="11">
        <f>IF(B$2=0,"-",B5/B$2)</f>
      </c>
      <c r="G5" s="11">
        <f>IF(C$2=0,"-",C5/C$2)</f>
      </c>
    </row>
    <row r="6" spans="1:7" x14ac:dyDescent="0.25">
      <c r="A6" s="6" t="s">
        <v>21</v>
      </c>
      <c r="B6" s="10">
        <v>14550441</v>
      </c>
      <c r="C6" s="10">
        <v>21229875</v>
      </c>
      <c r="D6" s="10">
        <f>B6-C6</f>
      </c>
      <c r="E6" s="11">
        <f>IF(C6=0,"-",B6/C6-1)</f>
      </c>
      <c r="F6" s="11">
        <f>IF(B$2=0,"-",B6/B$2)</f>
      </c>
      <c r="G6" s="11">
        <f>IF(C$2=0,"-",C6/C$2)</f>
      </c>
    </row>
    <row r="7" spans="1:7" x14ac:dyDescent="0.25">
      <c r="A7" s="6" t="s">
        <v>36</v>
      </c>
      <c r="B7" s="10">
        <v>17360957</v>
      </c>
      <c r="C7" s="10">
        <v>18194625</v>
      </c>
      <c r="D7" s="10">
        <f>B7-C7</f>
      </c>
      <c r="E7" s="11">
        <f>IF(C7=0,"-",B7/C7-1)</f>
      </c>
      <c r="F7" s="11">
        <f>IF(B$2=0,"-",B7/B$2)</f>
      </c>
      <c r="G7" s="11">
        <f>IF(C$2=0,"-",C7/C$2)</f>
      </c>
    </row>
    <row r="8" spans="1:7" x14ac:dyDescent="0.25">
      <c r="A8" s="12" t="s">
        <v>37</v>
      </c>
      <c r="B8" s="10">
        <v>8600000</v>
      </c>
      <c r="C8" s="10">
        <v>11200000</v>
      </c>
      <c r="D8" s="10">
        <f>B8-C8</f>
      </c>
      <c r="E8" s="11">
        <f>IF(C8=0,"-",B8/C8-1)</f>
      </c>
      <c r="F8" s="11">
        <f>IF(B$2=0,"-",B8/B$2)</f>
      </c>
      <c r="G8" s="11">
        <f>IF(C$2=0,"-",C8/C$2)</f>
      </c>
    </row>
    <row r="9" spans="1:7" x14ac:dyDescent="0.25">
      <c r="A9" s="12" t="s">
        <v>38</v>
      </c>
      <c r="B9" s="10">
        <v>1543125</v>
      </c>
      <c r="C9" s="10">
        <v>348915</v>
      </c>
      <c r="D9" s="10">
        <f>B9-C9</f>
      </c>
      <c r="E9" s="11">
        <f>IF(C9=0,"-",B9/C9-1)</f>
      </c>
      <c r="F9" s="11">
        <f>IF(B$2=0,"-",B9/B$2)</f>
      </c>
      <c r="G9" s="11">
        <f>IF(C$2=0,"-",C9/C$2)</f>
      </c>
    </row>
    <row r="10" spans="1:7" x14ac:dyDescent="0.25">
      <c r="A10" s="12" t="s">
        <v>39</v>
      </c>
      <c r="B10" s="10">
        <v>1395912</v>
      </c>
      <c r="C10" s="10">
        <v>1505784</v>
      </c>
      <c r="D10" s="10">
        <f>B10-C10</f>
      </c>
      <c r="E10" s="11">
        <f>IF(C10=0,"-",B10/C10-1)</f>
      </c>
      <c r="F10" s="11">
        <f>IF(B$2=0,"-",B10/B$2)</f>
      </c>
      <c r="G10" s="11">
        <f>IF(C$2=0,"-",C10/C$2)</f>
      </c>
    </row>
    <row r="11" spans="1:7" x14ac:dyDescent="0.25">
      <c r="A11" s="12" t="s">
        <v>40</v>
      </c>
      <c r="B11" s="10">
        <v>1326203</v>
      </c>
      <c r="C11" s="10">
        <v>784237</v>
      </c>
      <c r="D11" s="10">
        <f>B11-C11</f>
      </c>
      <c r="E11" s="11">
        <f>IF(C11=0,"-",B11/C11-1)</f>
      </c>
      <c r="F11" s="11">
        <f>IF(B$2=0,"-",B11/B$2)</f>
      </c>
      <c r="G11" s="11">
        <f>IF(C$2=0,"-",C11/C$2)</f>
      </c>
    </row>
    <row r="12" spans="1:7" x14ac:dyDescent="0.25">
      <c r="A12" s="12" t="s">
        <v>41</v>
      </c>
      <c r="B12" s="10">
        <v>1032318</v>
      </c>
      <c r="C12" s="10">
        <v>722434</v>
      </c>
      <c r="D12" s="10">
        <f>B12-C12</f>
      </c>
      <c r="E12" s="11">
        <f>IF(C12=0,"-",B12/C12-1)</f>
      </c>
      <c r="F12" s="11">
        <f>IF(B$2=0,"-",B12/B$2)</f>
      </c>
      <c r="G12" s="11">
        <f>IF(C$2=0,"-",C12/C$2)</f>
      </c>
    </row>
    <row r="13" spans="1:7" x14ac:dyDescent="0.25">
      <c r="A13" s="12" t="s">
        <v>42</v>
      </c>
      <c r="B13" s="10">
        <v>790571</v>
      </c>
      <c r="C13" s="10">
        <v>577299</v>
      </c>
      <c r="D13" s="10">
        <f>B13-C13</f>
      </c>
      <c r="E13" s="11">
        <f>IF(C13=0,"-",B13/C13-1)</f>
      </c>
      <c r="F13" s="11">
        <f>IF(B$2=0,"-",B13/B$2)</f>
      </c>
      <c r="G13" s="11">
        <f>IF(C$2=0,"-",C13/C$2)</f>
      </c>
    </row>
    <row r="14" spans="1:7" x14ac:dyDescent="0.25">
      <c r="A14" s="12" t="s">
        <v>43</v>
      </c>
      <c r="B14" s="10">
        <v>463640</v>
      </c>
      <c r="C14" s="10">
        <v>649096</v>
      </c>
      <c r="D14" s="10">
        <f>B14-C14</f>
      </c>
      <c r="E14" s="11">
        <f>IF(C14=0,"-",B14/C14-1)</f>
      </c>
      <c r="F14" s="11">
        <f>IF(B$2=0,"-",B14/B$2)</f>
      </c>
      <c r="G14" s="11">
        <f>IF(C$2=0,"-",C14/C$2)</f>
      </c>
    </row>
    <row r="15" spans="1:7" x14ac:dyDescent="0.25">
      <c r="A15" s="12" t="s">
        <v>44</v>
      </c>
      <c r="B15" s="10">
        <v>416565</v>
      </c>
      <c r="C15" s="10">
        <v>109625</v>
      </c>
      <c r="D15" s="10">
        <f>B15-C15</f>
      </c>
      <c r="E15" s="11">
        <f>IF(C15=0,"-",B15/C15-1)</f>
      </c>
      <c r="F15" s="11">
        <f>IF(B$2=0,"-",B15/B$2)</f>
      </c>
      <c r="G15" s="11">
        <f>IF(C$2=0,"-",C15/C$2)</f>
      </c>
    </row>
    <row r="16" spans="1:7" x14ac:dyDescent="0.25">
      <c r="A16" s="12" t="s">
        <v>45</v>
      </c>
      <c r="B16" s="10">
        <v>368000</v>
      </c>
      <c r="C16" s="10">
        <v>435000</v>
      </c>
      <c r="D16" s="10">
        <f>B16-C16</f>
      </c>
      <c r="E16" s="11">
        <f>IF(C16=0,"-",B16/C16-1)</f>
      </c>
      <c r="F16" s="11">
        <f>IF(B$2=0,"-",B16/B$2)</f>
      </c>
      <c r="G16" s="11">
        <f>IF(C$2=0,"-",C16/C$2)</f>
      </c>
    </row>
    <row r="17" spans="1:7" x14ac:dyDescent="0.25">
      <c r="A17" s="12" t="s">
        <v>46</v>
      </c>
      <c r="B17" s="10">
        <v>328198</v>
      </c>
      <c r="C17" s="10">
        <v>371437</v>
      </c>
      <c r="D17" s="10">
        <f>B17-C17</f>
      </c>
      <c r="E17" s="11">
        <f>IF(C17=0,"-",B17/C17-1)</f>
      </c>
      <c r="F17" s="11">
        <f>IF(B$2=0,"-",B17/B$2)</f>
      </c>
      <c r="G17" s="11">
        <f>IF(C$2=0,"-",C17/C$2)</f>
      </c>
    </row>
    <row r="18" spans="1:7" x14ac:dyDescent="0.25">
      <c r="A18" s="12" t="s">
        <v>47</v>
      </c>
      <c r="B18" s="10">
        <v>328706</v>
      </c>
      <c r="C18" s="10">
        <v>478054</v>
      </c>
      <c r="D18" s="10">
        <f>B18-C18</f>
      </c>
      <c r="E18" s="11">
        <f>IF(C18=0,"-",B18/C18-1)</f>
      </c>
      <c r="F18" s="11">
        <f>IF(B$2=0,"-",B18/B$2)</f>
      </c>
      <c r="G18" s="11">
        <f>IF(C$2=0,"-",C18/C$2)</f>
      </c>
    </row>
    <row r="19" spans="1:7" x14ac:dyDescent="0.25">
      <c r="A19" s="12" t="s">
        <v>48</v>
      </c>
      <c r="B19" s="10">
        <v>767719</v>
      </c>
      <c r="C19" s="10">
        <v>1013344</v>
      </c>
      <c r="D19" s="10">
        <f>B19-C19</f>
      </c>
      <c r="E19" s="11">
        <f>IF(C19=0,"-",B19/C19-1)</f>
      </c>
      <c r="F19" s="11">
        <f>IF(B$2=0,"-",B19/B$2)</f>
      </c>
      <c r="G19" s="11">
        <f>IF(C$2=0,"-",C19/C$2)</f>
      </c>
    </row>
    <row r="20" spans="1:7" x14ac:dyDescent="0.25">
      <c r="A20" s="6" t="s">
        <v>22</v>
      </c>
      <c r="B20" s="13">
        <v>-2810516</v>
      </c>
      <c r="C20" s="10">
        <v>3035250</v>
      </c>
      <c r="D20" s="10">
        <f>B20-C20</f>
      </c>
      <c r="E20" s="11">
        <f>IF(C20=0,"-",B20/C20-1)</f>
      </c>
      <c r="F20" s="11">
        <f>IF(B$2=0,"-",B20/B$2)</f>
      </c>
      <c r="G20" s="11">
        <f>IF(C$2=0,"-",C20/C$2)</f>
      </c>
    </row>
    <row r="21" spans="1:7" x14ac:dyDescent="0.25">
      <c r="A21" s="12" t="s">
        <v>49</v>
      </c>
      <c r="B21" s="10">
        <v>177124</v>
      </c>
      <c r="C21" s="10">
        <v>2401792</v>
      </c>
      <c r="D21" s="10">
        <f>B21-C21</f>
      </c>
      <c r="E21" s="11">
        <f>IF(C21=0,"-",B21/C21-1)</f>
      </c>
      <c r="F21" s="11">
        <f>IF(B$2=0,"-",B21/B$2)</f>
      </c>
      <c r="G21" s="11">
        <f>IF(C$2=0,"-",C21/C$2)</f>
      </c>
    </row>
    <row r="22" spans="1:7" x14ac:dyDescent="0.25">
      <c r="A22" s="12" t="s">
        <v>50</v>
      </c>
      <c r="B22" s="10">
        <v>154201</v>
      </c>
      <c r="C22" s="10">
        <v>2400000</v>
      </c>
      <c r="D22" s="10">
        <f>B22-C22</f>
      </c>
      <c r="E22" s="11">
        <f>IF(C22=0,"-",B22/C22-1)</f>
      </c>
      <c r="F22" s="11">
        <f>IF(B$2=0,"-",B22/B$2)</f>
      </c>
      <c r="G22" s="11">
        <f>IF(C$2=0,"-",C22/C$2)</f>
      </c>
    </row>
    <row r="23" spans="1:7" x14ac:dyDescent="0.25">
      <c r="A23" s="12" t="s">
        <v>51</v>
      </c>
      <c r="B23" s="10">
        <v>22923</v>
      </c>
      <c r="C23" s="10">
        <v>1792</v>
      </c>
      <c r="D23" s="10">
        <f>B23-C23</f>
      </c>
      <c r="E23" s="11">
        <f>IF(C23=0,"-",B23/C23-1)</f>
      </c>
      <c r="F23" s="11">
        <f>IF(B$2=0,"-",B23/B$2)</f>
      </c>
      <c r="G23" s="11">
        <f>IF(C$2=0,"-",C23/C$2)</f>
      </c>
    </row>
    <row r="24" spans="1:7" x14ac:dyDescent="0.25">
      <c r="A24" s="12" t="s">
        <v>52</v>
      </c>
      <c r="B24" s="10">
        <v>66209</v>
      </c>
      <c r="C24" s="10">
        <v>38714</v>
      </c>
      <c r="D24" s="10">
        <f>B24-C24</f>
      </c>
      <c r="E24" s="11">
        <f>IF(C24=0,"-",B24/C24-1)</f>
      </c>
      <c r="F24" s="11">
        <f>IF(B$2=0,"-",B24/B$2)</f>
      </c>
      <c r="G24" s="11">
        <f>IF(C$2=0,"-",C24/C$2)</f>
      </c>
    </row>
    <row r="25" spans="1:7" x14ac:dyDescent="0.25">
      <c r="A25" s="6" t="s">
        <v>23</v>
      </c>
      <c r="B25" s="13">
        <v>-2699601</v>
      </c>
      <c r="C25" s="10">
        <v>5398328</v>
      </c>
      <c r="D25" s="10">
        <f>B25-C25</f>
      </c>
      <c r="E25" s="11">
        <f>IF(C25=0,"-",B25/C25-1)</f>
      </c>
      <c r="F25" s="11">
        <f>IF(B$2=0,"-",B25/B$2)</f>
      </c>
      <c r="G25" s="11">
        <f>IF(C$2=0,"-",C25/C$2)</f>
      </c>
    </row>
    <row r="26" spans="1:7" x14ac:dyDescent="0.25">
      <c r="A26" s="6" t="s">
        <v>53</v>
      </c>
      <c r="B26" s="13">
        <v>-2699601</v>
      </c>
      <c r="C26" s="10">
        <v>5398328</v>
      </c>
      <c r="D26" s="10">
        <f>B26-C26</f>
      </c>
      <c r="E26" s="11">
        <f>IF(C26=0,"-",B26/C26-1)</f>
      </c>
      <c r="F26" s="11">
        <f>IF(B$2=0,"-",B26/B$2)</f>
      </c>
      <c r="G26" s="11">
        <f>IF(C$2=0,"-",C26/C$2)</f>
      </c>
    </row>
    <row r="27" spans="1:7" x14ac:dyDescent="0.25">
      <c r="A27" s="12" t="s">
        <v>54</v>
      </c>
      <c r="B27" s="10">
        <v>85446</v>
      </c>
      <c r="C27" s="10">
        <v>806372</v>
      </c>
      <c r="D27" s="10">
        <f>B27-C27</f>
      </c>
      <c r="E27" s="11">
        <f>IF(C27=0,"-",B27/C27-1)</f>
      </c>
      <c r="F27" s="11">
        <f>IF(B$2=0,"-",B27/B$2)</f>
      </c>
      <c r="G27" s="11">
        <f>IF(C$2=0,"-",C27/C$2)</f>
      </c>
    </row>
    <row r="28" spans="1:7" x14ac:dyDescent="0.25">
      <c r="A28" s="6" t="s">
        <v>24</v>
      </c>
      <c r="B28" s="13">
        <v>-2785047</v>
      </c>
      <c r="C28" s="10">
        <v>4591956</v>
      </c>
      <c r="D28" s="10">
        <f>B28-C28</f>
      </c>
      <c r="E28" s="11">
        <f>IF(C28=0,"-",B28/C28-1)</f>
      </c>
      <c r="F28" s="11">
        <f>IF(B$2=0,"-",B28/B$2)</f>
      </c>
      <c r="G28" s="11">
        <f>IF(C$2=0,"-",C28/C$2)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24" customWidth="1"/>
    <col min="2" max="6" width="16" customWidth="1"/>
  </cols>
  <sheetData>
    <row r="1" spans="1:6" x14ac:dyDescent="0.25">
      <c r="A1" s="5" t="s">
        <v>27</v>
      </c>
      <c r="B1" s="5" t="s">
        <v>55</v>
      </c>
      <c r="C1" s="5" t="s">
        <v>56</v>
      </c>
      <c r="D1" s="5" t="s">
        <v>30</v>
      </c>
      <c r="E1" s="5" t="s">
        <v>57</v>
      </c>
      <c r="F1" s="5" t="s">
        <v>58</v>
      </c>
    </row>
    <row r="2" spans="1:6" x14ac:dyDescent="0.25">
      <c r="A2" s="6" t="s">
        <v>59</v>
      </c>
      <c r="B2" s="14"/>
      <c r="C2" s="14"/>
      <c r="D2" s="14"/>
      <c r="E2" s="14"/>
      <c r="F2" s="14"/>
    </row>
    <row r="3" spans="1:6" x14ac:dyDescent="0.25">
      <c r="A3" s="12" t="s">
        <v>60</v>
      </c>
      <c r="B3" s="15">
        <v>-4290</v>
      </c>
      <c r="C3" s="10">
        <v>0</v>
      </c>
      <c r="D3" s="10">
        <f>B3-C3</f>
      </c>
      <c r="E3" s="10">
        <v>0</v>
      </c>
      <c r="F3" s="10">
        <f>B3-E3</f>
      </c>
    </row>
    <row r="4" spans="1:6" x14ac:dyDescent="0.25">
      <c r="A4" s="12" t="s">
        <v>61</v>
      </c>
      <c r="B4" s="10">
        <v>9071379</v>
      </c>
      <c r="C4" s="10">
        <v>13237113</v>
      </c>
      <c r="D4" s="10">
        <f>B4-C4</f>
      </c>
      <c r="E4" s="10">
        <v>15506246</v>
      </c>
      <c r="F4" s="10">
        <f>B4-E4</f>
      </c>
    </row>
    <row r="5" spans="1:6" x14ac:dyDescent="0.25">
      <c r="A5" s="12" t="s">
        <v>62</v>
      </c>
      <c r="B5" s="10">
        <v>8906103</v>
      </c>
      <c r="C5" s="10">
        <v>11728603</v>
      </c>
      <c r="D5" s="10">
        <f>B5-C5</f>
      </c>
      <c r="E5" s="10">
        <v>1700756</v>
      </c>
      <c r="F5" s="10">
        <f>B5-E5</f>
      </c>
    </row>
    <row r="6" spans="1:6" x14ac:dyDescent="0.25">
      <c r="A6" s="12" t="s">
        <v>63</v>
      </c>
      <c r="B6" s="10">
        <v>1585525</v>
      </c>
      <c r="C6" s="10">
        <v>2773588</v>
      </c>
      <c r="D6" s="10">
        <f>B6-C6</f>
      </c>
      <c r="E6" s="10">
        <v>12033387</v>
      </c>
      <c r="F6" s="10">
        <f>B6-E6</f>
      </c>
    </row>
    <row r="7" spans="1:6" x14ac:dyDescent="0.25">
      <c r="A7" s="12" t="s">
        <v>64</v>
      </c>
      <c r="B7" s="10">
        <v>0</v>
      </c>
      <c r="C7" s="10">
        <v>338580</v>
      </c>
      <c r="D7" s="10">
        <f>B7-C7</f>
      </c>
      <c r="E7" s="10">
        <v>0</v>
      </c>
      <c r="F7" s="10">
        <f>B7-E7</f>
      </c>
    </row>
    <row r="8" spans="1:6" x14ac:dyDescent="0.25">
      <c r="A8" s="12" t="s">
        <v>65</v>
      </c>
      <c r="B8" s="15">
        <v>-5003540</v>
      </c>
      <c r="C8" s="10">
        <v>0</v>
      </c>
      <c r="D8" s="10">
        <f>B8-C8</f>
      </c>
      <c r="E8" s="10">
        <v>0</v>
      </c>
      <c r="F8" s="10">
        <f>B8-E8</f>
      </c>
    </row>
    <row r="9" spans="1:6" x14ac:dyDescent="0.25">
      <c r="A9" s="12" t="s">
        <v>66</v>
      </c>
      <c r="B9" s="10">
        <v>155000</v>
      </c>
      <c r="C9" s="10">
        <v>510500</v>
      </c>
      <c r="D9" s="10">
        <f>B9-C9</f>
      </c>
      <c r="E9" s="10">
        <v>0</v>
      </c>
      <c r="F9" s="10">
        <f>B9-E9</f>
      </c>
    </row>
    <row r="10" spans="1:6" x14ac:dyDescent="0.25">
      <c r="A10" s="12" t="s">
        <v>67</v>
      </c>
      <c r="B10" s="10">
        <v>1732601</v>
      </c>
      <c r="C10" s="10">
        <v>0</v>
      </c>
      <c r="D10" s="10">
        <f>B10-C10</f>
      </c>
      <c r="E10" s="10">
        <v>2569543</v>
      </c>
      <c r="F10" s="10">
        <f>B10-E10</f>
      </c>
    </row>
    <row r="11" spans="1:6" x14ac:dyDescent="0.25">
      <c r="A11" s="12" t="s">
        <v>68</v>
      </c>
      <c r="B11" s="10">
        <v>59424</v>
      </c>
      <c r="C11" s="10">
        <v>1298</v>
      </c>
      <c r="D11" s="10">
        <f>B11-C11</f>
      </c>
      <c r="E11" s="10">
        <v>1298</v>
      </c>
      <c r="F11" s="10">
        <f>B11-E11</f>
      </c>
    </row>
    <row r="12" spans="1:6" x14ac:dyDescent="0.25">
      <c r="A12" s="6" t="s">
        <v>69</v>
      </c>
      <c r="B12" s="10">
        <v>16502202</v>
      </c>
      <c r="C12" s="10">
        <v>28589682</v>
      </c>
      <c r="D12" s="10">
        <f>B12-C12</f>
      </c>
      <c r="E12" s="10">
        <v>31811230</v>
      </c>
      <c r="F12" s="10">
        <f>B12-E12</f>
      </c>
    </row>
    <row r="13" spans="1:6" x14ac:dyDescent="0.25">
      <c r="A13" s="6" t="s">
        <v>70</v>
      </c>
      <c r="B13" s="14"/>
      <c r="C13" s="14"/>
      <c r="D13" s="14"/>
      <c r="E13" s="14"/>
      <c r="F13" s="14"/>
    </row>
    <row r="14" spans="1:6" x14ac:dyDescent="0.25">
      <c r="A14" s="12" t="s">
        <v>71</v>
      </c>
      <c r="B14" s="10">
        <v>993427</v>
      </c>
      <c r="C14" s="10">
        <v>1027496</v>
      </c>
      <c r="D14" s="10">
        <f>B14-C14</f>
      </c>
      <c r="E14" s="10">
        <v>1406129</v>
      </c>
      <c r="F14" s="10">
        <f>B14-E14</f>
      </c>
    </row>
    <row r="15" spans="1:6" x14ac:dyDescent="0.25">
      <c r="A15" s="12" t="s">
        <v>72</v>
      </c>
      <c r="B15" s="10">
        <v>4000000</v>
      </c>
      <c r="C15" s="10">
        <v>2600000</v>
      </c>
      <c r="D15" s="10">
        <f>B15-C15</f>
      </c>
      <c r="E15" s="10">
        <v>2400000</v>
      </c>
      <c r="F15" s="10">
        <f>B15-E15</f>
      </c>
    </row>
    <row r="16" spans="1:6" x14ac:dyDescent="0.25">
      <c r="A16" s="12" t="s">
        <v>73</v>
      </c>
      <c r="B16" s="10">
        <v>6806</v>
      </c>
      <c r="C16" s="10">
        <v>11566</v>
      </c>
      <c r="D16" s="10">
        <f>B16-C16</f>
      </c>
      <c r="E16" s="10">
        <v>14969</v>
      </c>
      <c r="F16" s="10">
        <f>B16-E16</f>
      </c>
    </row>
    <row r="17" spans="1:6" x14ac:dyDescent="0.25">
      <c r="A17" s="6" t="s">
        <v>74</v>
      </c>
      <c r="B17" s="10">
        <v>5000233</v>
      </c>
      <c r="C17" s="10">
        <v>3639062</v>
      </c>
      <c r="D17" s="10">
        <f>B17-C17</f>
      </c>
      <c r="E17" s="10">
        <v>3821098</v>
      </c>
      <c r="F17" s="10">
        <f>B17-E17</f>
      </c>
    </row>
    <row r="18" spans="1:6" x14ac:dyDescent="0.25">
      <c r="A18" s="6" t="s">
        <v>75</v>
      </c>
      <c r="B18" s="10">
        <v>21502435</v>
      </c>
      <c r="C18" s="10">
        <v>32228744</v>
      </c>
      <c r="D18" s="10">
        <f>B18-C18</f>
      </c>
      <c r="E18" s="10">
        <v>35632328</v>
      </c>
      <c r="F18" s="10">
        <f>B18-E18</f>
      </c>
    </row>
    <row r="19" spans="1:6" x14ac:dyDescent="0.25">
      <c r="A19" s="6" t="s">
        <v>76</v>
      </c>
      <c r="B19" s="14"/>
      <c r="C19" s="14"/>
      <c r="D19" s="14"/>
      <c r="E19" s="14"/>
      <c r="F19" s="14"/>
    </row>
    <row r="20" spans="1:6" x14ac:dyDescent="0.25">
      <c r="A20" s="12" t="s">
        <v>77</v>
      </c>
      <c r="B20" s="10">
        <v>0</v>
      </c>
      <c r="C20" s="10">
        <v>3735666</v>
      </c>
      <c r="D20" s="10">
        <f>B20-C20</f>
      </c>
      <c r="E20" s="10">
        <v>4108096</v>
      </c>
      <c r="F20" s="10">
        <f>B20-E20</f>
      </c>
    </row>
    <row r="21" spans="1:6" x14ac:dyDescent="0.25">
      <c r="A21" s="12" t="s">
        <v>78</v>
      </c>
      <c r="B21" s="10">
        <v>855279</v>
      </c>
      <c r="C21" s="10">
        <v>2252699</v>
      </c>
      <c r="D21" s="10">
        <f>B21-C21</f>
      </c>
      <c r="E21" s="10">
        <v>930485</v>
      </c>
      <c r="F21" s="10">
        <f>B21-E21</f>
      </c>
    </row>
    <row r="22" spans="1:6" x14ac:dyDescent="0.25">
      <c r="A22" s="12" t="s">
        <v>79</v>
      </c>
      <c r="B22" s="15">
        <v>-3105511</v>
      </c>
      <c r="C22" s="10">
        <v>579153</v>
      </c>
      <c r="D22" s="10">
        <f>B22-C22</f>
      </c>
      <c r="E22" s="10">
        <v>580817</v>
      </c>
      <c r="F22" s="10">
        <f>B22-E22</f>
      </c>
    </row>
    <row r="23" spans="1:6" x14ac:dyDescent="0.25">
      <c r="A23" s="12" t="s">
        <v>80</v>
      </c>
      <c r="B23" s="10">
        <v>214010</v>
      </c>
      <c r="C23" s="10">
        <v>429415</v>
      </c>
      <c r="D23" s="10">
        <f>B23-C23</f>
      </c>
      <c r="E23" s="10">
        <v>455422</v>
      </c>
      <c r="F23" s="10">
        <f>B23-E23</f>
      </c>
    </row>
    <row r="24" spans="1:6" x14ac:dyDescent="0.25">
      <c r="A24" s="12" t="s">
        <v>81</v>
      </c>
      <c r="B24" s="10">
        <v>0</v>
      </c>
      <c r="C24" s="10">
        <v>35000</v>
      </c>
      <c r="D24" s="10">
        <f>B24-C24</f>
      </c>
      <c r="E24" s="10">
        <v>0</v>
      </c>
      <c r="F24" s="10">
        <f>B24-E24</f>
      </c>
    </row>
    <row r="25" spans="1:6" x14ac:dyDescent="0.25">
      <c r="A25" s="12" t="s">
        <v>82</v>
      </c>
      <c r="B25" s="10">
        <v>0</v>
      </c>
      <c r="C25" s="10">
        <v>712700</v>
      </c>
      <c r="D25" s="10">
        <f>B25-C25</f>
      </c>
      <c r="E25" s="10">
        <v>0</v>
      </c>
      <c r="F25" s="10">
        <f>B25-E25</f>
      </c>
    </row>
    <row r="26" spans="1:6" x14ac:dyDescent="0.25">
      <c r="A26" s="12" t="s">
        <v>83</v>
      </c>
      <c r="B26" s="10">
        <v>706934</v>
      </c>
      <c r="C26" s="10">
        <v>611800</v>
      </c>
      <c r="D26" s="10">
        <f>B26-C26</f>
      </c>
      <c r="E26" s="10">
        <v>44500</v>
      </c>
      <c r="F26" s="10">
        <f>B26-E26</f>
      </c>
    </row>
    <row r="27" spans="1:6" x14ac:dyDescent="0.25">
      <c r="A27" s="12" t="s">
        <v>84</v>
      </c>
      <c r="B27" s="10">
        <v>2669459</v>
      </c>
      <c r="C27" s="10">
        <v>0</v>
      </c>
      <c r="D27" s="10">
        <f>B27-C27</f>
      </c>
      <c r="E27" s="10">
        <v>4000448</v>
      </c>
      <c r="F27" s="10">
        <f>B27-E27</f>
      </c>
    </row>
    <row r="28" spans="1:6" x14ac:dyDescent="0.25">
      <c r="A28" s="6" t="s">
        <v>85</v>
      </c>
      <c r="B28" s="10">
        <v>1340171</v>
      </c>
      <c r="C28" s="10">
        <v>8356433</v>
      </c>
      <c r="D28" s="10">
        <f>B28-C28</f>
      </c>
      <c r="E28" s="10">
        <v>10240768</v>
      </c>
      <c r="F28" s="10">
        <f>B28-E28</f>
      </c>
    </row>
    <row r="29" spans="1:6" x14ac:dyDescent="0.25">
      <c r="A29" s="12" t="s">
        <v>86</v>
      </c>
      <c r="B29" s="10">
        <v>12950000</v>
      </c>
      <c r="C29" s="10">
        <v>13875000</v>
      </c>
      <c r="D29" s="10">
        <f>B29-C29</f>
      </c>
      <c r="E29" s="10">
        <v>14800000</v>
      </c>
      <c r="F29" s="10">
        <f>B29-E29</f>
      </c>
    </row>
    <row r="30" spans="1:6" x14ac:dyDescent="0.25">
      <c r="A30" s="6" t="s">
        <v>87</v>
      </c>
      <c r="B30" s="10">
        <v>14290171</v>
      </c>
      <c r="C30" s="10">
        <v>22231433</v>
      </c>
      <c r="D30" s="10">
        <f>B30-C30</f>
      </c>
      <c r="E30" s="10">
        <v>25040768</v>
      </c>
      <c r="F30" s="10">
        <f>B30-E30</f>
      </c>
    </row>
    <row r="31" spans="1:6" x14ac:dyDescent="0.25">
      <c r="A31" s="6" t="s">
        <v>88</v>
      </c>
      <c r="B31" s="14"/>
      <c r="C31" s="14"/>
      <c r="D31" s="14"/>
      <c r="E31" s="14"/>
      <c r="F31" s="14"/>
    </row>
    <row r="32" spans="1:6" x14ac:dyDescent="0.25">
      <c r="A32" s="12" t="s">
        <v>89</v>
      </c>
      <c r="B32" s="10">
        <v>1000000</v>
      </c>
      <c r="C32" s="10">
        <v>1000000</v>
      </c>
      <c r="D32" s="10">
        <f>B32-C32</f>
      </c>
      <c r="E32" s="10">
        <v>1000000</v>
      </c>
      <c r="F32" s="10">
        <f>B32-E32</f>
      </c>
    </row>
    <row r="33" spans="1:6" x14ac:dyDescent="0.25">
      <c r="A33" s="12" t="s">
        <v>90</v>
      </c>
      <c r="B33" s="10">
        <v>8997311</v>
      </c>
      <c r="C33" s="10">
        <v>8997311</v>
      </c>
      <c r="D33" s="10">
        <f>B33-C33</f>
      </c>
      <c r="E33" s="10">
        <v>4999604</v>
      </c>
      <c r="F33" s="10">
        <f>B33-E33</f>
      </c>
    </row>
    <row r="34" spans="1:6" x14ac:dyDescent="0.25">
      <c r="A34" s="12" t="s">
        <v>91</v>
      </c>
      <c r="B34" s="15">
        <v>-2785047</v>
      </c>
      <c r="C34" s="14"/>
      <c r="D34" s="14"/>
      <c r="E34" s="10">
        <v>4591956</v>
      </c>
      <c r="F34" s="10">
        <f>B34-E34</f>
      </c>
    </row>
    <row r="35" spans="1:6" x14ac:dyDescent="0.25">
      <c r="A35" s="6" t="s">
        <v>92</v>
      </c>
      <c r="B35" s="10">
        <v>7212264</v>
      </c>
      <c r="C35" s="10">
        <v>9997311</v>
      </c>
      <c r="D35" s="10">
        <f>B35-C35</f>
      </c>
      <c r="E35" s="10">
        <v>10591560</v>
      </c>
      <c r="F35" s="10">
        <f>B35-E35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6" customWidth="1"/>
    <col min="2" max="2" width="28" customWidth="1"/>
    <col min="3" max="3" width="12" customWidth="1"/>
    <col min="4" max="4" width="55" customWidth="1"/>
  </cols>
  <sheetData>
    <row r="1" spans="1:4" x14ac:dyDescent="0.25">
      <c r="A1" s="5" t="s">
        <v>93</v>
      </c>
      <c r="B1" s="5" t="s">
        <v>94</v>
      </c>
      <c r="C1" s="5" t="s">
        <v>95</v>
      </c>
      <c r="D1" s="5" t="s">
        <v>96</v>
      </c>
    </row>
    <row r="2" spans="1:4" x14ac:dyDescent="0.25">
      <c r="A2" s="16">
        <v>1</v>
      </c>
      <c r="B2" s="6" t="s">
        <v>97</v>
      </c>
      <c r="C2" s="17" t="s">
        <v>98</v>
      </c>
      <c r="D2" s="18" t="s">
        <v>99</v>
      </c>
    </row>
    <row r="3" spans="1:4" x14ac:dyDescent="0.25">
      <c r="A3" s="16">
        <v>2</v>
      </c>
      <c r="B3" s="6" t="s">
        <v>100</v>
      </c>
      <c r="C3" s="19" t="s">
        <v>101</v>
      </c>
      <c r="D3" s="18" t="s">
        <v>102</v>
      </c>
    </row>
    <row r="4" spans="1:4" x14ac:dyDescent="0.25">
      <c r="A4" s="16">
        <v>3</v>
      </c>
      <c r="B4" s="6" t="s">
        <v>103</v>
      </c>
      <c r="C4" s="19" t="s">
        <v>101</v>
      </c>
      <c r="D4" s="18" t="s">
        <v>104</v>
      </c>
    </row>
    <row r="5" spans="1:4" x14ac:dyDescent="0.25">
      <c r="A5" s="16">
        <v>4</v>
      </c>
      <c r="B5" s="6" t="s">
        <v>105</v>
      </c>
      <c r="C5" s="20" t="s">
        <v>106</v>
      </c>
      <c r="D5" s="18" t="s">
        <v>107</v>
      </c>
    </row>
    <row r="6" spans="1:4" x14ac:dyDescent="0.25">
      <c r="A6" s="16">
        <v>5</v>
      </c>
      <c r="B6" s="6" t="s">
        <v>108</v>
      </c>
      <c r="C6" s="19" t="s">
        <v>101</v>
      </c>
      <c r="D6" s="18" t="s">
        <v>109</v>
      </c>
    </row>
    <row r="7" spans="1:4" x14ac:dyDescent="0.25">
      <c r="A7" s="16">
        <v>6</v>
      </c>
      <c r="B7" s="6" t="s">
        <v>110</v>
      </c>
      <c r="C7" s="17" t="s">
        <v>98</v>
      </c>
      <c r="D7" s="18" t="s">
        <v>111</v>
      </c>
    </row>
    <row r="8" spans="1:4" x14ac:dyDescent="0.25">
      <c r="A8" s="16">
        <v>7</v>
      </c>
      <c r="B8" s="6" t="s">
        <v>112</v>
      </c>
      <c r="C8" s="20" t="s">
        <v>106</v>
      </c>
      <c r="D8" s="18" t="s">
        <v>113</v>
      </c>
    </row>
    <row r="9" spans="1:4" x14ac:dyDescent="0.25">
      <c r="A9" s="16">
        <v>8</v>
      </c>
      <c r="B9" s="6" t="s">
        <v>114</v>
      </c>
      <c r="C9" s="17" t="s">
        <v>98</v>
      </c>
      <c r="D9" s="18" t="s">
        <v>115</v>
      </c>
    </row>
    <row r="10" spans="1:4" x14ac:dyDescent="0.25">
      <c r="A10" s="16">
        <v>9</v>
      </c>
      <c r="B10" s="6" t="s">
        <v>116</v>
      </c>
      <c r="C10" s="19" t="s">
        <v>101</v>
      </c>
      <c r="D10" s="18" t="s">
        <v>117</v>
      </c>
    </row>
    <row r="11" spans="1:4" x14ac:dyDescent="0.25">
      <c r="A11" s="16">
        <v>10</v>
      </c>
      <c r="B11" s="6" t="s">
        <v>118</v>
      </c>
      <c r="C11" s="20" t="s">
        <v>106</v>
      </c>
      <c r="D11" s="18" t="s">
        <v>119</v>
      </c>
    </row>
    <row r="12" spans="1:4" x14ac:dyDescent="0.25">
      <c r="A12" s="16">
        <v>11</v>
      </c>
      <c r="B12" s="6" t="s">
        <v>120</v>
      </c>
      <c r="C12" s="17" t="s">
        <v>98</v>
      </c>
      <c r="D12" s="18" t="s">
        <v>121</v>
      </c>
    </row>
    <row r="13" spans="1:4" x14ac:dyDescent="0.25">
      <c r="A13" s="16">
        <v>12</v>
      </c>
      <c r="B13" s="6" t="s">
        <v>122</v>
      </c>
      <c r="C13" s="19" t="s">
        <v>101</v>
      </c>
      <c r="D13" s="18" t="s">
        <v>123</v>
      </c>
    </row>
    <row r="14" spans="1:4" x14ac:dyDescent="0.25">
      <c r="A14" s="16">
        <v>13</v>
      </c>
      <c r="B14" s="6" t="s">
        <v>124</v>
      </c>
      <c r="C14" s="19" t="s">
        <v>101</v>
      </c>
      <c r="D14" s="18" t="s">
        <v>125</v>
      </c>
    </row>
    <row r="15" spans="1:4" x14ac:dyDescent="0.25">
      <c r="A15" s="16">
        <v>14</v>
      </c>
      <c r="B15" s="6" t="s">
        <v>126</v>
      </c>
      <c r="C15" s="20" t="s">
        <v>106</v>
      </c>
      <c r="D15" s="18" t="s">
        <v>127</v>
      </c>
    </row>
    <row r="16" spans="1:4" x14ac:dyDescent="0.25">
      <c r="A16" s="16">
        <v>15</v>
      </c>
      <c r="B16" s="6" t="s">
        <v>128</v>
      </c>
      <c r="C16" s="19" t="s">
        <v>101</v>
      </c>
      <c r="D16" s="18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22" customWidth="1"/>
    <col min="2" max="2" width="14" customWidth="1"/>
    <col min="3" max="3" width="28" customWidth="1"/>
    <col min="4" max="4" width="12" customWidth="1"/>
    <col min="5" max="5" width="45" customWidth="1"/>
  </cols>
  <sheetData>
    <row r="1" spans="1:5" x14ac:dyDescent="0.25">
      <c r="A1" s="5" t="s">
        <v>130</v>
      </c>
      <c r="B1" s="5" t="s">
        <v>131</v>
      </c>
      <c r="C1" s="5" t="s">
        <v>132</v>
      </c>
      <c r="D1" s="5" t="s">
        <v>95</v>
      </c>
      <c r="E1" s="5" t="s">
        <v>133</v>
      </c>
    </row>
    <row r="2" spans="1:5" x14ac:dyDescent="0.25">
      <c r="A2" s="12" t="s">
        <v>134</v>
      </c>
      <c r="B2" s="16" t="s">
        <v>135</v>
      </c>
      <c r="C2" s="12" t="s">
        <v>136</v>
      </c>
      <c r="D2" s="20" t="s">
        <v>106</v>
      </c>
      <c r="E2" s="18" t="s">
        <v>137</v>
      </c>
    </row>
    <row r="3" spans="1:5" x14ac:dyDescent="0.25">
      <c r="A3" s="12" t="s">
        <v>138</v>
      </c>
      <c r="B3" s="16" t="s">
        <v>139</v>
      </c>
      <c r="C3" s="12" t="s">
        <v>136</v>
      </c>
      <c r="D3" s="20" t="s">
        <v>106</v>
      </c>
      <c r="E3" s="18" t="s">
        <v>140</v>
      </c>
    </row>
    <row r="4" spans="1:5" x14ac:dyDescent="0.25">
      <c r="A4" s="12" t="s">
        <v>141</v>
      </c>
      <c r="B4" s="16" t="s">
        <v>142</v>
      </c>
      <c r="C4" s="12" t="s">
        <v>143</v>
      </c>
      <c r="D4" s="20" t="s">
        <v>106</v>
      </c>
      <c r="E4" s="18" t="s">
        <v>144</v>
      </c>
    </row>
    <row r="5" spans="1:5" x14ac:dyDescent="0.25">
      <c r="A5" s="12" t="s">
        <v>145</v>
      </c>
      <c r="B5" s="16" t="s">
        <v>146</v>
      </c>
      <c r="C5" s="12" t="s">
        <v>147</v>
      </c>
      <c r="D5" s="20" t="s">
        <v>106</v>
      </c>
      <c r="E5" s="18" t="s">
        <v>148</v>
      </c>
    </row>
    <row r="6" spans="1:5" x14ac:dyDescent="0.25">
      <c r="A6" s="12" t="s">
        <v>149</v>
      </c>
      <c r="B6" s="16" t="s">
        <v>142</v>
      </c>
      <c r="C6" s="12" t="s">
        <v>143</v>
      </c>
      <c r="D6" s="20" t="s">
        <v>106</v>
      </c>
      <c r="E6" s="18" t="s">
        <v>150</v>
      </c>
    </row>
    <row r="7" spans="1:5" x14ac:dyDescent="0.25">
      <c r="A7" s="12" t="s">
        <v>151</v>
      </c>
      <c r="B7" s="16" t="s">
        <v>142</v>
      </c>
      <c r="C7" s="12" t="s">
        <v>143</v>
      </c>
      <c r="D7" s="20" t="s">
        <v>106</v>
      </c>
      <c r="E7" s="18" t="s">
        <v>137</v>
      </c>
    </row>
    <row r="8" spans="1:5" x14ac:dyDescent="0.25">
      <c r="A8" s="12" t="s">
        <v>152</v>
      </c>
      <c r="B8" s="16" t="s">
        <v>153</v>
      </c>
      <c r="C8" s="12" t="s">
        <v>154</v>
      </c>
      <c r="D8" s="20" t="s">
        <v>106</v>
      </c>
      <c r="E8" s="18" t="s">
        <v>155</v>
      </c>
    </row>
    <row r="9" spans="1:5" x14ac:dyDescent="0.25">
      <c r="A9" s="12" t="s">
        <v>156</v>
      </c>
      <c r="B9" s="16" t="s">
        <v>157</v>
      </c>
      <c r="C9" s="12" t="s">
        <v>101</v>
      </c>
      <c r="D9" s="19" t="s">
        <v>101</v>
      </c>
      <c r="E9" s="18" t="s">
        <v>158</v>
      </c>
    </row>
    <row r="10" spans="1:5" x14ac:dyDescent="0.25">
      <c r="A10" s="12" t="s">
        <v>159</v>
      </c>
      <c r="B10" s="16" t="s">
        <v>160</v>
      </c>
      <c r="C10" s="12" t="s">
        <v>161</v>
      </c>
      <c r="D10" s="20" t="s">
        <v>106</v>
      </c>
      <c r="E10" s="18" t="s">
        <v>137</v>
      </c>
    </row>
    <row r="11" spans="1:5" x14ac:dyDescent="0.25">
      <c r="A11" s="12" t="s">
        <v>162</v>
      </c>
      <c r="B11" s="16" t="s">
        <v>163</v>
      </c>
      <c r="C11" s="12" t="s">
        <v>164</v>
      </c>
      <c r="D11" s="19" t="s">
        <v>101</v>
      </c>
      <c r="E11" s="18" t="s">
        <v>165</v>
      </c>
    </row>
    <row r="12" spans="1:5" x14ac:dyDescent="0.25">
      <c r="A12" s="12" t="s">
        <v>166</v>
      </c>
      <c r="B12" s="16" t="s">
        <v>160</v>
      </c>
      <c r="C12" s="12" t="s">
        <v>167</v>
      </c>
      <c r="D12" s="19" t="s">
        <v>101</v>
      </c>
      <c r="E12" s="18" t="s">
        <v>168</v>
      </c>
    </row>
    <row r="13" spans="1:5" x14ac:dyDescent="0.25">
      <c r="A13" s="12" t="s">
        <v>169</v>
      </c>
      <c r="B13" s="16" t="s">
        <v>135</v>
      </c>
      <c r="C13" s="12" t="s">
        <v>136</v>
      </c>
      <c r="D13" s="20" t="s">
        <v>106</v>
      </c>
      <c r="E13" s="18" t="s">
        <v>170</v>
      </c>
    </row>
    <row r="14" spans="1:5" x14ac:dyDescent="0.25">
      <c r="A14" s="12" t="s">
        <v>171</v>
      </c>
      <c r="B14" s="16" t="s">
        <v>139</v>
      </c>
      <c r="C14" s="12" t="s">
        <v>172</v>
      </c>
      <c r="D14" s="20" t="s">
        <v>106</v>
      </c>
      <c r="E14" s="18" t="s">
        <v>140</v>
      </c>
    </row>
    <row r="15" spans="1:5" x14ac:dyDescent="0.25">
      <c r="A15" s="12" t="s">
        <v>173</v>
      </c>
      <c r="B15" s="16" t="s">
        <v>139</v>
      </c>
      <c r="C15" s="12" t="s">
        <v>172</v>
      </c>
      <c r="D15" s="20" t="s">
        <v>106</v>
      </c>
      <c r="E15" s="18" t="s">
        <v>140</v>
      </c>
    </row>
    <row r="16" spans="1:5" x14ac:dyDescent="0.25">
      <c r="A16" s="12" t="s">
        <v>174</v>
      </c>
      <c r="B16" s="16" t="s">
        <v>139</v>
      </c>
      <c r="C16" s="12" t="s">
        <v>175</v>
      </c>
      <c r="D16" s="20" t="s">
        <v>106</v>
      </c>
      <c r="E16" s="18" t="s">
        <v>137</v>
      </c>
    </row>
    <row r="17" spans="1:5" x14ac:dyDescent="0.25">
      <c r="A17" s="12" t="s">
        <v>176</v>
      </c>
      <c r="B17" s="16" t="s">
        <v>139</v>
      </c>
      <c r="C17" s="12" t="s">
        <v>136</v>
      </c>
      <c r="D17" s="20" t="s">
        <v>106</v>
      </c>
      <c r="E17" s="18" t="s">
        <v>137</v>
      </c>
    </row>
    <row r="20" spans="1:3" x14ac:dyDescent="0.25">
      <c r="A20" s="2" t="s">
        <v>177</v>
      </c>
      <c r="B20" s="2"/>
      <c r="C20" s="2"/>
    </row>
    <row r="21" spans="1:2" x14ac:dyDescent="0.25">
      <c r="A21" s="12" t="s">
        <v>84</v>
      </c>
      <c r="B21" s="10">
        <v>2669459</v>
      </c>
    </row>
    <row r="22" spans="1:2" x14ac:dyDescent="0.25">
      <c r="A22" s="12" t="s">
        <v>67</v>
      </c>
      <c r="B22" s="10">
        <v>1732601</v>
      </c>
    </row>
    <row r="23" spans="1:2" x14ac:dyDescent="0.25">
      <c r="A23" s="6" t="s">
        <v>178</v>
      </c>
      <c r="B23" s="21">
        <f>B21-B22</f>
      </c>
    </row>
  </sheetData>
  <mergeCells count="1"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5" customWidth="1"/>
    <col min="2" max="2" width="10" customWidth="1"/>
    <col min="3" max="3" width="30" customWidth="1"/>
    <col min="4" max="4" width="60" customWidth="1"/>
  </cols>
  <sheetData>
    <row r="1" spans="1:4" x14ac:dyDescent="0.25">
      <c r="A1" s="5" t="s">
        <v>93</v>
      </c>
      <c r="B1" s="5" t="s">
        <v>179</v>
      </c>
      <c r="C1" s="5" t="s">
        <v>27</v>
      </c>
      <c r="D1" s="5" t="s">
        <v>180</v>
      </c>
    </row>
    <row r="2" spans="1:4" x14ac:dyDescent="0.25">
      <c r="A2" s="16">
        <v>1</v>
      </c>
      <c r="B2" s="17" t="s">
        <v>181</v>
      </c>
      <c r="C2" s="6" t="s">
        <v>182</v>
      </c>
      <c r="D2" s="18" t="s">
        <v>183</v>
      </c>
    </row>
    <row r="3" spans="1:4" x14ac:dyDescent="0.25">
      <c r="A3" s="16">
        <v>2</v>
      </c>
      <c r="B3" s="17" t="s">
        <v>181</v>
      </c>
      <c r="C3" s="6" t="s">
        <v>184</v>
      </c>
      <c r="D3" s="18" t="s">
        <v>185</v>
      </c>
    </row>
    <row r="4" spans="1:4" x14ac:dyDescent="0.25">
      <c r="A4" s="16">
        <v>3</v>
      </c>
      <c r="B4" s="17" t="s">
        <v>181</v>
      </c>
      <c r="C4" s="6" t="s">
        <v>186</v>
      </c>
      <c r="D4" s="18" t="s">
        <v>187</v>
      </c>
    </row>
    <row r="5" spans="1:4" x14ac:dyDescent="0.25">
      <c r="A5" s="16">
        <v>4</v>
      </c>
      <c r="B5" s="17" t="s">
        <v>181</v>
      </c>
      <c r="C5" s="6" t="s">
        <v>188</v>
      </c>
      <c r="D5" s="18" t="s">
        <v>189</v>
      </c>
    </row>
    <row r="6" spans="1:4" x14ac:dyDescent="0.25">
      <c r="A6" s="16">
        <v>5</v>
      </c>
      <c r="B6" s="17" t="s">
        <v>181</v>
      </c>
      <c r="C6" s="6" t="s">
        <v>190</v>
      </c>
      <c r="D6" s="18" t="s">
        <v>191</v>
      </c>
    </row>
    <row r="7" spans="1:4" x14ac:dyDescent="0.25">
      <c r="A7" s="16">
        <v>6</v>
      </c>
      <c r="B7" s="19" t="s">
        <v>192</v>
      </c>
      <c r="C7" s="6" t="s">
        <v>193</v>
      </c>
      <c r="D7" s="18" t="s">
        <v>194</v>
      </c>
    </row>
    <row r="8" spans="1:4" x14ac:dyDescent="0.25">
      <c r="A8" s="16">
        <v>7</v>
      </c>
      <c r="B8" s="19" t="s">
        <v>192</v>
      </c>
      <c r="C8" s="6" t="s">
        <v>195</v>
      </c>
      <c r="D8" s="18" t="s">
        <v>196</v>
      </c>
    </row>
    <row r="9" spans="1:4" x14ac:dyDescent="0.25">
      <c r="A9" s="16">
        <v>8</v>
      </c>
      <c r="B9" s="19" t="s">
        <v>192</v>
      </c>
      <c r="C9" s="6" t="s">
        <v>197</v>
      </c>
      <c r="D9" s="18" t="s">
        <v>198</v>
      </c>
    </row>
    <row r="10" spans="1:4" x14ac:dyDescent="0.25">
      <c r="A10" s="16">
        <v>9</v>
      </c>
      <c r="B10" s="19" t="s">
        <v>192</v>
      </c>
      <c r="C10" s="6" t="s">
        <v>199</v>
      </c>
      <c r="D10" s="18" t="s">
        <v>200</v>
      </c>
    </row>
    <row r="11" spans="1:4" x14ac:dyDescent="0.25">
      <c r="A11" s="16">
        <v>10</v>
      </c>
      <c r="B11" s="19" t="s">
        <v>192</v>
      </c>
      <c r="C11" s="6" t="s">
        <v>201</v>
      </c>
      <c r="D11" s="18" t="s">
        <v>202</v>
      </c>
    </row>
    <row r="12" spans="1:4" x14ac:dyDescent="0.25">
      <c r="A12" s="16">
        <v>11</v>
      </c>
      <c r="B12" s="20" t="s">
        <v>203</v>
      </c>
      <c r="C12" s="6" t="s">
        <v>204</v>
      </c>
      <c r="D12" s="18" t="s">
        <v>205</v>
      </c>
    </row>
    <row r="13" spans="1:4" x14ac:dyDescent="0.25">
      <c r="A13" s="16">
        <v>12</v>
      </c>
      <c r="B13" s="20" t="s">
        <v>203</v>
      </c>
      <c r="C13" s="6" t="s">
        <v>206</v>
      </c>
      <c r="D13" s="1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0" customWidth="1"/>
    <col min="2" max="7" width="16" customWidth="1"/>
  </cols>
  <sheetData>
    <row r="1" spans="1:7" x14ac:dyDescent="0.25">
      <c r="A1" s="5" t="s">
        <v>208</v>
      </c>
      <c r="B1" s="5" t="s">
        <v>134</v>
      </c>
      <c r="C1" s="5" t="s">
        <v>209</v>
      </c>
      <c r="D1" s="5" t="s">
        <v>210</v>
      </c>
      <c r="E1" s="5" t="s">
        <v>211</v>
      </c>
      <c r="F1" s="5" t="s">
        <v>212</v>
      </c>
      <c r="G1" s="5" t="s">
        <v>213</v>
      </c>
    </row>
    <row r="2" spans="1:7" x14ac:dyDescent="0.25">
      <c r="A2" s="16" t="s">
        <v>214</v>
      </c>
      <c r="B2" s="7">
        <v>1600000</v>
      </c>
      <c r="C2" s="7">
        <v>78290</v>
      </c>
      <c r="D2" s="7">
        <v>12560</v>
      </c>
      <c r="E2" s="7">
        <v>118950</v>
      </c>
      <c r="F2" s="7">
        <v>123020</v>
      </c>
      <c r="G2" s="7">
        <v>44500</v>
      </c>
    </row>
    <row r="3" spans="1:7" x14ac:dyDescent="0.25">
      <c r="A3" s="16" t="s">
        <v>215</v>
      </c>
      <c r="B3" s="7">
        <v>1600000</v>
      </c>
      <c r="C3" s="7">
        <v>78290</v>
      </c>
      <c r="D3" s="7">
        <v>12560</v>
      </c>
      <c r="E3" s="7">
        <v>118950</v>
      </c>
      <c r="F3" s="7">
        <v>123020</v>
      </c>
      <c r="G3" s="7">
        <v>44500</v>
      </c>
    </row>
    <row r="4" spans="1:7" x14ac:dyDescent="0.25">
      <c r="A4" s="16" t="s">
        <v>216</v>
      </c>
      <c r="B4" s="22">
        <v>1080000</v>
      </c>
      <c r="C4" s="7">
        <v>78290</v>
      </c>
      <c r="D4" s="7">
        <v>12560</v>
      </c>
      <c r="E4" s="7">
        <v>118950</v>
      </c>
      <c r="F4" s="7">
        <v>35660</v>
      </c>
      <c r="G4" s="7">
        <v>0</v>
      </c>
    </row>
    <row r="5" spans="1:7" x14ac:dyDescent="0.25">
      <c r="A5" s="16" t="s">
        <v>217</v>
      </c>
      <c r="B5" s="22">
        <v>1080000</v>
      </c>
      <c r="C5" s="7">
        <v>78290</v>
      </c>
      <c r="D5" s="7">
        <v>12560</v>
      </c>
      <c r="E5" s="7">
        <v>118950</v>
      </c>
      <c r="F5" s="7">
        <v>35660</v>
      </c>
      <c r="G5" s="7">
        <v>0</v>
      </c>
    </row>
    <row r="6" spans="1:7" x14ac:dyDescent="0.25">
      <c r="A6" s="16" t="s">
        <v>218</v>
      </c>
      <c r="B6" s="22">
        <v>1080000</v>
      </c>
      <c r="C6" s="7">
        <v>78290</v>
      </c>
      <c r="D6" s="7">
        <v>12560</v>
      </c>
      <c r="E6" s="7">
        <v>118950</v>
      </c>
      <c r="F6" s="7">
        <v>35660</v>
      </c>
      <c r="G6" s="7">
        <v>0</v>
      </c>
    </row>
    <row r="7" spans="1:7" x14ac:dyDescent="0.25">
      <c r="A7" s="16" t="s">
        <v>219</v>
      </c>
      <c r="B7" s="22">
        <v>1080000</v>
      </c>
      <c r="C7" s="7">
        <v>52524</v>
      </c>
      <c r="D7" s="7">
        <v>8426</v>
      </c>
      <c r="E7" s="7">
        <v>96990</v>
      </c>
      <c r="F7" s="7">
        <v>41940</v>
      </c>
      <c r="G7" s="7">
        <v>0</v>
      </c>
    </row>
    <row r="8" spans="1:7" x14ac:dyDescent="0.25">
      <c r="A8" s="16" t="s">
        <v>220</v>
      </c>
      <c r="B8" s="22">
        <v>1080000</v>
      </c>
      <c r="C8" s="7">
        <v>52524</v>
      </c>
      <c r="D8" s="7">
        <v>8426</v>
      </c>
      <c r="E8" s="7">
        <v>96990</v>
      </c>
      <c r="F8" s="7">
        <v>41940</v>
      </c>
      <c r="G8" s="7">
        <v>82000</v>
      </c>
    </row>
    <row r="9" spans="1:7" x14ac:dyDescent="0.25">
      <c r="A9" s="23" t="s">
        <v>221</v>
      </c>
      <c r="B9" s="21">
        <f>SUM(B2:B8)</f>
      </c>
      <c r="C9" s="21">
        <f>SUM(C2:C8)</f>
      </c>
      <c r="D9" s="21">
        <f>SUM(D2:D8)</f>
      </c>
      <c r="E9" s="21">
        <f>SUM(E2:E8)</f>
      </c>
      <c r="F9" s="21">
        <f>SUM(F2:F8)</f>
      </c>
      <c r="G9" s="21">
        <f>SUM(G2:G8)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概況</vt:lpstr>
      <vt:lpstr>PL前年同期比較</vt:lpstr>
      <vt:lpstr>BS比較</vt:lpstr>
      <vt:lpstr>記帳チェック</vt:lpstr>
      <vt:lpstr>消費税チェック</vt:lpstr>
      <vt:lpstr>確認事項一覧</vt:lpstr>
      <vt:lpstr>役員報酬月次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2026-03-26T00:47:54Z</dcterms:created>
  <dcterms:modified xsi:type="dcterms:W3CDTF">2026-03-26T00:47:54Z</dcterms:modified>
</cp:coreProperties>
</file>